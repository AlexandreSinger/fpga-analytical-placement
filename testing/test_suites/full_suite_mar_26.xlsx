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vtr_largest_ap" sheetId="3" state="visible" r:id="rId3"/>
    <sheet xmlns:r="http://schemas.openxmlformats.org/officeDocument/2006/relationships" name="vtr_largest_no_ap" sheetId="4" state="visible" r:id="rId4"/>
    <sheet xmlns:r="http://schemas.openxmlformats.org/officeDocument/2006/relationships" name="artix_7_ap" sheetId="5" state="visible" r:id="rId5"/>
    <sheet xmlns:r="http://schemas.openxmlformats.org/officeDocument/2006/relationships" name="artix_7_no_ap" sheetId="6" state="visible" r:id="rId6"/>
    <sheet xmlns:r="http://schemas.openxmlformats.org/officeDocument/2006/relationships" name="titan_ap" sheetId="7" state="visible" r:id="rId7"/>
    <sheet xmlns:r="http://schemas.openxmlformats.org/officeDocument/2006/relationships" name="titan_no_ap" sheetId="8" state="visible" r:id="rId8"/>
    <sheet xmlns:r="http://schemas.openxmlformats.org/officeDocument/2006/relationships" name="koios_ap" sheetId="9" state="visible" r:id="rId9"/>
    <sheet xmlns:r="http://schemas.openxmlformats.org/officeDocument/2006/relationships" name="koios_no_ap" sheetId="10" state="visible" r:id="rId10"/>
    <sheet xmlns:r="http://schemas.openxmlformats.org/officeDocument/2006/relationships" name="titanium_s10_ap" sheetId="11" state="visible" r:id="rId11"/>
    <sheet xmlns:r="http://schemas.openxmlformats.org/officeDocument/2006/relationships" name="titanium_s10_no_ap" sheetId="12" state="visible" r:id="rId12"/>
    <sheet xmlns:r="http://schemas.openxmlformats.org/officeDocument/2006/relationships" name="z1000_ap" sheetId="13" state="visible" r:id="rId13"/>
    <sheet xmlns:r="http://schemas.openxmlformats.org/officeDocument/2006/relationships" name="z1000_no_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total_wirelength</t>
        </is>
      </c>
      <c r="C1" t="inlineStr">
        <is>
          <t>crit_path_delay</t>
        </is>
      </c>
      <c r="D1" t="inlineStr">
        <is>
          <t>total_runtime</t>
        </is>
      </c>
      <c r="E1" t="inlineStr">
        <is>
          <t>Baseline Unroutes</t>
        </is>
      </c>
    </row>
    <row r="2">
      <c r="A2" t="inlineStr">
        <is>
          <t>vtr_largest</t>
        </is>
      </c>
      <c r="B2">
        <f>'ratios'!F10</f>
        <v/>
      </c>
      <c r="C2">
        <f>'ratios'!I10</f>
        <v/>
      </c>
      <c r="D2">
        <f>'ratios'!K10</f>
        <v/>
      </c>
      <c r="E2">
        <f>'ratios'!D11</f>
        <v/>
      </c>
    </row>
    <row r="3">
      <c r="A3" t="inlineStr">
        <is>
          <t>artix_7</t>
        </is>
      </c>
      <c r="B3">
        <f>'ratios'!F21</f>
        <v/>
      </c>
      <c r="C3">
        <f>'ratios'!I21</f>
        <v/>
      </c>
      <c r="D3">
        <f>'ratios'!K21</f>
        <v/>
      </c>
      <c r="E3">
        <f>'ratios'!D22</f>
        <v/>
      </c>
    </row>
    <row r="4">
      <c r="A4" t="inlineStr">
        <is>
          <t>titan</t>
        </is>
      </c>
      <c r="B4">
        <f>'ratios'!F47</f>
        <v/>
      </c>
      <c r="C4">
        <f>'ratios'!I47</f>
        <v/>
      </c>
      <c r="D4">
        <f>'ratios'!K47</f>
        <v/>
      </c>
      <c r="E4">
        <f>'ratios'!D48</f>
        <v/>
      </c>
    </row>
    <row r="5">
      <c r="A5" t="inlineStr">
        <is>
          <t>koios</t>
        </is>
      </c>
      <c r="B5">
        <f>'ratios'!F79</f>
        <v/>
      </c>
      <c r="C5">
        <f>'ratios'!I79</f>
        <v/>
      </c>
      <c r="D5">
        <f>'ratios'!K79</f>
        <v/>
      </c>
      <c r="E5">
        <f>'ratios'!D80</f>
        <v/>
      </c>
    </row>
    <row r="6">
      <c r="A6" t="inlineStr">
        <is>
          <t>titanium_s10</t>
        </is>
      </c>
      <c r="B6">
        <f>'ratios'!F107</f>
        <v/>
      </c>
      <c r="C6">
        <f>'ratios'!I107</f>
        <v/>
      </c>
      <c r="D6">
        <f>'ratios'!K107</f>
        <v/>
      </c>
      <c r="E6">
        <f>'ratios'!D108</f>
        <v/>
      </c>
    </row>
    <row r="7">
      <c r="A7" t="inlineStr">
        <is>
          <t>z1000</t>
        </is>
      </c>
      <c r="B7">
        <f>'ratios'!F120</f>
        <v/>
      </c>
      <c r="C7">
        <f>'ratios'!I120</f>
        <v/>
      </c>
      <c r="D7">
        <f>'ratios'!K120</f>
        <v/>
      </c>
      <c r="E7">
        <f>'ratios'!D121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arch</t>
        </is>
      </c>
      <c r="C1" t="inlineStr">
        <is>
          <t>circuit</t>
        </is>
      </c>
      <c r="D1" t="inlineStr">
        <is>
          <t>post_fl_hpwl</t>
        </is>
      </c>
      <c r="E1" t="inlineStr">
        <is>
          <t>post_dp_hpwl</t>
        </is>
      </c>
      <c r="F1" t="inlineStr">
        <is>
          <t>total_wirelength</t>
        </is>
      </c>
      <c r="G1" t="inlineStr">
        <is>
          <t>post_fl_cpd</t>
        </is>
      </c>
      <c r="H1" t="inlineStr">
        <is>
          <t>post_dp_cpd</t>
        </is>
      </c>
      <c r="I1" t="inlineStr">
        <is>
          <t>crit_path_delay</t>
        </is>
      </c>
      <c r="J1" t="inlineStr">
        <is>
          <t>route_runtime</t>
        </is>
      </c>
      <c r="K1" t="inlineStr">
        <is>
          <t>total_runtime</t>
        </is>
      </c>
    </row>
    <row r="2">
      <c r="A2" t="inlineStr">
        <is>
          <t>vtr_largest</t>
        </is>
      </c>
      <c r="B2" t="inlineStr">
        <is>
          <t>k6_frac_N10_frac_chain_mem32K_40nm.xml</t>
        </is>
      </c>
      <c r="C2" t="inlineStr">
        <is>
          <t>arm_core.blif</t>
        </is>
      </c>
      <c r="D2">
        <f>IF(OR('vtr_largest_ap'!H2=-1, 'vtr_largest_no_ap'!H2=-1), "", 'vtr_largest_ap'!F2/'vtr_largest_no_ap'!F2)</f>
        <v/>
      </c>
      <c r="E2">
        <f>IF(OR('vtr_largest_ap'!H2=-1, 'vtr_largest_no_ap'!H2=-1), "", 'vtr_largest_ap'!G2/'vtr_largest_no_ap'!G2)</f>
        <v/>
      </c>
      <c r="F2">
        <f>IF(OR('vtr_largest_ap'!H2=-1, 'vtr_largest_no_ap'!H2=-1), "", 'vtr_largest_ap'!H2/'vtr_largest_no_ap'!H2)</f>
        <v/>
      </c>
      <c r="G2">
        <f>IF(OR('vtr_largest_ap'!H2=-1, 'vtr_largest_no_ap'!H2=-1), "", 'vtr_largest_ap'!J2/'vtr_largest_no_ap'!J2)</f>
        <v/>
      </c>
      <c r="H2">
        <f>IF(OR('vtr_largest_ap'!H2=-1, 'vtr_largest_no_ap'!H2=-1), "", 'vtr_largest_ap'!K2/'vtr_largest_no_ap'!K2)</f>
        <v/>
      </c>
      <c r="I2">
        <f>IF(OR('vtr_largest_ap'!H2=-1, 'vtr_largest_no_ap'!H2=-1), "", 'vtr_largest_ap'!L2/'vtr_largest_no_ap'!L2)</f>
        <v/>
      </c>
      <c r="J2">
        <f>IF(OR('vtr_largest_ap'!H2=-1, 'vtr_largest_no_ap'!H2=-1), "", 'vtr_largest_ap'!AC2/'vtr_largest_no_ap'!AC2)</f>
        <v/>
      </c>
      <c r="K2">
        <f>IF(OR('vtr_largest_ap'!H2=-1, 'vtr_largest_no_ap'!H2=-1), "", 'vtr_largest_ap'!AD2/'vtr_largest_no_ap'!AD2)</f>
        <v/>
      </c>
    </row>
    <row r="3">
      <c r="A3" t="inlineStr">
        <is>
          <t>vtr_largest</t>
        </is>
      </c>
      <c r="B3" t="inlineStr">
        <is>
          <t>k6_frac_N10_frac_chain_mem32K_40nm.xml</t>
        </is>
      </c>
      <c r="C3" t="inlineStr">
        <is>
          <t>bgm.blif</t>
        </is>
      </c>
      <c r="D3">
        <f>IF(OR('vtr_largest_ap'!H3=-1, 'vtr_largest_no_ap'!H3=-1), "", 'vtr_largest_ap'!F3/'vtr_largest_no_ap'!F3)</f>
        <v/>
      </c>
      <c r="E3">
        <f>IF(OR('vtr_largest_ap'!H3=-1, 'vtr_largest_no_ap'!H3=-1), "", 'vtr_largest_ap'!G3/'vtr_largest_no_ap'!G3)</f>
        <v/>
      </c>
      <c r="F3">
        <f>IF(OR('vtr_largest_ap'!H3=-1, 'vtr_largest_no_ap'!H3=-1), "", 'vtr_largest_ap'!H3/'vtr_largest_no_ap'!H3)</f>
        <v/>
      </c>
      <c r="G3">
        <f>IF(OR('vtr_largest_ap'!H3=-1, 'vtr_largest_no_ap'!H3=-1), "", 'vtr_largest_ap'!J3/'vtr_largest_no_ap'!J3)</f>
        <v/>
      </c>
      <c r="H3">
        <f>IF(OR('vtr_largest_ap'!H3=-1, 'vtr_largest_no_ap'!H3=-1), "", 'vtr_largest_ap'!K3/'vtr_largest_no_ap'!K3)</f>
        <v/>
      </c>
      <c r="I3">
        <f>IF(OR('vtr_largest_ap'!H3=-1, 'vtr_largest_no_ap'!H3=-1), "", 'vtr_largest_ap'!L3/'vtr_largest_no_ap'!L3)</f>
        <v/>
      </c>
      <c r="J3">
        <f>IF(OR('vtr_largest_ap'!H3=-1, 'vtr_largest_no_ap'!H3=-1), "", 'vtr_largest_ap'!AC3/'vtr_largest_no_ap'!AC3)</f>
        <v/>
      </c>
      <c r="K3">
        <f>IF(OR('vtr_largest_ap'!H3=-1, 'vtr_largest_no_ap'!H3=-1), "", 'vtr_largest_ap'!AD3/'vtr_largest_no_ap'!AD3)</f>
        <v/>
      </c>
    </row>
    <row r="4">
      <c r="A4" t="inlineStr">
        <is>
          <t>vtr_largest</t>
        </is>
      </c>
      <c r="B4" t="inlineStr">
        <is>
          <t>k6_frac_N10_frac_chain_mem32K_40nm.xml</t>
        </is>
      </c>
      <c r="C4" t="inlineStr">
        <is>
          <t>stereovision0.blif</t>
        </is>
      </c>
      <c r="D4">
        <f>IF(OR('vtr_largest_ap'!H4=-1, 'vtr_largest_no_ap'!H4=-1), "", 'vtr_largest_ap'!F4/'vtr_largest_no_ap'!F4)</f>
        <v/>
      </c>
      <c r="E4">
        <f>IF(OR('vtr_largest_ap'!H4=-1, 'vtr_largest_no_ap'!H4=-1), "", 'vtr_largest_ap'!G4/'vtr_largest_no_ap'!G4)</f>
        <v/>
      </c>
      <c r="F4">
        <f>IF(OR('vtr_largest_ap'!H4=-1, 'vtr_largest_no_ap'!H4=-1), "", 'vtr_largest_ap'!H4/'vtr_largest_no_ap'!H4)</f>
        <v/>
      </c>
      <c r="G4">
        <f>IF(OR('vtr_largest_ap'!H4=-1, 'vtr_largest_no_ap'!H4=-1), "", 'vtr_largest_ap'!J4/'vtr_largest_no_ap'!J4)</f>
        <v/>
      </c>
      <c r="H4">
        <f>IF(OR('vtr_largest_ap'!H4=-1, 'vtr_largest_no_ap'!H4=-1), "", 'vtr_largest_ap'!K4/'vtr_largest_no_ap'!K4)</f>
        <v/>
      </c>
      <c r="I4">
        <f>IF(OR('vtr_largest_ap'!H4=-1, 'vtr_largest_no_ap'!H4=-1), "", 'vtr_largest_ap'!L4/'vtr_largest_no_ap'!L4)</f>
        <v/>
      </c>
      <c r="J4">
        <f>IF(OR('vtr_largest_ap'!H4=-1, 'vtr_largest_no_ap'!H4=-1), "", 'vtr_largest_ap'!AC4/'vtr_largest_no_ap'!AC4)</f>
        <v/>
      </c>
      <c r="K4">
        <f>IF(OR('vtr_largest_ap'!H4=-1, 'vtr_largest_no_ap'!H4=-1), "", 'vtr_largest_ap'!AD4/'vtr_largest_no_ap'!AD4)</f>
        <v/>
      </c>
    </row>
    <row r="5">
      <c r="A5" t="inlineStr">
        <is>
          <t>vtr_largest</t>
        </is>
      </c>
      <c r="B5" t="inlineStr">
        <is>
          <t>k6_frac_N10_frac_chain_mem32K_40nm.xml</t>
        </is>
      </c>
      <c r="C5" t="inlineStr">
        <is>
          <t>stereovision1.blif</t>
        </is>
      </c>
      <c r="D5">
        <f>IF(OR('vtr_largest_ap'!H5=-1, 'vtr_largest_no_ap'!H5=-1), "", 'vtr_largest_ap'!F5/'vtr_largest_no_ap'!F5)</f>
        <v/>
      </c>
      <c r="E5">
        <f>IF(OR('vtr_largest_ap'!H5=-1, 'vtr_largest_no_ap'!H5=-1), "", 'vtr_largest_ap'!G5/'vtr_largest_no_ap'!G5)</f>
        <v/>
      </c>
      <c r="F5">
        <f>IF(OR('vtr_largest_ap'!H5=-1, 'vtr_largest_no_ap'!H5=-1), "", 'vtr_largest_ap'!H5/'vtr_largest_no_ap'!H5)</f>
        <v/>
      </c>
      <c r="G5">
        <f>IF(OR('vtr_largest_ap'!H5=-1, 'vtr_largest_no_ap'!H5=-1), "", 'vtr_largest_ap'!J5/'vtr_largest_no_ap'!J5)</f>
        <v/>
      </c>
      <c r="H5">
        <f>IF(OR('vtr_largest_ap'!H5=-1, 'vtr_largest_no_ap'!H5=-1), "", 'vtr_largest_ap'!K5/'vtr_largest_no_ap'!K5)</f>
        <v/>
      </c>
      <c r="I5">
        <f>IF(OR('vtr_largest_ap'!H5=-1, 'vtr_largest_no_ap'!H5=-1), "", 'vtr_largest_ap'!L5/'vtr_largest_no_ap'!L5)</f>
        <v/>
      </c>
      <c r="J5">
        <f>IF(OR('vtr_largest_ap'!H5=-1, 'vtr_largest_no_ap'!H5=-1), "", 'vtr_largest_ap'!AC5/'vtr_largest_no_ap'!AC5)</f>
        <v/>
      </c>
      <c r="K5">
        <f>IF(OR('vtr_largest_ap'!H5=-1, 'vtr_largest_no_ap'!H5=-1), "", 'vtr_largest_ap'!AD5/'vtr_largest_no_ap'!AD5)</f>
        <v/>
      </c>
    </row>
    <row r="6">
      <c r="A6" t="inlineStr">
        <is>
          <t>vtr_largest</t>
        </is>
      </c>
      <c r="B6" t="inlineStr">
        <is>
          <t>k6_frac_N10_frac_chain_mem32K_40nm.xml</t>
        </is>
      </c>
      <c r="C6" t="inlineStr">
        <is>
          <t>stereovision2.blif</t>
        </is>
      </c>
      <c r="D6">
        <f>IF(OR('vtr_largest_ap'!H6=-1, 'vtr_largest_no_ap'!H6=-1), "", 'vtr_largest_ap'!F6/'vtr_largest_no_ap'!F6)</f>
        <v/>
      </c>
      <c r="E6">
        <f>IF(OR('vtr_largest_ap'!H6=-1, 'vtr_largest_no_ap'!H6=-1), "", 'vtr_largest_ap'!G6/'vtr_largest_no_ap'!G6)</f>
        <v/>
      </c>
      <c r="F6">
        <f>IF(OR('vtr_largest_ap'!H6=-1, 'vtr_largest_no_ap'!H6=-1), "", 'vtr_largest_ap'!H6/'vtr_largest_no_ap'!H6)</f>
        <v/>
      </c>
      <c r="G6">
        <f>IF(OR('vtr_largest_ap'!H6=-1, 'vtr_largest_no_ap'!H6=-1), "", 'vtr_largest_ap'!J6/'vtr_largest_no_ap'!J6)</f>
        <v/>
      </c>
      <c r="H6">
        <f>IF(OR('vtr_largest_ap'!H6=-1, 'vtr_largest_no_ap'!H6=-1), "", 'vtr_largest_ap'!K6/'vtr_largest_no_ap'!K6)</f>
        <v/>
      </c>
      <c r="I6">
        <f>IF(OR('vtr_largest_ap'!H6=-1, 'vtr_largest_no_ap'!H6=-1), "", 'vtr_largest_ap'!L6/'vtr_largest_no_ap'!L6)</f>
        <v/>
      </c>
      <c r="J6">
        <f>IF(OR('vtr_largest_ap'!H6=-1, 'vtr_largest_no_ap'!H6=-1), "", 'vtr_largest_ap'!AC6/'vtr_largest_no_ap'!AC6)</f>
        <v/>
      </c>
      <c r="K6">
        <f>IF(OR('vtr_largest_ap'!H6=-1, 'vtr_largest_no_ap'!H6=-1), "", 'vtr_largest_ap'!AD6/'vtr_largest_no_ap'!AD6)</f>
        <v/>
      </c>
    </row>
    <row r="7">
      <c r="A7" t="inlineStr">
        <is>
          <t>vtr_largest</t>
        </is>
      </c>
      <c r="B7" t="inlineStr">
        <is>
          <t>k6_frac_N10_frac_chain_mem32K_40nm.xml</t>
        </is>
      </c>
      <c r="C7" t="inlineStr">
        <is>
          <t>LU8PEEng.blif</t>
        </is>
      </c>
      <c r="D7">
        <f>IF(OR('vtr_largest_ap'!H7=-1, 'vtr_largest_no_ap'!H7=-1), "", 'vtr_largest_ap'!F7/'vtr_largest_no_ap'!F7)</f>
        <v/>
      </c>
      <c r="E7">
        <f>IF(OR('vtr_largest_ap'!H7=-1, 'vtr_largest_no_ap'!H7=-1), "", 'vtr_largest_ap'!G7/'vtr_largest_no_ap'!G7)</f>
        <v/>
      </c>
      <c r="F7">
        <f>IF(OR('vtr_largest_ap'!H7=-1, 'vtr_largest_no_ap'!H7=-1), "", 'vtr_largest_ap'!H7/'vtr_largest_no_ap'!H7)</f>
        <v/>
      </c>
      <c r="G7">
        <f>IF(OR('vtr_largest_ap'!H7=-1, 'vtr_largest_no_ap'!H7=-1), "", 'vtr_largest_ap'!J7/'vtr_largest_no_ap'!J7)</f>
        <v/>
      </c>
      <c r="H7">
        <f>IF(OR('vtr_largest_ap'!H7=-1, 'vtr_largest_no_ap'!H7=-1), "", 'vtr_largest_ap'!K7/'vtr_largest_no_ap'!K7)</f>
        <v/>
      </c>
      <c r="I7">
        <f>IF(OR('vtr_largest_ap'!H7=-1, 'vtr_largest_no_ap'!H7=-1), "", 'vtr_largest_ap'!L7/'vtr_largest_no_ap'!L7)</f>
        <v/>
      </c>
      <c r="J7">
        <f>IF(OR('vtr_largest_ap'!H7=-1, 'vtr_largest_no_ap'!H7=-1), "", 'vtr_largest_ap'!AC7/'vtr_largest_no_ap'!AC7)</f>
        <v/>
      </c>
      <c r="K7">
        <f>IF(OR('vtr_largest_ap'!H7=-1, 'vtr_largest_no_ap'!H7=-1), "", 'vtr_largest_ap'!AD7/'vtr_largest_no_ap'!AD7)</f>
        <v/>
      </c>
    </row>
    <row r="8">
      <c r="A8" t="inlineStr">
        <is>
          <t>vtr_largest</t>
        </is>
      </c>
      <c r="B8" t="inlineStr">
        <is>
          <t>k6_frac_N10_frac_chain_mem32K_40nm.xml</t>
        </is>
      </c>
      <c r="C8" t="inlineStr">
        <is>
          <t>LU32PEEng.blif</t>
        </is>
      </c>
      <c r="D8">
        <f>IF(OR('vtr_largest_ap'!H8=-1, 'vtr_largest_no_ap'!H8=-1), "", 'vtr_largest_ap'!F8/'vtr_largest_no_ap'!F8)</f>
        <v/>
      </c>
      <c r="E8">
        <f>IF(OR('vtr_largest_ap'!H8=-1, 'vtr_largest_no_ap'!H8=-1), "", 'vtr_largest_ap'!G8/'vtr_largest_no_ap'!G8)</f>
        <v/>
      </c>
      <c r="F8">
        <f>IF(OR('vtr_largest_ap'!H8=-1, 'vtr_largest_no_ap'!H8=-1), "", 'vtr_largest_ap'!H8/'vtr_largest_no_ap'!H8)</f>
        <v/>
      </c>
      <c r="G8">
        <f>IF(OR('vtr_largest_ap'!H8=-1, 'vtr_largest_no_ap'!H8=-1), "", 'vtr_largest_ap'!J8/'vtr_largest_no_ap'!J8)</f>
        <v/>
      </c>
      <c r="H8">
        <f>IF(OR('vtr_largest_ap'!H8=-1, 'vtr_largest_no_ap'!H8=-1), "", 'vtr_largest_ap'!K8/'vtr_largest_no_ap'!K8)</f>
        <v/>
      </c>
      <c r="I8">
        <f>IF(OR('vtr_largest_ap'!H8=-1, 'vtr_largest_no_ap'!H8=-1), "", 'vtr_largest_ap'!L8/'vtr_largest_no_ap'!L8)</f>
        <v/>
      </c>
      <c r="J8">
        <f>IF(OR('vtr_largest_ap'!H8=-1, 'vtr_largest_no_ap'!H8=-1), "", 'vtr_largest_ap'!AC8/'vtr_largest_no_ap'!AC8)</f>
        <v/>
      </c>
      <c r="K8">
        <f>IF(OR('vtr_largest_ap'!H8=-1, 'vtr_largest_no_ap'!H8=-1), "", 'vtr_largest_ap'!AD8/'vtr_largest_no_ap'!AD8)</f>
        <v/>
      </c>
    </row>
    <row r="9">
      <c r="A9" t="inlineStr">
        <is>
          <t>vtr_largest</t>
        </is>
      </c>
      <c r="B9" t="inlineStr">
        <is>
          <t>k6_frac_N10_frac_chain_mem32K_40nm.xml</t>
        </is>
      </c>
      <c r="C9" t="inlineStr">
        <is>
          <t>mcml.blif</t>
        </is>
      </c>
      <c r="D9">
        <f>IF(OR('vtr_largest_ap'!H9=-1, 'vtr_largest_no_ap'!H9=-1), "", 'vtr_largest_ap'!F9/'vtr_largest_no_ap'!F9)</f>
        <v/>
      </c>
      <c r="E9">
        <f>IF(OR('vtr_largest_ap'!H9=-1, 'vtr_largest_no_ap'!H9=-1), "", 'vtr_largest_ap'!G9/'vtr_largest_no_ap'!G9)</f>
        <v/>
      </c>
      <c r="F9">
        <f>IF(OR('vtr_largest_ap'!H9=-1, 'vtr_largest_no_ap'!H9=-1), "", 'vtr_largest_ap'!H9/'vtr_largest_no_ap'!H9)</f>
        <v/>
      </c>
      <c r="G9">
        <f>IF(OR('vtr_largest_ap'!H9=-1, 'vtr_largest_no_ap'!H9=-1), "", 'vtr_largest_ap'!J9/'vtr_largest_no_ap'!J9)</f>
        <v/>
      </c>
      <c r="H9">
        <f>IF(OR('vtr_largest_ap'!H9=-1, 'vtr_largest_no_ap'!H9=-1), "", 'vtr_largest_ap'!K9/'vtr_largest_no_ap'!K9)</f>
        <v/>
      </c>
      <c r="I9">
        <f>IF(OR('vtr_largest_ap'!H9=-1, 'vtr_largest_no_ap'!H9=-1), "", 'vtr_largest_ap'!L9/'vtr_largest_no_ap'!L9)</f>
        <v/>
      </c>
      <c r="J9">
        <f>IF(OR('vtr_largest_ap'!H9=-1, 'vtr_largest_no_ap'!H9=-1), "", 'vtr_largest_ap'!AC9/'vtr_largest_no_ap'!AC9)</f>
        <v/>
      </c>
      <c r="K9">
        <f>IF(OR('vtr_largest_ap'!H9=-1, 'vtr_largest_no_ap'!H9=-1), "", 'vtr_largest_ap'!AD9/'vtr_largest_no_ap'!AD9)</f>
        <v/>
      </c>
    </row>
    <row r="10">
      <c r="A10" t="inlineStr">
        <is>
          <t>vtr_largest</t>
        </is>
      </c>
      <c r="B10" t="inlineStr"/>
      <c r="C10" t="inlineStr">
        <is>
          <t>GEOMEAN</t>
        </is>
      </c>
      <c r="D10">
        <f>GEOMEAN(D2:D9)</f>
        <v/>
      </c>
      <c r="E10">
        <f>GEOMEAN(E2:E9)</f>
        <v/>
      </c>
      <c r="F10">
        <f>GEOMEAN(F2:F9)</f>
        <v/>
      </c>
      <c r="G10">
        <f>GEOMEAN(G2:G9)</f>
        <v/>
      </c>
      <c r="H10">
        <f>GEOMEAN(H2:H9)</f>
        <v/>
      </c>
      <c r="I10">
        <f>GEOMEAN(I2:I9)</f>
        <v/>
      </c>
      <c r="J10">
        <f>GEOMEAN(J2:J9)</f>
        <v/>
      </c>
      <c r="K10">
        <f>GEOMEAN(K2:K9)</f>
        <v/>
      </c>
    </row>
    <row r="11">
      <c r="A11" t="inlineStr">
        <is>
          <t>vtr_largest</t>
        </is>
      </c>
      <c r="B11" t="inlineStr"/>
      <c r="C11" t="inlineStr">
        <is>
          <t>UNROUTES</t>
        </is>
      </c>
      <c r="D11">
        <f>8 - COUNT(F2:F9)</f>
        <v/>
      </c>
    </row>
    <row r="12">
      <c r="A12" t="inlineStr"/>
    </row>
    <row r="13">
      <c r="A13" t="inlineStr">
        <is>
          <t>artix_7</t>
        </is>
      </c>
      <c r="B13" t="inlineStr">
        <is>
          <t>7series_BRAM_DSP_carry.xml</t>
        </is>
      </c>
      <c r="C13" t="inlineStr">
        <is>
          <t>arm_core.blif</t>
        </is>
      </c>
      <c r="D13">
        <f>IF(OR('artix_7_ap'!H2=-1, 'artix_7_no_ap'!H2=-1), "", 'artix_7_ap'!F2/'artix_7_no_ap'!F2)</f>
        <v/>
      </c>
      <c r="E13">
        <f>IF(OR('artix_7_ap'!H2=-1, 'artix_7_no_ap'!H2=-1), "", 'artix_7_ap'!G2/'artix_7_no_ap'!G2)</f>
        <v/>
      </c>
      <c r="F13">
        <f>IF(OR('artix_7_ap'!H2=-1, 'artix_7_no_ap'!H2=-1), "", 'artix_7_ap'!H2/'artix_7_no_ap'!H2)</f>
        <v/>
      </c>
      <c r="G13">
        <f>IF(OR('artix_7_ap'!H2=-1, 'artix_7_no_ap'!H2=-1), "", 'artix_7_ap'!J2/'artix_7_no_ap'!J2)</f>
        <v/>
      </c>
      <c r="H13">
        <f>IF(OR('artix_7_ap'!H2=-1, 'artix_7_no_ap'!H2=-1), "", 'artix_7_ap'!K2/'artix_7_no_ap'!K2)</f>
        <v/>
      </c>
      <c r="I13">
        <f>IF(OR('artix_7_ap'!H2=-1, 'artix_7_no_ap'!H2=-1), "", 'artix_7_ap'!L2/'artix_7_no_ap'!L2)</f>
        <v/>
      </c>
      <c r="J13">
        <f>IF(OR('artix_7_ap'!H2=-1, 'artix_7_no_ap'!H2=-1), "", 'artix_7_ap'!AC2/'artix_7_no_ap'!AC2)</f>
        <v/>
      </c>
      <c r="K13">
        <f>IF(OR('artix_7_ap'!H2=-1, 'artix_7_no_ap'!H2=-1), "", 'artix_7_ap'!AD2/'artix_7_no_ap'!AD2)</f>
        <v/>
      </c>
    </row>
    <row r="14">
      <c r="A14" t="inlineStr">
        <is>
          <t>artix_7</t>
        </is>
      </c>
      <c r="B14" t="inlineStr">
        <is>
          <t>7series_BRAM_DSP_carry.xml</t>
        </is>
      </c>
      <c r="C14" t="inlineStr">
        <is>
          <t>bgm.blif</t>
        </is>
      </c>
      <c r="D14">
        <f>IF(OR('artix_7_ap'!H3=-1, 'artix_7_no_ap'!H3=-1), "", 'artix_7_ap'!F3/'artix_7_no_ap'!F3)</f>
        <v/>
      </c>
      <c r="E14">
        <f>IF(OR('artix_7_ap'!H3=-1, 'artix_7_no_ap'!H3=-1), "", 'artix_7_ap'!G3/'artix_7_no_ap'!G3)</f>
        <v/>
      </c>
      <c r="F14">
        <f>IF(OR('artix_7_ap'!H3=-1, 'artix_7_no_ap'!H3=-1), "", 'artix_7_ap'!H3/'artix_7_no_ap'!H3)</f>
        <v/>
      </c>
      <c r="G14">
        <f>IF(OR('artix_7_ap'!H3=-1, 'artix_7_no_ap'!H3=-1), "", 'artix_7_ap'!J3/'artix_7_no_ap'!J3)</f>
        <v/>
      </c>
      <c r="H14">
        <f>IF(OR('artix_7_ap'!H3=-1, 'artix_7_no_ap'!H3=-1), "", 'artix_7_ap'!K3/'artix_7_no_ap'!K3)</f>
        <v/>
      </c>
      <c r="I14">
        <f>IF(OR('artix_7_ap'!H3=-1, 'artix_7_no_ap'!H3=-1), "", 'artix_7_ap'!L3/'artix_7_no_ap'!L3)</f>
        <v/>
      </c>
      <c r="J14">
        <f>IF(OR('artix_7_ap'!H3=-1, 'artix_7_no_ap'!H3=-1), "", 'artix_7_ap'!AC3/'artix_7_no_ap'!AC3)</f>
        <v/>
      </c>
      <c r="K14">
        <f>IF(OR('artix_7_ap'!H3=-1, 'artix_7_no_ap'!H3=-1), "", 'artix_7_ap'!AD3/'artix_7_no_ap'!AD3)</f>
        <v/>
      </c>
    </row>
    <row r="15">
      <c r="A15" t="inlineStr">
        <is>
          <t>artix_7</t>
        </is>
      </c>
      <c r="B15" t="inlineStr">
        <is>
          <t>7series_BRAM_DSP_carry.xml</t>
        </is>
      </c>
      <c r="C15" t="inlineStr">
        <is>
          <t>stereovision0.blif</t>
        </is>
      </c>
      <c r="D15">
        <f>IF(OR('artix_7_ap'!H4=-1, 'artix_7_no_ap'!H4=-1), "", 'artix_7_ap'!F4/'artix_7_no_ap'!F4)</f>
        <v/>
      </c>
      <c r="E15">
        <f>IF(OR('artix_7_ap'!H4=-1, 'artix_7_no_ap'!H4=-1), "", 'artix_7_ap'!G4/'artix_7_no_ap'!G4)</f>
        <v/>
      </c>
      <c r="F15">
        <f>IF(OR('artix_7_ap'!H4=-1, 'artix_7_no_ap'!H4=-1), "", 'artix_7_ap'!H4/'artix_7_no_ap'!H4)</f>
        <v/>
      </c>
      <c r="G15">
        <f>IF(OR('artix_7_ap'!H4=-1, 'artix_7_no_ap'!H4=-1), "", 'artix_7_ap'!J4/'artix_7_no_ap'!J4)</f>
        <v/>
      </c>
      <c r="H15">
        <f>IF(OR('artix_7_ap'!H4=-1, 'artix_7_no_ap'!H4=-1), "", 'artix_7_ap'!K4/'artix_7_no_ap'!K4)</f>
        <v/>
      </c>
      <c r="I15">
        <f>IF(OR('artix_7_ap'!H4=-1, 'artix_7_no_ap'!H4=-1), "", 'artix_7_ap'!L4/'artix_7_no_ap'!L4)</f>
        <v/>
      </c>
      <c r="J15">
        <f>IF(OR('artix_7_ap'!H4=-1, 'artix_7_no_ap'!H4=-1), "", 'artix_7_ap'!AC4/'artix_7_no_ap'!AC4)</f>
        <v/>
      </c>
      <c r="K15">
        <f>IF(OR('artix_7_ap'!H4=-1, 'artix_7_no_ap'!H4=-1), "", 'artix_7_ap'!AD4/'artix_7_no_ap'!AD4)</f>
        <v/>
      </c>
    </row>
    <row r="16">
      <c r="A16" t="inlineStr">
        <is>
          <t>artix_7</t>
        </is>
      </c>
      <c r="B16" t="inlineStr">
        <is>
          <t>7series_BRAM_DSP_carry.xml</t>
        </is>
      </c>
      <c r="C16" t="inlineStr">
        <is>
          <t>stereovision1.blif</t>
        </is>
      </c>
      <c r="D16">
        <f>IF(OR('artix_7_ap'!H5=-1, 'artix_7_no_ap'!H5=-1), "", 'artix_7_ap'!F5/'artix_7_no_ap'!F5)</f>
        <v/>
      </c>
      <c r="E16">
        <f>IF(OR('artix_7_ap'!H5=-1, 'artix_7_no_ap'!H5=-1), "", 'artix_7_ap'!G5/'artix_7_no_ap'!G5)</f>
        <v/>
      </c>
      <c r="F16">
        <f>IF(OR('artix_7_ap'!H5=-1, 'artix_7_no_ap'!H5=-1), "", 'artix_7_ap'!H5/'artix_7_no_ap'!H5)</f>
        <v/>
      </c>
      <c r="G16">
        <f>IF(OR('artix_7_ap'!H5=-1, 'artix_7_no_ap'!H5=-1), "", 'artix_7_ap'!J5/'artix_7_no_ap'!J5)</f>
        <v/>
      </c>
      <c r="H16">
        <f>IF(OR('artix_7_ap'!H5=-1, 'artix_7_no_ap'!H5=-1), "", 'artix_7_ap'!K5/'artix_7_no_ap'!K5)</f>
        <v/>
      </c>
      <c r="I16">
        <f>IF(OR('artix_7_ap'!H5=-1, 'artix_7_no_ap'!H5=-1), "", 'artix_7_ap'!L5/'artix_7_no_ap'!L5)</f>
        <v/>
      </c>
      <c r="J16">
        <f>IF(OR('artix_7_ap'!H5=-1, 'artix_7_no_ap'!H5=-1), "", 'artix_7_ap'!AC5/'artix_7_no_ap'!AC5)</f>
        <v/>
      </c>
      <c r="K16">
        <f>IF(OR('artix_7_ap'!H5=-1, 'artix_7_no_ap'!H5=-1), "", 'artix_7_ap'!AD5/'artix_7_no_ap'!AD5)</f>
        <v/>
      </c>
    </row>
    <row r="17">
      <c r="A17" t="inlineStr">
        <is>
          <t>artix_7</t>
        </is>
      </c>
      <c r="B17" t="inlineStr">
        <is>
          <t>7series_BRAM_DSP_carry.xml</t>
        </is>
      </c>
      <c r="C17" t="inlineStr">
        <is>
          <t>stereovision2.blif</t>
        </is>
      </c>
      <c r="D17">
        <f>IF(OR('artix_7_ap'!H6=-1, 'artix_7_no_ap'!H6=-1), "", 'artix_7_ap'!F6/'artix_7_no_ap'!F6)</f>
        <v/>
      </c>
      <c r="E17">
        <f>IF(OR('artix_7_ap'!H6=-1, 'artix_7_no_ap'!H6=-1), "", 'artix_7_ap'!G6/'artix_7_no_ap'!G6)</f>
        <v/>
      </c>
      <c r="F17">
        <f>IF(OR('artix_7_ap'!H6=-1, 'artix_7_no_ap'!H6=-1), "", 'artix_7_ap'!H6/'artix_7_no_ap'!H6)</f>
        <v/>
      </c>
      <c r="G17">
        <f>IF(OR('artix_7_ap'!H6=-1, 'artix_7_no_ap'!H6=-1), "", 'artix_7_ap'!J6/'artix_7_no_ap'!J6)</f>
        <v/>
      </c>
      <c r="H17">
        <f>IF(OR('artix_7_ap'!H6=-1, 'artix_7_no_ap'!H6=-1), "", 'artix_7_ap'!K6/'artix_7_no_ap'!K6)</f>
        <v/>
      </c>
      <c r="I17">
        <f>IF(OR('artix_7_ap'!H6=-1, 'artix_7_no_ap'!H6=-1), "", 'artix_7_ap'!L6/'artix_7_no_ap'!L6)</f>
        <v/>
      </c>
      <c r="J17">
        <f>IF(OR('artix_7_ap'!H6=-1, 'artix_7_no_ap'!H6=-1), "", 'artix_7_ap'!AC6/'artix_7_no_ap'!AC6)</f>
        <v/>
      </c>
      <c r="K17">
        <f>IF(OR('artix_7_ap'!H6=-1, 'artix_7_no_ap'!H6=-1), "", 'artix_7_ap'!AD6/'artix_7_no_ap'!AD6)</f>
        <v/>
      </c>
    </row>
    <row r="18">
      <c r="A18" t="inlineStr">
        <is>
          <t>artix_7</t>
        </is>
      </c>
      <c r="B18" t="inlineStr">
        <is>
          <t>7series_BRAM_DSP_carry.xml</t>
        </is>
      </c>
      <c r="C18" t="inlineStr">
        <is>
          <t>LU8PEEng.blif</t>
        </is>
      </c>
      <c r="D18">
        <f>IF(OR('artix_7_ap'!H7=-1, 'artix_7_no_ap'!H7=-1), "", 'artix_7_ap'!F7/'artix_7_no_ap'!F7)</f>
        <v/>
      </c>
      <c r="E18">
        <f>IF(OR('artix_7_ap'!H7=-1, 'artix_7_no_ap'!H7=-1), "", 'artix_7_ap'!G7/'artix_7_no_ap'!G7)</f>
        <v/>
      </c>
      <c r="F18">
        <f>IF(OR('artix_7_ap'!H7=-1, 'artix_7_no_ap'!H7=-1), "", 'artix_7_ap'!H7/'artix_7_no_ap'!H7)</f>
        <v/>
      </c>
      <c r="G18">
        <f>IF(OR('artix_7_ap'!H7=-1, 'artix_7_no_ap'!H7=-1), "", 'artix_7_ap'!J7/'artix_7_no_ap'!J7)</f>
        <v/>
      </c>
      <c r="H18">
        <f>IF(OR('artix_7_ap'!H7=-1, 'artix_7_no_ap'!H7=-1), "", 'artix_7_ap'!K7/'artix_7_no_ap'!K7)</f>
        <v/>
      </c>
      <c r="I18">
        <f>IF(OR('artix_7_ap'!H7=-1, 'artix_7_no_ap'!H7=-1), "", 'artix_7_ap'!L7/'artix_7_no_ap'!L7)</f>
        <v/>
      </c>
      <c r="J18">
        <f>IF(OR('artix_7_ap'!H7=-1, 'artix_7_no_ap'!H7=-1), "", 'artix_7_ap'!AC7/'artix_7_no_ap'!AC7)</f>
        <v/>
      </c>
      <c r="K18">
        <f>IF(OR('artix_7_ap'!H7=-1, 'artix_7_no_ap'!H7=-1), "", 'artix_7_ap'!AD7/'artix_7_no_ap'!AD7)</f>
        <v/>
      </c>
    </row>
    <row r="19">
      <c r="A19" t="inlineStr">
        <is>
          <t>artix_7</t>
        </is>
      </c>
      <c r="B19" t="inlineStr">
        <is>
          <t>7series_BRAM_DSP_carry.xml</t>
        </is>
      </c>
      <c r="C19" t="inlineStr">
        <is>
          <t>LU32PEEng.blif</t>
        </is>
      </c>
      <c r="D19">
        <f>IF(OR('artix_7_ap'!H8=-1, 'artix_7_no_ap'!H8=-1), "", 'artix_7_ap'!F8/'artix_7_no_ap'!F8)</f>
        <v/>
      </c>
      <c r="E19">
        <f>IF(OR('artix_7_ap'!H8=-1, 'artix_7_no_ap'!H8=-1), "", 'artix_7_ap'!G8/'artix_7_no_ap'!G8)</f>
        <v/>
      </c>
      <c r="F19">
        <f>IF(OR('artix_7_ap'!H8=-1, 'artix_7_no_ap'!H8=-1), "", 'artix_7_ap'!H8/'artix_7_no_ap'!H8)</f>
        <v/>
      </c>
      <c r="G19">
        <f>IF(OR('artix_7_ap'!H8=-1, 'artix_7_no_ap'!H8=-1), "", 'artix_7_ap'!J8/'artix_7_no_ap'!J8)</f>
        <v/>
      </c>
      <c r="H19">
        <f>IF(OR('artix_7_ap'!H8=-1, 'artix_7_no_ap'!H8=-1), "", 'artix_7_ap'!K8/'artix_7_no_ap'!K8)</f>
        <v/>
      </c>
      <c r="I19">
        <f>IF(OR('artix_7_ap'!H8=-1, 'artix_7_no_ap'!H8=-1), "", 'artix_7_ap'!L8/'artix_7_no_ap'!L8)</f>
        <v/>
      </c>
      <c r="J19">
        <f>IF(OR('artix_7_ap'!H8=-1, 'artix_7_no_ap'!H8=-1), "", 'artix_7_ap'!AC8/'artix_7_no_ap'!AC8)</f>
        <v/>
      </c>
      <c r="K19">
        <f>IF(OR('artix_7_ap'!H8=-1, 'artix_7_no_ap'!H8=-1), "", 'artix_7_ap'!AD8/'artix_7_no_ap'!AD8)</f>
        <v/>
      </c>
    </row>
    <row r="20">
      <c r="A20" t="inlineStr">
        <is>
          <t>artix_7</t>
        </is>
      </c>
      <c r="B20" t="inlineStr">
        <is>
          <t>7series_BRAM_DSP_carry.xml</t>
        </is>
      </c>
      <c r="C20" t="inlineStr">
        <is>
          <t>mcml.blif</t>
        </is>
      </c>
      <c r="D20">
        <f>IF(OR('artix_7_ap'!H9=-1, 'artix_7_no_ap'!H9=-1), "", 'artix_7_ap'!F9/'artix_7_no_ap'!F9)</f>
        <v/>
      </c>
      <c r="E20">
        <f>IF(OR('artix_7_ap'!H9=-1, 'artix_7_no_ap'!H9=-1), "", 'artix_7_ap'!G9/'artix_7_no_ap'!G9)</f>
        <v/>
      </c>
      <c r="F20">
        <f>IF(OR('artix_7_ap'!H9=-1, 'artix_7_no_ap'!H9=-1), "", 'artix_7_ap'!H9/'artix_7_no_ap'!H9)</f>
        <v/>
      </c>
      <c r="G20">
        <f>IF(OR('artix_7_ap'!H9=-1, 'artix_7_no_ap'!H9=-1), "", 'artix_7_ap'!J9/'artix_7_no_ap'!J9)</f>
        <v/>
      </c>
      <c r="H20">
        <f>IF(OR('artix_7_ap'!H9=-1, 'artix_7_no_ap'!H9=-1), "", 'artix_7_ap'!K9/'artix_7_no_ap'!K9)</f>
        <v/>
      </c>
      <c r="I20">
        <f>IF(OR('artix_7_ap'!H9=-1, 'artix_7_no_ap'!H9=-1), "", 'artix_7_ap'!L9/'artix_7_no_ap'!L9)</f>
        <v/>
      </c>
      <c r="J20">
        <f>IF(OR('artix_7_ap'!H9=-1, 'artix_7_no_ap'!H9=-1), "", 'artix_7_ap'!AC9/'artix_7_no_ap'!AC9)</f>
        <v/>
      </c>
      <c r="K20">
        <f>IF(OR('artix_7_ap'!H9=-1, 'artix_7_no_ap'!H9=-1), "", 'artix_7_ap'!AD9/'artix_7_no_ap'!AD9)</f>
        <v/>
      </c>
    </row>
    <row r="21">
      <c r="A21" t="inlineStr">
        <is>
          <t>artix_7</t>
        </is>
      </c>
      <c r="B21" t="inlineStr"/>
      <c r="C21" t="inlineStr">
        <is>
          <t>GEOMEAN</t>
        </is>
      </c>
      <c r="D21">
        <f>GEOMEAN(D13:D20)</f>
        <v/>
      </c>
      <c r="E21">
        <f>GEOMEAN(E13:E20)</f>
        <v/>
      </c>
      <c r="F21">
        <f>GEOMEAN(F13:F20)</f>
        <v/>
      </c>
      <c r="G21">
        <f>GEOMEAN(G13:G20)</f>
        <v/>
      </c>
      <c r="H21">
        <f>GEOMEAN(H13:H20)</f>
        <v/>
      </c>
      <c r="I21">
        <f>GEOMEAN(I13:I20)</f>
        <v/>
      </c>
      <c r="J21">
        <f>GEOMEAN(J13:J20)</f>
        <v/>
      </c>
      <c r="K21">
        <f>GEOMEAN(K13:K20)</f>
        <v/>
      </c>
    </row>
    <row r="22">
      <c r="A22" t="inlineStr">
        <is>
          <t>artix_7</t>
        </is>
      </c>
      <c r="B22" t="inlineStr"/>
      <c r="C22" t="inlineStr">
        <is>
          <t>UNROUTES</t>
        </is>
      </c>
      <c r="D22">
        <f>8 - COUNT(F13:F20)</f>
        <v/>
      </c>
    </row>
    <row r="23">
      <c r="A23" t="inlineStr"/>
    </row>
    <row r="24">
      <c r="A24" t="inlineStr">
        <is>
          <t>titan</t>
        </is>
      </c>
      <c r="B24" t="inlineStr">
        <is>
          <t>stratixiv_arch.timing.xml</t>
        </is>
      </c>
      <c r="C24" t="inlineStr">
        <is>
          <t>LU230_stratixiv_arch_timing.blif</t>
        </is>
      </c>
      <c r="D24">
        <f>IF(OR('titan_ap'!H2=-1, 'titan_no_ap'!H2=-1), "", 'titan_ap'!F2/'titan_no_ap'!F2)</f>
        <v/>
      </c>
      <c r="E24">
        <f>IF(OR('titan_ap'!H2=-1, 'titan_no_ap'!H2=-1), "", 'titan_ap'!G2/'titan_no_ap'!G2)</f>
        <v/>
      </c>
      <c r="F24">
        <f>IF(OR('titan_ap'!H2=-1, 'titan_no_ap'!H2=-1), "", 'titan_ap'!H2/'titan_no_ap'!H2)</f>
        <v/>
      </c>
      <c r="G24">
        <f>IF(OR('titan_ap'!H2=-1, 'titan_no_ap'!H2=-1), "", 'titan_ap'!J2/'titan_no_ap'!J2)</f>
        <v/>
      </c>
      <c r="H24">
        <f>IF(OR('titan_ap'!H2=-1, 'titan_no_ap'!H2=-1), "", 'titan_ap'!K2/'titan_no_ap'!K2)</f>
        <v/>
      </c>
      <c r="I24">
        <f>IF(OR('titan_ap'!H2=-1, 'titan_no_ap'!H2=-1), "", 'titan_ap'!L2/'titan_no_ap'!L2)</f>
        <v/>
      </c>
      <c r="J24">
        <f>IF(OR('titan_ap'!H2=-1, 'titan_no_ap'!H2=-1), "", 'titan_ap'!AC2/'titan_no_ap'!AC2)</f>
        <v/>
      </c>
      <c r="K24">
        <f>IF(OR('titan_ap'!H2=-1, 'titan_no_ap'!H2=-1), "", 'titan_ap'!AD2/'titan_no_ap'!AD2)</f>
        <v/>
      </c>
    </row>
    <row r="25">
      <c r="A25" t="inlineStr">
        <is>
          <t>titan</t>
        </is>
      </c>
      <c r="B25" t="inlineStr">
        <is>
          <t>stratixiv_arch.timing.xml</t>
        </is>
      </c>
      <c r="C25" t="inlineStr">
        <is>
          <t>LU_Network_stratixiv_arch_timing.blif</t>
        </is>
      </c>
      <c r="D25">
        <f>IF(OR('titan_ap'!H3=-1, 'titan_no_ap'!H3=-1), "", 'titan_ap'!F3/'titan_no_ap'!F3)</f>
        <v/>
      </c>
      <c r="E25">
        <f>IF(OR('titan_ap'!H3=-1, 'titan_no_ap'!H3=-1), "", 'titan_ap'!G3/'titan_no_ap'!G3)</f>
        <v/>
      </c>
      <c r="F25">
        <f>IF(OR('titan_ap'!H3=-1, 'titan_no_ap'!H3=-1), "", 'titan_ap'!H3/'titan_no_ap'!H3)</f>
        <v/>
      </c>
      <c r="G25">
        <f>IF(OR('titan_ap'!H3=-1, 'titan_no_ap'!H3=-1), "", 'titan_ap'!J3/'titan_no_ap'!J3)</f>
        <v/>
      </c>
      <c r="H25">
        <f>IF(OR('titan_ap'!H3=-1, 'titan_no_ap'!H3=-1), "", 'titan_ap'!K3/'titan_no_ap'!K3)</f>
        <v/>
      </c>
      <c r="I25">
        <f>IF(OR('titan_ap'!H3=-1, 'titan_no_ap'!H3=-1), "", 'titan_ap'!L3/'titan_no_ap'!L3)</f>
        <v/>
      </c>
      <c r="J25">
        <f>IF(OR('titan_ap'!H3=-1, 'titan_no_ap'!H3=-1), "", 'titan_ap'!AC3/'titan_no_ap'!AC3)</f>
        <v/>
      </c>
      <c r="K25">
        <f>IF(OR('titan_ap'!H3=-1, 'titan_no_ap'!H3=-1), "", 'titan_ap'!AD3/'titan_no_ap'!AD3)</f>
        <v/>
      </c>
    </row>
    <row r="26">
      <c r="A26" t="inlineStr">
        <is>
          <t>titan</t>
        </is>
      </c>
      <c r="B26" t="inlineStr">
        <is>
          <t>stratixiv_arch.timing.xml</t>
        </is>
      </c>
      <c r="C26" t="inlineStr">
        <is>
          <t>SLAM_spheric_stratixiv_arch_timing.blif</t>
        </is>
      </c>
      <c r="D26">
        <f>IF(OR('titan_ap'!H4=-1, 'titan_no_ap'!H4=-1), "", 'titan_ap'!F4/'titan_no_ap'!F4)</f>
        <v/>
      </c>
      <c r="E26">
        <f>IF(OR('titan_ap'!H4=-1, 'titan_no_ap'!H4=-1), "", 'titan_ap'!G4/'titan_no_ap'!G4)</f>
        <v/>
      </c>
      <c r="F26">
        <f>IF(OR('titan_ap'!H4=-1, 'titan_no_ap'!H4=-1), "", 'titan_ap'!H4/'titan_no_ap'!H4)</f>
        <v/>
      </c>
      <c r="G26">
        <f>IF(OR('titan_ap'!H4=-1, 'titan_no_ap'!H4=-1), "", 'titan_ap'!J4/'titan_no_ap'!J4)</f>
        <v/>
      </c>
      <c r="H26">
        <f>IF(OR('titan_ap'!H4=-1, 'titan_no_ap'!H4=-1), "", 'titan_ap'!K4/'titan_no_ap'!K4)</f>
        <v/>
      </c>
      <c r="I26">
        <f>IF(OR('titan_ap'!H4=-1, 'titan_no_ap'!H4=-1), "", 'titan_ap'!L4/'titan_no_ap'!L4)</f>
        <v/>
      </c>
      <c r="J26">
        <f>IF(OR('titan_ap'!H4=-1, 'titan_no_ap'!H4=-1), "", 'titan_ap'!AC4/'titan_no_ap'!AC4)</f>
        <v/>
      </c>
      <c r="K26">
        <f>IF(OR('titan_ap'!H4=-1, 'titan_no_ap'!H4=-1), "", 'titan_ap'!AD4/'titan_no_ap'!AD4)</f>
        <v/>
      </c>
    </row>
    <row r="27">
      <c r="A27" t="inlineStr">
        <is>
          <t>titan</t>
        </is>
      </c>
      <c r="B27" t="inlineStr">
        <is>
          <t>stratixiv_arch.timing.xml</t>
        </is>
      </c>
      <c r="C27" t="inlineStr">
        <is>
          <t>bitcoin_miner_stratixiv_arch_timing.blif</t>
        </is>
      </c>
      <c r="D27">
        <f>IF(OR('titan_ap'!H5=-1, 'titan_no_ap'!H5=-1), "", 'titan_ap'!F5/'titan_no_ap'!F5)</f>
        <v/>
      </c>
      <c r="E27">
        <f>IF(OR('titan_ap'!H5=-1, 'titan_no_ap'!H5=-1), "", 'titan_ap'!G5/'titan_no_ap'!G5)</f>
        <v/>
      </c>
      <c r="F27">
        <f>IF(OR('titan_ap'!H5=-1, 'titan_no_ap'!H5=-1), "", 'titan_ap'!H5/'titan_no_ap'!H5)</f>
        <v/>
      </c>
      <c r="G27">
        <f>IF(OR('titan_ap'!H5=-1, 'titan_no_ap'!H5=-1), "", 'titan_ap'!J5/'titan_no_ap'!J5)</f>
        <v/>
      </c>
      <c r="H27">
        <f>IF(OR('titan_ap'!H5=-1, 'titan_no_ap'!H5=-1), "", 'titan_ap'!K5/'titan_no_ap'!K5)</f>
        <v/>
      </c>
      <c r="I27">
        <f>IF(OR('titan_ap'!H5=-1, 'titan_no_ap'!H5=-1), "", 'titan_ap'!L5/'titan_no_ap'!L5)</f>
        <v/>
      </c>
      <c r="J27">
        <f>IF(OR('titan_ap'!H5=-1, 'titan_no_ap'!H5=-1), "", 'titan_ap'!AC5/'titan_no_ap'!AC5)</f>
        <v/>
      </c>
      <c r="K27">
        <f>IF(OR('titan_ap'!H5=-1, 'titan_no_ap'!H5=-1), "", 'titan_ap'!AD5/'titan_no_ap'!AD5)</f>
        <v/>
      </c>
    </row>
    <row r="28">
      <c r="A28" t="inlineStr">
        <is>
          <t>titan</t>
        </is>
      </c>
      <c r="B28" t="inlineStr">
        <is>
          <t>stratixiv_arch.timing.xml</t>
        </is>
      </c>
      <c r="C28" t="inlineStr">
        <is>
          <t>bitonic_mesh_stratixiv_arch_timing.blif</t>
        </is>
      </c>
      <c r="D28">
        <f>IF(OR('titan_ap'!H6=-1, 'titan_no_ap'!H6=-1), "", 'titan_ap'!F6/'titan_no_ap'!F6)</f>
        <v/>
      </c>
      <c r="E28">
        <f>IF(OR('titan_ap'!H6=-1, 'titan_no_ap'!H6=-1), "", 'titan_ap'!G6/'titan_no_ap'!G6)</f>
        <v/>
      </c>
      <c r="F28">
        <f>IF(OR('titan_ap'!H6=-1, 'titan_no_ap'!H6=-1), "", 'titan_ap'!H6/'titan_no_ap'!H6)</f>
        <v/>
      </c>
      <c r="G28">
        <f>IF(OR('titan_ap'!H6=-1, 'titan_no_ap'!H6=-1), "", 'titan_ap'!J6/'titan_no_ap'!J6)</f>
        <v/>
      </c>
      <c r="H28">
        <f>IF(OR('titan_ap'!H6=-1, 'titan_no_ap'!H6=-1), "", 'titan_ap'!K6/'titan_no_ap'!K6)</f>
        <v/>
      </c>
      <c r="I28">
        <f>IF(OR('titan_ap'!H6=-1, 'titan_no_ap'!H6=-1), "", 'titan_ap'!L6/'titan_no_ap'!L6)</f>
        <v/>
      </c>
      <c r="J28">
        <f>IF(OR('titan_ap'!H6=-1, 'titan_no_ap'!H6=-1), "", 'titan_ap'!AC6/'titan_no_ap'!AC6)</f>
        <v/>
      </c>
      <c r="K28">
        <f>IF(OR('titan_ap'!H6=-1, 'titan_no_ap'!H6=-1), "", 'titan_ap'!AD6/'titan_no_ap'!AD6)</f>
        <v/>
      </c>
    </row>
    <row r="29">
      <c r="A29" t="inlineStr">
        <is>
          <t>titan</t>
        </is>
      </c>
      <c r="B29" t="inlineStr">
        <is>
          <t>stratixiv_arch.timing.xml</t>
        </is>
      </c>
      <c r="C29" t="inlineStr">
        <is>
          <t>cholesky_bdti_stratixiv_arch_timing.blif</t>
        </is>
      </c>
      <c r="D29">
        <f>IF(OR('titan_ap'!H7=-1, 'titan_no_ap'!H7=-1), "", 'titan_ap'!F7/'titan_no_ap'!F7)</f>
        <v/>
      </c>
      <c r="E29">
        <f>IF(OR('titan_ap'!H7=-1, 'titan_no_ap'!H7=-1), "", 'titan_ap'!G7/'titan_no_ap'!G7)</f>
        <v/>
      </c>
      <c r="F29">
        <f>IF(OR('titan_ap'!H7=-1, 'titan_no_ap'!H7=-1), "", 'titan_ap'!H7/'titan_no_ap'!H7)</f>
        <v/>
      </c>
      <c r="G29">
        <f>IF(OR('titan_ap'!H7=-1, 'titan_no_ap'!H7=-1), "", 'titan_ap'!J7/'titan_no_ap'!J7)</f>
        <v/>
      </c>
      <c r="H29">
        <f>IF(OR('titan_ap'!H7=-1, 'titan_no_ap'!H7=-1), "", 'titan_ap'!K7/'titan_no_ap'!K7)</f>
        <v/>
      </c>
      <c r="I29">
        <f>IF(OR('titan_ap'!H7=-1, 'titan_no_ap'!H7=-1), "", 'titan_ap'!L7/'titan_no_ap'!L7)</f>
        <v/>
      </c>
      <c r="J29">
        <f>IF(OR('titan_ap'!H7=-1, 'titan_no_ap'!H7=-1), "", 'titan_ap'!AC7/'titan_no_ap'!AC7)</f>
        <v/>
      </c>
      <c r="K29">
        <f>IF(OR('titan_ap'!H7=-1, 'titan_no_ap'!H7=-1), "", 'titan_ap'!AD7/'titan_no_ap'!AD7)</f>
        <v/>
      </c>
    </row>
    <row r="30">
      <c r="A30" t="inlineStr">
        <is>
          <t>titan</t>
        </is>
      </c>
      <c r="B30" t="inlineStr">
        <is>
          <t>stratixiv_arch.timing.xml</t>
        </is>
      </c>
      <c r="C30" t="inlineStr">
        <is>
          <t>cholesky_mc_stratixiv_arch_timing.blif</t>
        </is>
      </c>
      <c r="D30">
        <f>IF(OR('titan_ap'!H8=-1, 'titan_no_ap'!H8=-1), "", 'titan_ap'!F8/'titan_no_ap'!F8)</f>
        <v/>
      </c>
      <c r="E30">
        <f>IF(OR('titan_ap'!H8=-1, 'titan_no_ap'!H8=-1), "", 'titan_ap'!G8/'titan_no_ap'!G8)</f>
        <v/>
      </c>
      <c r="F30">
        <f>IF(OR('titan_ap'!H8=-1, 'titan_no_ap'!H8=-1), "", 'titan_ap'!H8/'titan_no_ap'!H8)</f>
        <v/>
      </c>
      <c r="G30">
        <f>IF(OR('titan_ap'!H8=-1, 'titan_no_ap'!H8=-1), "", 'titan_ap'!J8/'titan_no_ap'!J8)</f>
        <v/>
      </c>
      <c r="H30">
        <f>IF(OR('titan_ap'!H8=-1, 'titan_no_ap'!H8=-1), "", 'titan_ap'!K8/'titan_no_ap'!K8)</f>
        <v/>
      </c>
      <c r="I30">
        <f>IF(OR('titan_ap'!H8=-1, 'titan_no_ap'!H8=-1), "", 'titan_ap'!L8/'titan_no_ap'!L8)</f>
        <v/>
      </c>
      <c r="J30">
        <f>IF(OR('titan_ap'!H8=-1, 'titan_no_ap'!H8=-1), "", 'titan_ap'!AC8/'titan_no_ap'!AC8)</f>
        <v/>
      </c>
      <c r="K30">
        <f>IF(OR('titan_ap'!H8=-1, 'titan_no_ap'!H8=-1), "", 'titan_ap'!AD8/'titan_no_ap'!AD8)</f>
        <v/>
      </c>
    </row>
    <row r="31">
      <c r="A31" t="inlineStr">
        <is>
          <t>titan</t>
        </is>
      </c>
      <c r="B31" t="inlineStr">
        <is>
          <t>stratixiv_arch.timing.xml</t>
        </is>
      </c>
      <c r="C31" t="inlineStr">
        <is>
          <t>dart_stratixiv_arch_timing.blif</t>
        </is>
      </c>
      <c r="D31">
        <f>IF(OR('titan_ap'!H9=-1, 'titan_no_ap'!H9=-1), "", 'titan_ap'!F9/'titan_no_ap'!F9)</f>
        <v/>
      </c>
      <c r="E31">
        <f>IF(OR('titan_ap'!H9=-1, 'titan_no_ap'!H9=-1), "", 'titan_ap'!G9/'titan_no_ap'!G9)</f>
        <v/>
      </c>
      <c r="F31">
        <f>IF(OR('titan_ap'!H9=-1, 'titan_no_ap'!H9=-1), "", 'titan_ap'!H9/'titan_no_ap'!H9)</f>
        <v/>
      </c>
      <c r="G31">
        <f>IF(OR('titan_ap'!H9=-1, 'titan_no_ap'!H9=-1), "", 'titan_ap'!J9/'titan_no_ap'!J9)</f>
        <v/>
      </c>
      <c r="H31">
        <f>IF(OR('titan_ap'!H9=-1, 'titan_no_ap'!H9=-1), "", 'titan_ap'!K9/'titan_no_ap'!K9)</f>
        <v/>
      </c>
      <c r="I31">
        <f>IF(OR('titan_ap'!H9=-1, 'titan_no_ap'!H9=-1), "", 'titan_ap'!L9/'titan_no_ap'!L9)</f>
        <v/>
      </c>
      <c r="J31">
        <f>IF(OR('titan_ap'!H9=-1, 'titan_no_ap'!H9=-1), "", 'titan_ap'!AC9/'titan_no_ap'!AC9)</f>
        <v/>
      </c>
      <c r="K31">
        <f>IF(OR('titan_ap'!H9=-1, 'titan_no_ap'!H9=-1), "", 'titan_ap'!AD9/'titan_no_ap'!AD9)</f>
        <v/>
      </c>
    </row>
    <row r="32">
      <c r="A32" t="inlineStr">
        <is>
          <t>titan</t>
        </is>
      </c>
      <c r="B32" t="inlineStr">
        <is>
          <t>stratixiv_arch.timing.xml</t>
        </is>
      </c>
      <c r="C32" t="inlineStr">
        <is>
          <t>denoise_stratixiv_arch_timing.blif</t>
        </is>
      </c>
      <c r="D32">
        <f>IF(OR('titan_ap'!H10=-1, 'titan_no_ap'!H10=-1), "", 'titan_ap'!F10/'titan_no_ap'!F10)</f>
        <v/>
      </c>
      <c r="E32">
        <f>IF(OR('titan_ap'!H10=-1, 'titan_no_ap'!H10=-1), "", 'titan_ap'!G10/'titan_no_ap'!G10)</f>
        <v/>
      </c>
      <c r="F32">
        <f>IF(OR('titan_ap'!H10=-1, 'titan_no_ap'!H10=-1), "", 'titan_ap'!H10/'titan_no_ap'!H10)</f>
        <v/>
      </c>
      <c r="G32">
        <f>IF(OR('titan_ap'!H10=-1, 'titan_no_ap'!H10=-1), "", 'titan_ap'!J10/'titan_no_ap'!J10)</f>
        <v/>
      </c>
      <c r="H32">
        <f>IF(OR('titan_ap'!H10=-1, 'titan_no_ap'!H10=-1), "", 'titan_ap'!K10/'titan_no_ap'!K10)</f>
        <v/>
      </c>
      <c r="I32">
        <f>IF(OR('titan_ap'!H10=-1, 'titan_no_ap'!H10=-1), "", 'titan_ap'!L10/'titan_no_ap'!L10)</f>
        <v/>
      </c>
      <c r="J32">
        <f>IF(OR('titan_ap'!H10=-1, 'titan_no_ap'!H10=-1), "", 'titan_ap'!AC10/'titan_no_ap'!AC10)</f>
        <v/>
      </c>
      <c r="K32">
        <f>IF(OR('titan_ap'!H10=-1, 'titan_no_ap'!H10=-1), "", 'titan_ap'!AD10/'titan_no_ap'!AD10)</f>
        <v/>
      </c>
    </row>
    <row r="33">
      <c r="A33" t="inlineStr">
        <is>
          <t>titan</t>
        </is>
      </c>
      <c r="B33" t="inlineStr">
        <is>
          <t>stratixiv_arch.timing.xml</t>
        </is>
      </c>
      <c r="C33" t="inlineStr">
        <is>
          <t>des90_stratixiv_arch_timing.blif</t>
        </is>
      </c>
      <c r="D33">
        <f>IF(OR('titan_ap'!H11=-1, 'titan_no_ap'!H11=-1), "", 'titan_ap'!F11/'titan_no_ap'!F11)</f>
        <v/>
      </c>
      <c r="E33">
        <f>IF(OR('titan_ap'!H11=-1, 'titan_no_ap'!H11=-1), "", 'titan_ap'!G11/'titan_no_ap'!G11)</f>
        <v/>
      </c>
      <c r="F33">
        <f>IF(OR('titan_ap'!H11=-1, 'titan_no_ap'!H11=-1), "", 'titan_ap'!H11/'titan_no_ap'!H11)</f>
        <v/>
      </c>
      <c r="G33">
        <f>IF(OR('titan_ap'!H11=-1, 'titan_no_ap'!H11=-1), "", 'titan_ap'!J11/'titan_no_ap'!J11)</f>
        <v/>
      </c>
      <c r="H33">
        <f>IF(OR('titan_ap'!H11=-1, 'titan_no_ap'!H11=-1), "", 'titan_ap'!K11/'titan_no_ap'!K11)</f>
        <v/>
      </c>
      <c r="I33">
        <f>IF(OR('titan_ap'!H11=-1, 'titan_no_ap'!H11=-1), "", 'titan_ap'!L11/'titan_no_ap'!L11)</f>
        <v/>
      </c>
      <c r="J33">
        <f>IF(OR('titan_ap'!H11=-1, 'titan_no_ap'!H11=-1), "", 'titan_ap'!AC11/'titan_no_ap'!AC11)</f>
        <v/>
      </c>
      <c r="K33">
        <f>IF(OR('titan_ap'!H11=-1, 'titan_no_ap'!H11=-1), "", 'titan_ap'!AD11/'titan_no_ap'!AD11)</f>
        <v/>
      </c>
    </row>
    <row r="34">
      <c r="A34" t="inlineStr">
        <is>
          <t>titan</t>
        </is>
      </c>
      <c r="B34" t="inlineStr">
        <is>
          <t>stratixiv_arch.timing.xml</t>
        </is>
      </c>
      <c r="C34" t="inlineStr">
        <is>
          <t>directrf_stratixiv_arch_timing.blif</t>
        </is>
      </c>
      <c r="D34">
        <f>IF(OR('titan_ap'!H12=-1, 'titan_no_ap'!H12=-1), "", 'titan_ap'!F12/'titan_no_ap'!F12)</f>
        <v/>
      </c>
      <c r="E34">
        <f>IF(OR('titan_ap'!H12=-1, 'titan_no_ap'!H12=-1), "", 'titan_ap'!G12/'titan_no_ap'!G12)</f>
        <v/>
      </c>
      <c r="F34">
        <f>IF(OR('titan_ap'!H12=-1, 'titan_no_ap'!H12=-1), "", 'titan_ap'!H12/'titan_no_ap'!H12)</f>
        <v/>
      </c>
      <c r="G34">
        <f>IF(OR('titan_ap'!H12=-1, 'titan_no_ap'!H12=-1), "", 'titan_ap'!J12/'titan_no_ap'!J12)</f>
        <v/>
      </c>
      <c r="H34">
        <f>IF(OR('titan_ap'!H12=-1, 'titan_no_ap'!H12=-1), "", 'titan_ap'!K12/'titan_no_ap'!K12)</f>
        <v/>
      </c>
      <c r="I34">
        <f>IF(OR('titan_ap'!H12=-1, 'titan_no_ap'!H12=-1), "", 'titan_ap'!L12/'titan_no_ap'!L12)</f>
        <v/>
      </c>
      <c r="J34">
        <f>IF(OR('titan_ap'!H12=-1, 'titan_no_ap'!H12=-1), "", 'titan_ap'!AC12/'titan_no_ap'!AC12)</f>
        <v/>
      </c>
      <c r="K34">
        <f>IF(OR('titan_ap'!H12=-1, 'titan_no_ap'!H12=-1), "", 'titan_ap'!AD12/'titan_no_ap'!AD12)</f>
        <v/>
      </c>
    </row>
    <row r="35">
      <c r="A35" t="inlineStr">
        <is>
          <t>titan</t>
        </is>
      </c>
      <c r="B35" t="inlineStr">
        <is>
          <t>stratixiv_arch.timing.xml</t>
        </is>
      </c>
      <c r="C35" t="inlineStr">
        <is>
          <t>gsm_switch_stratixiv_arch_timing.blif</t>
        </is>
      </c>
      <c r="D35">
        <f>IF(OR('titan_ap'!H13=-1, 'titan_no_ap'!H13=-1), "", 'titan_ap'!F13/'titan_no_ap'!F13)</f>
        <v/>
      </c>
      <c r="E35">
        <f>IF(OR('titan_ap'!H13=-1, 'titan_no_ap'!H13=-1), "", 'titan_ap'!G13/'titan_no_ap'!G13)</f>
        <v/>
      </c>
      <c r="F35">
        <f>IF(OR('titan_ap'!H13=-1, 'titan_no_ap'!H13=-1), "", 'titan_ap'!H13/'titan_no_ap'!H13)</f>
        <v/>
      </c>
      <c r="G35">
        <f>IF(OR('titan_ap'!H13=-1, 'titan_no_ap'!H13=-1), "", 'titan_ap'!J13/'titan_no_ap'!J13)</f>
        <v/>
      </c>
      <c r="H35">
        <f>IF(OR('titan_ap'!H13=-1, 'titan_no_ap'!H13=-1), "", 'titan_ap'!K13/'titan_no_ap'!K13)</f>
        <v/>
      </c>
      <c r="I35">
        <f>IF(OR('titan_ap'!H13=-1, 'titan_no_ap'!H13=-1), "", 'titan_ap'!L13/'titan_no_ap'!L13)</f>
        <v/>
      </c>
      <c r="J35">
        <f>IF(OR('titan_ap'!H13=-1, 'titan_no_ap'!H13=-1), "", 'titan_ap'!AC13/'titan_no_ap'!AC13)</f>
        <v/>
      </c>
      <c r="K35">
        <f>IF(OR('titan_ap'!H13=-1, 'titan_no_ap'!H13=-1), "", 'titan_ap'!AD13/'titan_no_ap'!AD13)</f>
        <v/>
      </c>
    </row>
    <row r="36">
      <c r="A36" t="inlineStr">
        <is>
          <t>titan</t>
        </is>
      </c>
      <c r="B36" t="inlineStr">
        <is>
          <t>stratixiv_arch.timing.xml</t>
        </is>
      </c>
      <c r="C36" t="inlineStr">
        <is>
          <t>mes_noc_stratixiv_arch_timing.blif</t>
        </is>
      </c>
      <c r="D36">
        <f>IF(OR('titan_ap'!H14=-1, 'titan_no_ap'!H14=-1), "", 'titan_ap'!F14/'titan_no_ap'!F14)</f>
        <v/>
      </c>
      <c r="E36">
        <f>IF(OR('titan_ap'!H14=-1, 'titan_no_ap'!H14=-1), "", 'titan_ap'!G14/'titan_no_ap'!G14)</f>
        <v/>
      </c>
      <c r="F36">
        <f>IF(OR('titan_ap'!H14=-1, 'titan_no_ap'!H14=-1), "", 'titan_ap'!H14/'titan_no_ap'!H14)</f>
        <v/>
      </c>
      <c r="G36">
        <f>IF(OR('titan_ap'!H14=-1, 'titan_no_ap'!H14=-1), "", 'titan_ap'!J14/'titan_no_ap'!J14)</f>
        <v/>
      </c>
      <c r="H36">
        <f>IF(OR('titan_ap'!H14=-1, 'titan_no_ap'!H14=-1), "", 'titan_ap'!K14/'titan_no_ap'!K14)</f>
        <v/>
      </c>
      <c r="I36">
        <f>IF(OR('titan_ap'!H14=-1, 'titan_no_ap'!H14=-1), "", 'titan_ap'!L14/'titan_no_ap'!L14)</f>
        <v/>
      </c>
      <c r="J36">
        <f>IF(OR('titan_ap'!H14=-1, 'titan_no_ap'!H14=-1), "", 'titan_ap'!AC14/'titan_no_ap'!AC14)</f>
        <v/>
      </c>
      <c r="K36">
        <f>IF(OR('titan_ap'!H14=-1, 'titan_no_ap'!H14=-1), "", 'titan_ap'!AD14/'titan_no_ap'!AD14)</f>
        <v/>
      </c>
    </row>
    <row r="37">
      <c r="A37" t="inlineStr">
        <is>
          <t>titan</t>
        </is>
      </c>
      <c r="B37" t="inlineStr">
        <is>
          <t>stratixiv_arch.timing.xml</t>
        </is>
      </c>
      <c r="C37" t="inlineStr">
        <is>
          <t>minres_stratixiv_arch_timing.blif</t>
        </is>
      </c>
      <c r="D37">
        <f>IF(OR('titan_ap'!H15=-1, 'titan_no_ap'!H15=-1), "", 'titan_ap'!F15/'titan_no_ap'!F15)</f>
        <v/>
      </c>
      <c r="E37">
        <f>IF(OR('titan_ap'!H15=-1, 'titan_no_ap'!H15=-1), "", 'titan_ap'!G15/'titan_no_ap'!G15)</f>
        <v/>
      </c>
      <c r="F37">
        <f>IF(OR('titan_ap'!H15=-1, 'titan_no_ap'!H15=-1), "", 'titan_ap'!H15/'titan_no_ap'!H15)</f>
        <v/>
      </c>
      <c r="G37">
        <f>IF(OR('titan_ap'!H15=-1, 'titan_no_ap'!H15=-1), "", 'titan_ap'!J15/'titan_no_ap'!J15)</f>
        <v/>
      </c>
      <c r="H37">
        <f>IF(OR('titan_ap'!H15=-1, 'titan_no_ap'!H15=-1), "", 'titan_ap'!K15/'titan_no_ap'!K15)</f>
        <v/>
      </c>
      <c r="I37">
        <f>IF(OR('titan_ap'!H15=-1, 'titan_no_ap'!H15=-1), "", 'titan_ap'!L15/'titan_no_ap'!L15)</f>
        <v/>
      </c>
      <c r="J37">
        <f>IF(OR('titan_ap'!H15=-1, 'titan_no_ap'!H15=-1), "", 'titan_ap'!AC15/'titan_no_ap'!AC15)</f>
        <v/>
      </c>
      <c r="K37">
        <f>IF(OR('titan_ap'!H15=-1, 'titan_no_ap'!H15=-1), "", 'titan_ap'!AD15/'titan_no_ap'!AD15)</f>
        <v/>
      </c>
    </row>
    <row r="38">
      <c r="A38" t="inlineStr">
        <is>
          <t>titan</t>
        </is>
      </c>
      <c r="B38" t="inlineStr">
        <is>
          <t>stratixiv_arch.timing.xml</t>
        </is>
      </c>
      <c r="C38" t="inlineStr">
        <is>
          <t>neuron_stratixiv_arch_timing.blif</t>
        </is>
      </c>
      <c r="D38">
        <f>IF(OR('titan_ap'!H16=-1, 'titan_no_ap'!H16=-1), "", 'titan_ap'!F16/'titan_no_ap'!F16)</f>
        <v/>
      </c>
      <c r="E38">
        <f>IF(OR('titan_ap'!H16=-1, 'titan_no_ap'!H16=-1), "", 'titan_ap'!G16/'titan_no_ap'!G16)</f>
        <v/>
      </c>
      <c r="F38">
        <f>IF(OR('titan_ap'!H16=-1, 'titan_no_ap'!H16=-1), "", 'titan_ap'!H16/'titan_no_ap'!H16)</f>
        <v/>
      </c>
      <c r="G38">
        <f>IF(OR('titan_ap'!H16=-1, 'titan_no_ap'!H16=-1), "", 'titan_ap'!J16/'titan_no_ap'!J16)</f>
        <v/>
      </c>
      <c r="H38">
        <f>IF(OR('titan_ap'!H16=-1, 'titan_no_ap'!H16=-1), "", 'titan_ap'!K16/'titan_no_ap'!K16)</f>
        <v/>
      </c>
      <c r="I38">
        <f>IF(OR('titan_ap'!H16=-1, 'titan_no_ap'!H16=-1), "", 'titan_ap'!L16/'titan_no_ap'!L16)</f>
        <v/>
      </c>
      <c r="J38">
        <f>IF(OR('titan_ap'!H16=-1, 'titan_no_ap'!H16=-1), "", 'titan_ap'!AC16/'titan_no_ap'!AC16)</f>
        <v/>
      </c>
      <c r="K38">
        <f>IF(OR('titan_ap'!H16=-1, 'titan_no_ap'!H16=-1), "", 'titan_ap'!AD16/'titan_no_ap'!AD16)</f>
        <v/>
      </c>
    </row>
    <row r="39">
      <c r="A39" t="inlineStr">
        <is>
          <t>titan</t>
        </is>
      </c>
      <c r="B39" t="inlineStr">
        <is>
          <t>stratixiv_arch.timing.xml</t>
        </is>
      </c>
      <c r="C39" t="inlineStr">
        <is>
          <t>openCV_stratixiv_arch_timing.blif</t>
        </is>
      </c>
      <c r="D39">
        <f>IF(OR('titan_ap'!H17=-1, 'titan_no_ap'!H17=-1), "", 'titan_ap'!F17/'titan_no_ap'!F17)</f>
        <v/>
      </c>
      <c r="E39">
        <f>IF(OR('titan_ap'!H17=-1, 'titan_no_ap'!H17=-1), "", 'titan_ap'!G17/'titan_no_ap'!G17)</f>
        <v/>
      </c>
      <c r="F39">
        <f>IF(OR('titan_ap'!H17=-1, 'titan_no_ap'!H17=-1), "", 'titan_ap'!H17/'titan_no_ap'!H17)</f>
        <v/>
      </c>
      <c r="G39">
        <f>IF(OR('titan_ap'!H17=-1, 'titan_no_ap'!H17=-1), "", 'titan_ap'!J17/'titan_no_ap'!J17)</f>
        <v/>
      </c>
      <c r="H39">
        <f>IF(OR('titan_ap'!H17=-1, 'titan_no_ap'!H17=-1), "", 'titan_ap'!K17/'titan_no_ap'!K17)</f>
        <v/>
      </c>
      <c r="I39">
        <f>IF(OR('titan_ap'!H17=-1, 'titan_no_ap'!H17=-1), "", 'titan_ap'!L17/'titan_no_ap'!L17)</f>
        <v/>
      </c>
      <c r="J39">
        <f>IF(OR('titan_ap'!H17=-1, 'titan_no_ap'!H17=-1), "", 'titan_ap'!AC17/'titan_no_ap'!AC17)</f>
        <v/>
      </c>
      <c r="K39">
        <f>IF(OR('titan_ap'!H17=-1, 'titan_no_ap'!H17=-1), "", 'titan_ap'!AD17/'titan_no_ap'!AD17)</f>
        <v/>
      </c>
    </row>
    <row r="40">
      <c r="A40" t="inlineStr">
        <is>
          <t>titan</t>
        </is>
      </c>
      <c r="B40" t="inlineStr">
        <is>
          <t>stratixiv_arch.timing.xml</t>
        </is>
      </c>
      <c r="C40" t="inlineStr">
        <is>
          <t>segmentation_stratixiv_arch_timing.blif</t>
        </is>
      </c>
      <c r="D40">
        <f>IF(OR('titan_ap'!H18=-1, 'titan_no_ap'!H18=-1), "", 'titan_ap'!F18/'titan_no_ap'!F18)</f>
        <v/>
      </c>
      <c r="E40">
        <f>IF(OR('titan_ap'!H18=-1, 'titan_no_ap'!H18=-1), "", 'titan_ap'!G18/'titan_no_ap'!G18)</f>
        <v/>
      </c>
      <c r="F40">
        <f>IF(OR('titan_ap'!H18=-1, 'titan_no_ap'!H18=-1), "", 'titan_ap'!H18/'titan_no_ap'!H18)</f>
        <v/>
      </c>
      <c r="G40">
        <f>IF(OR('titan_ap'!H18=-1, 'titan_no_ap'!H18=-1), "", 'titan_ap'!J18/'titan_no_ap'!J18)</f>
        <v/>
      </c>
      <c r="H40">
        <f>IF(OR('titan_ap'!H18=-1, 'titan_no_ap'!H18=-1), "", 'titan_ap'!K18/'titan_no_ap'!K18)</f>
        <v/>
      </c>
      <c r="I40">
        <f>IF(OR('titan_ap'!H18=-1, 'titan_no_ap'!H18=-1), "", 'titan_ap'!L18/'titan_no_ap'!L18)</f>
        <v/>
      </c>
      <c r="J40">
        <f>IF(OR('titan_ap'!H18=-1, 'titan_no_ap'!H18=-1), "", 'titan_ap'!AC18/'titan_no_ap'!AC18)</f>
        <v/>
      </c>
      <c r="K40">
        <f>IF(OR('titan_ap'!H18=-1, 'titan_no_ap'!H18=-1), "", 'titan_ap'!AD18/'titan_no_ap'!AD18)</f>
        <v/>
      </c>
    </row>
    <row r="41">
      <c r="A41" t="inlineStr">
        <is>
          <t>titan</t>
        </is>
      </c>
      <c r="B41" t="inlineStr">
        <is>
          <t>stratixiv_arch.timing.xml</t>
        </is>
      </c>
      <c r="C41" t="inlineStr">
        <is>
          <t>sparcT1_chip2_stratixiv_arch_timing.blif</t>
        </is>
      </c>
      <c r="D41">
        <f>IF(OR('titan_ap'!H19=-1, 'titan_no_ap'!H19=-1), "", 'titan_ap'!F19/'titan_no_ap'!F19)</f>
        <v/>
      </c>
      <c r="E41">
        <f>IF(OR('titan_ap'!H19=-1, 'titan_no_ap'!H19=-1), "", 'titan_ap'!G19/'titan_no_ap'!G19)</f>
        <v/>
      </c>
      <c r="F41">
        <f>IF(OR('titan_ap'!H19=-1, 'titan_no_ap'!H19=-1), "", 'titan_ap'!H19/'titan_no_ap'!H19)</f>
        <v/>
      </c>
      <c r="G41">
        <f>IF(OR('titan_ap'!H19=-1, 'titan_no_ap'!H19=-1), "", 'titan_ap'!J19/'titan_no_ap'!J19)</f>
        <v/>
      </c>
      <c r="H41">
        <f>IF(OR('titan_ap'!H19=-1, 'titan_no_ap'!H19=-1), "", 'titan_ap'!K19/'titan_no_ap'!K19)</f>
        <v/>
      </c>
      <c r="I41">
        <f>IF(OR('titan_ap'!H19=-1, 'titan_no_ap'!H19=-1), "", 'titan_ap'!L19/'titan_no_ap'!L19)</f>
        <v/>
      </c>
      <c r="J41">
        <f>IF(OR('titan_ap'!H19=-1, 'titan_no_ap'!H19=-1), "", 'titan_ap'!AC19/'titan_no_ap'!AC19)</f>
        <v/>
      </c>
      <c r="K41">
        <f>IF(OR('titan_ap'!H19=-1, 'titan_no_ap'!H19=-1), "", 'titan_ap'!AD19/'titan_no_ap'!AD19)</f>
        <v/>
      </c>
    </row>
    <row r="42">
      <c r="A42" t="inlineStr">
        <is>
          <t>titan</t>
        </is>
      </c>
      <c r="B42" t="inlineStr">
        <is>
          <t>stratixiv_arch.timing.xml</t>
        </is>
      </c>
      <c r="C42" t="inlineStr">
        <is>
          <t>sparcT1_core_stratixiv_arch_timing.blif</t>
        </is>
      </c>
      <c r="D42">
        <f>IF(OR('titan_ap'!H20=-1, 'titan_no_ap'!H20=-1), "", 'titan_ap'!F20/'titan_no_ap'!F20)</f>
        <v/>
      </c>
      <c r="E42">
        <f>IF(OR('titan_ap'!H20=-1, 'titan_no_ap'!H20=-1), "", 'titan_ap'!G20/'titan_no_ap'!G20)</f>
        <v/>
      </c>
      <c r="F42">
        <f>IF(OR('titan_ap'!H20=-1, 'titan_no_ap'!H20=-1), "", 'titan_ap'!H20/'titan_no_ap'!H20)</f>
        <v/>
      </c>
      <c r="G42">
        <f>IF(OR('titan_ap'!H20=-1, 'titan_no_ap'!H20=-1), "", 'titan_ap'!J20/'titan_no_ap'!J20)</f>
        <v/>
      </c>
      <c r="H42">
        <f>IF(OR('titan_ap'!H20=-1, 'titan_no_ap'!H20=-1), "", 'titan_ap'!K20/'titan_no_ap'!K20)</f>
        <v/>
      </c>
      <c r="I42">
        <f>IF(OR('titan_ap'!H20=-1, 'titan_no_ap'!H20=-1), "", 'titan_ap'!L20/'titan_no_ap'!L20)</f>
        <v/>
      </c>
      <c r="J42">
        <f>IF(OR('titan_ap'!H20=-1, 'titan_no_ap'!H20=-1), "", 'titan_ap'!AC20/'titan_no_ap'!AC20)</f>
        <v/>
      </c>
      <c r="K42">
        <f>IF(OR('titan_ap'!H20=-1, 'titan_no_ap'!H20=-1), "", 'titan_ap'!AD20/'titan_no_ap'!AD20)</f>
        <v/>
      </c>
    </row>
    <row r="43">
      <c r="A43" t="inlineStr">
        <is>
          <t>titan</t>
        </is>
      </c>
      <c r="B43" t="inlineStr">
        <is>
          <t>stratixiv_arch.timing.xml</t>
        </is>
      </c>
      <c r="C43" t="inlineStr">
        <is>
          <t>sparcT2_core_stratixiv_arch_timing.blif</t>
        </is>
      </c>
      <c r="D43">
        <f>IF(OR('titan_ap'!H21=-1, 'titan_no_ap'!H21=-1), "", 'titan_ap'!F21/'titan_no_ap'!F21)</f>
        <v/>
      </c>
      <c r="E43">
        <f>IF(OR('titan_ap'!H21=-1, 'titan_no_ap'!H21=-1), "", 'titan_ap'!G21/'titan_no_ap'!G21)</f>
        <v/>
      </c>
      <c r="F43">
        <f>IF(OR('titan_ap'!H21=-1, 'titan_no_ap'!H21=-1), "", 'titan_ap'!H21/'titan_no_ap'!H21)</f>
        <v/>
      </c>
      <c r="G43">
        <f>IF(OR('titan_ap'!H21=-1, 'titan_no_ap'!H21=-1), "", 'titan_ap'!J21/'titan_no_ap'!J21)</f>
        <v/>
      </c>
      <c r="H43">
        <f>IF(OR('titan_ap'!H21=-1, 'titan_no_ap'!H21=-1), "", 'titan_ap'!K21/'titan_no_ap'!K21)</f>
        <v/>
      </c>
      <c r="I43">
        <f>IF(OR('titan_ap'!H21=-1, 'titan_no_ap'!H21=-1), "", 'titan_ap'!L21/'titan_no_ap'!L21)</f>
        <v/>
      </c>
      <c r="J43">
        <f>IF(OR('titan_ap'!H21=-1, 'titan_no_ap'!H21=-1), "", 'titan_ap'!AC21/'titan_no_ap'!AC21)</f>
        <v/>
      </c>
      <c r="K43">
        <f>IF(OR('titan_ap'!H21=-1, 'titan_no_ap'!H21=-1), "", 'titan_ap'!AD21/'titan_no_ap'!AD21)</f>
        <v/>
      </c>
    </row>
    <row r="44">
      <c r="A44" t="inlineStr">
        <is>
          <t>titan</t>
        </is>
      </c>
      <c r="B44" t="inlineStr">
        <is>
          <t>stratixiv_arch.timing.xml</t>
        </is>
      </c>
      <c r="C44" t="inlineStr">
        <is>
          <t>stap_qrd_stratixiv_arch_timing.blif</t>
        </is>
      </c>
      <c r="D44">
        <f>IF(OR('titan_ap'!H22=-1, 'titan_no_ap'!H22=-1), "", 'titan_ap'!F22/'titan_no_ap'!F22)</f>
        <v/>
      </c>
      <c r="E44">
        <f>IF(OR('titan_ap'!H22=-1, 'titan_no_ap'!H22=-1), "", 'titan_ap'!G22/'titan_no_ap'!G22)</f>
        <v/>
      </c>
      <c r="F44">
        <f>IF(OR('titan_ap'!H22=-1, 'titan_no_ap'!H22=-1), "", 'titan_ap'!H22/'titan_no_ap'!H22)</f>
        <v/>
      </c>
      <c r="G44">
        <f>IF(OR('titan_ap'!H22=-1, 'titan_no_ap'!H22=-1), "", 'titan_ap'!J22/'titan_no_ap'!J22)</f>
        <v/>
      </c>
      <c r="H44">
        <f>IF(OR('titan_ap'!H22=-1, 'titan_no_ap'!H22=-1), "", 'titan_ap'!K22/'titan_no_ap'!K22)</f>
        <v/>
      </c>
      <c r="I44">
        <f>IF(OR('titan_ap'!H22=-1, 'titan_no_ap'!H22=-1), "", 'titan_ap'!L22/'titan_no_ap'!L22)</f>
        <v/>
      </c>
      <c r="J44">
        <f>IF(OR('titan_ap'!H22=-1, 'titan_no_ap'!H22=-1), "", 'titan_ap'!AC22/'titan_no_ap'!AC22)</f>
        <v/>
      </c>
      <c r="K44">
        <f>IF(OR('titan_ap'!H22=-1, 'titan_no_ap'!H22=-1), "", 'titan_ap'!AD22/'titan_no_ap'!AD22)</f>
        <v/>
      </c>
    </row>
    <row r="45">
      <c r="A45" t="inlineStr">
        <is>
          <t>titan</t>
        </is>
      </c>
      <c r="B45" t="inlineStr">
        <is>
          <t>stratixiv_arch.timing.xml</t>
        </is>
      </c>
      <c r="C45" t="inlineStr">
        <is>
          <t>stereo_vision_stratixiv_arch_timing.blif</t>
        </is>
      </c>
      <c r="D45">
        <f>IF(OR('titan_ap'!H23=-1, 'titan_no_ap'!H23=-1), "", 'titan_ap'!F23/'titan_no_ap'!F23)</f>
        <v/>
      </c>
      <c r="E45">
        <f>IF(OR('titan_ap'!H23=-1, 'titan_no_ap'!H23=-1), "", 'titan_ap'!G23/'titan_no_ap'!G23)</f>
        <v/>
      </c>
      <c r="F45">
        <f>IF(OR('titan_ap'!H23=-1, 'titan_no_ap'!H23=-1), "", 'titan_ap'!H23/'titan_no_ap'!H23)</f>
        <v/>
      </c>
      <c r="G45">
        <f>IF(OR('titan_ap'!H23=-1, 'titan_no_ap'!H23=-1), "", 'titan_ap'!J23/'titan_no_ap'!J23)</f>
        <v/>
      </c>
      <c r="H45">
        <f>IF(OR('titan_ap'!H23=-1, 'titan_no_ap'!H23=-1), "", 'titan_ap'!K23/'titan_no_ap'!K23)</f>
        <v/>
      </c>
      <c r="I45">
        <f>IF(OR('titan_ap'!H23=-1, 'titan_no_ap'!H23=-1), "", 'titan_ap'!L23/'titan_no_ap'!L23)</f>
        <v/>
      </c>
      <c r="J45">
        <f>IF(OR('titan_ap'!H23=-1, 'titan_no_ap'!H23=-1), "", 'titan_ap'!AC23/'titan_no_ap'!AC23)</f>
        <v/>
      </c>
      <c r="K45">
        <f>IF(OR('titan_ap'!H23=-1, 'titan_no_ap'!H23=-1), "", 'titan_ap'!AD23/'titan_no_ap'!AD23)</f>
        <v/>
      </c>
    </row>
    <row r="46">
      <c r="A46" t="inlineStr">
        <is>
          <t>titan</t>
        </is>
      </c>
      <c r="B46" t="inlineStr">
        <is>
          <t>stratixiv_arch.timing.xml</t>
        </is>
      </c>
      <c r="C46" t="inlineStr">
        <is>
          <t>gaussianblur_stratixiv_arch_timing.blif</t>
        </is>
      </c>
      <c r="D46">
        <f>IF(OR('titan_ap'!H24=-1, 'titan_no_ap'!H24=-1), "", 'titan_ap'!F24/'titan_no_ap'!F24)</f>
        <v/>
      </c>
      <c r="E46">
        <f>IF(OR('titan_ap'!H24=-1, 'titan_no_ap'!H24=-1), "", 'titan_ap'!G24/'titan_no_ap'!G24)</f>
        <v/>
      </c>
      <c r="F46">
        <f>IF(OR('titan_ap'!H24=-1, 'titan_no_ap'!H24=-1), "", 'titan_ap'!H24/'titan_no_ap'!H24)</f>
        <v/>
      </c>
      <c r="G46">
        <f>IF(OR('titan_ap'!H24=-1, 'titan_no_ap'!H24=-1), "", 'titan_ap'!J24/'titan_no_ap'!J24)</f>
        <v/>
      </c>
      <c r="H46">
        <f>IF(OR('titan_ap'!H24=-1, 'titan_no_ap'!H24=-1), "", 'titan_ap'!K24/'titan_no_ap'!K24)</f>
        <v/>
      </c>
      <c r="I46">
        <f>IF(OR('titan_ap'!H24=-1, 'titan_no_ap'!H24=-1), "", 'titan_ap'!L24/'titan_no_ap'!L24)</f>
        <v/>
      </c>
      <c r="J46">
        <f>IF(OR('titan_ap'!H24=-1, 'titan_no_ap'!H24=-1), "", 'titan_ap'!AC24/'titan_no_ap'!AC24)</f>
        <v/>
      </c>
      <c r="K46">
        <f>IF(OR('titan_ap'!H24=-1, 'titan_no_ap'!H24=-1), "", 'titan_ap'!AD24/'titan_no_ap'!AD24)</f>
        <v/>
      </c>
    </row>
    <row r="47">
      <c r="A47" t="inlineStr">
        <is>
          <t>titan</t>
        </is>
      </c>
      <c r="B47" t="inlineStr"/>
      <c r="C47" t="inlineStr">
        <is>
          <t>GEOMEAN</t>
        </is>
      </c>
      <c r="D47">
        <f>GEOMEAN(D24:D46)</f>
        <v/>
      </c>
      <c r="E47">
        <f>GEOMEAN(E24:E46)</f>
        <v/>
      </c>
      <c r="F47">
        <f>GEOMEAN(F24:F46)</f>
        <v/>
      </c>
      <c r="G47">
        <f>GEOMEAN(G24:G46)</f>
        <v/>
      </c>
      <c r="H47">
        <f>GEOMEAN(H24:H46)</f>
        <v/>
      </c>
      <c r="I47">
        <f>GEOMEAN(I24:I46)</f>
        <v/>
      </c>
      <c r="J47">
        <f>GEOMEAN(J24:J46)</f>
        <v/>
      </c>
      <c r="K47">
        <f>GEOMEAN(K24:K46)</f>
        <v/>
      </c>
    </row>
    <row r="48">
      <c r="A48" t="inlineStr">
        <is>
          <t>titan</t>
        </is>
      </c>
      <c r="B48" t="inlineStr"/>
      <c r="C48" t="inlineStr">
        <is>
          <t>UNROUTES</t>
        </is>
      </c>
      <c r="D48">
        <f>23 - COUNT(F24:F46)</f>
        <v/>
      </c>
    </row>
    <row r="49">
      <c r="A49" t="inlineStr"/>
    </row>
    <row r="50">
      <c r="A50" t="inlineStr">
        <is>
          <t>koios</t>
        </is>
      </c>
      <c r="B50" t="inlineStr">
        <is>
          <t>k6FracN10LB_mem20K_complexDSP_customSB_22nm.xml</t>
        </is>
      </c>
      <c r="C50" t="inlineStr">
        <is>
          <t>attention_layer.blif</t>
        </is>
      </c>
      <c r="D50">
        <f>IF(OR('koios_ap'!H2=-1, 'koios_no_ap'!H2=-1), "", 'koios_ap'!F2/'koios_no_ap'!F2)</f>
        <v/>
      </c>
      <c r="E50">
        <f>IF(OR('koios_ap'!H2=-1, 'koios_no_ap'!H2=-1), "", 'koios_ap'!G2/'koios_no_ap'!G2)</f>
        <v/>
      </c>
      <c r="F50">
        <f>IF(OR('koios_ap'!H2=-1, 'koios_no_ap'!H2=-1), "", 'koios_ap'!H2/'koios_no_ap'!H2)</f>
        <v/>
      </c>
      <c r="G50">
        <f>IF(OR('koios_ap'!H2=-1, 'koios_no_ap'!H2=-1), "", 'koios_ap'!J2/'koios_no_ap'!J2)</f>
        <v/>
      </c>
      <c r="H50">
        <f>IF(OR('koios_ap'!H2=-1, 'koios_no_ap'!H2=-1), "", 'koios_ap'!K2/'koios_no_ap'!K2)</f>
        <v/>
      </c>
      <c r="I50">
        <f>IF(OR('koios_ap'!H2=-1, 'koios_no_ap'!H2=-1), "", 'koios_ap'!L2/'koios_no_ap'!L2)</f>
        <v/>
      </c>
      <c r="J50">
        <f>IF(OR('koios_ap'!H2=-1, 'koios_no_ap'!H2=-1), "", 'koios_ap'!AC2/'koios_no_ap'!AC2)</f>
        <v/>
      </c>
      <c r="K50">
        <f>IF(OR('koios_ap'!H2=-1, 'koios_no_ap'!H2=-1), "", 'koios_ap'!AD2/'koios_no_ap'!AD2)</f>
        <v/>
      </c>
    </row>
    <row r="51">
      <c r="A51" t="inlineStr">
        <is>
          <t>koios</t>
        </is>
      </c>
      <c r="B51" t="inlineStr">
        <is>
          <t>k6FracN10LB_mem20K_complexDSP_customSB_22nm.xml</t>
        </is>
      </c>
      <c r="C51" t="inlineStr">
        <is>
          <t>bnn.blif</t>
        </is>
      </c>
      <c r="D51">
        <f>IF(OR('koios_ap'!H3=-1, 'koios_no_ap'!H3=-1), "", 'koios_ap'!F3/'koios_no_ap'!F3)</f>
        <v/>
      </c>
      <c r="E51">
        <f>IF(OR('koios_ap'!H3=-1, 'koios_no_ap'!H3=-1), "", 'koios_ap'!G3/'koios_no_ap'!G3)</f>
        <v/>
      </c>
      <c r="F51">
        <f>IF(OR('koios_ap'!H3=-1, 'koios_no_ap'!H3=-1), "", 'koios_ap'!H3/'koios_no_ap'!H3)</f>
        <v/>
      </c>
      <c r="G51">
        <f>IF(OR('koios_ap'!H3=-1, 'koios_no_ap'!H3=-1), "", 'koios_ap'!J3/'koios_no_ap'!J3)</f>
        <v/>
      </c>
      <c r="H51">
        <f>IF(OR('koios_ap'!H3=-1, 'koios_no_ap'!H3=-1), "", 'koios_ap'!K3/'koios_no_ap'!K3)</f>
        <v/>
      </c>
      <c r="I51">
        <f>IF(OR('koios_ap'!H3=-1, 'koios_no_ap'!H3=-1), "", 'koios_ap'!L3/'koios_no_ap'!L3)</f>
        <v/>
      </c>
      <c r="J51">
        <f>IF(OR('koios_ap'!H3=-1, 'koios_no_ap'!H3=-1), "", 'koios_ap'!AC3/'koios_no_ap'!AC3)</f>
        <v/>
      </c>
      <c r="K51">
        <f>IF(OR('koios_ap'!H3=-1, 'koios_no_ap'!H3=-1), "", 'koios_ap'!AD3/'koios_no_ap'!AD3)</f>
        <v/>
      </c>
    </row>
    <row r="52">
      <c r="A52" t="inlineStr">
        <is>
          <t>koios</t>
        </is>
      </c>
      <c r="B52" t="inlineStr">
        <is>
          <t>k6FracN10LB_mem20K_complexDSP_customSB_22nm.xml</t>
        </is>
      </c>
      <c r="C52" t="inlineStr">
        <is>
          <t>bwave_like.fixed.large.blif</t>
        </is>
      </c>
      <c r="D52">
        <f>IF(OR('koios_ap'!H4=-1, 'koios_no_ap'!H4=-1), "", 'koios_ap'!F4/'koios_no_ap'!F4)</f>
        <v/>
      </c>
      <c r="E52">
        <f>IF(OR('koios_ap'!H4=-1, 'koios_no_ap'!H4=-1), "", 'koios_ap'!G4/'koios_no_ap'!G4)</f>
        <v/>
      </c>
      <c r="F52">
        <f>IF(OR('koios_ap'!H4=-1, 'koios_no_ap'!H4=-1), "", 'koios_ap'!H4/'koios_no_ap'!H4)</f>
        <v/>
      </c>
      <c r="G52">
        <f>IF(OR('koios_ap'!H4=-1, 'koios_no_ap'!H4=-1), "", 'koios_ap'!J4/'koios_no_ap'!J4)</f>
        <v/>
      </c>
      <c r="H52">
        <f>IF(OR('koios_ap'!H4=-1, 'koios_no_ap'!H4=-1), "", 'koios_ap'!K4/'koios_no_ap'!K4)</f>
        <v/>
      </c>
      <c r="I52">
        <f>IF(OR('koios_ap'!H4=-1, 'koios_no_ap'!H4=-1), "", 'koios_ap'!L4/'koios_no_ap'!L4)</f>
        <v/>
      </c>
      <c r="J52">
        <f>IF(OR('koios_ap'!H4=-1, 'koios_no_ap'!H4=-1), "", 'koios_ap'!AC4/'koios_no_ap'!AC4)</f>
        <v/>
      </c>
      <c r="K52">
        <f>IF(OR('koios_ap'!H4=-1, 'koios_no_ap'!H4=-1), "", 'koios_ap'!AD4/'koios_no_ap'!AD4)</f>
        <v/>
      </c>
    </row>
    <row r="53">
      <c r="A53" t="inlineStr">
        <is>
          <t>koios</t>
        </is>
      </c>
      <c r="B53" t="inlineStr">
        <is>
          <t>k6FracN10LB_mem20K_complexDSP_customSB_22nm.xml</t>
        </is>
      </c>
      <c r="C53" t="inlineStr">
        <is>
          <t>bwave_like.fixed.small.blif</t>
        </is>
      </c>
      <c r="D53">
        <f>IF(OR('koios_ap'!H5=-1, 'koios_no_ap'!H5=-1), "", 'koios_ap'!F5/'koios_no_ap'!F5)</f>
        <v/>
      </c>
      <c r="E53">
        <f>IF(OR('koios_ap'!H5=-1, 'koios_no_ap'!H5=-1), "", 'koios_ap'!G5/'koios_no_ap'!G5)</f>
        <v/>
      </c>
      <c r="F53">
        <f>IF(OR('koios_ap'!H5=-1, 'koios_no_ap'!H5=-1), "", 'koios_ap'!H5/'koios_no_ap'!H5)</f>
        <v/>
      </c>
      <c r="G53">
        <f>IF(OR('koios_ap'!H5=-1, 'koios_no_ap'!H5=-1), "", 'koios_ap'!J5/'koios_no_ap'!J5)</f>
        <v/>
      </c>
      <c r="H53">
        <f>IF(OR('koios_ap'!H5=-1, 'koios_no_ap'!H5=-1), "", 'koios_ap'!K5/'koios_no_ap'!K5)</f>
        <v/>
      </c>
      <c r="I53">
        <f>IF(OR('koios_ap'!H5=-1, 'koios_no_ap'!H5=-1), "", 'koios_ap'!L5/'koios_no_ap'!L5)</f>
        <v/>
      </c>
      <c r="J53">
        <f>IF(OR('koios_ap'!H5=-1, 'koios_no_ap'!H5=-1), "", 'koios_ap'!AC5/'koios_no_ap'!AC5)</f>
        <v/>
      </c>
      <c r="K53">
        <f>IF(OR('koios_ap'!H5=-1, 'koios_no_ap'!H5=-1), "", 'koios_ap'!AD5/'koios_no_ap'!AD5)</f>
        <v/>
      </c>
    </row>
    <row r="54">
      <c r="A54" t="inlineStr">
        <is>
          <t>koios</t>
        </is>
      </c>
      <c r="B54" t="inlineStr">
        <is>
          <t>k6FracN10LB_mem20K_complexDSP_customSB_22nm.xml</t>
        </is>
      </c>
      <c r="C54" t="inlineStr">
        <is>
          <t>bwave_like.float.large.blif</t>
        </is>
      </c>
      <c r="D54">
        <f>IF(OR('koios_ap'!H6=-1, 'koios_no_ap'!H6=-1), "", 'koios_ap'!F6/'koios_no_ap'!F6)</f>
        <v/>
      </c>
      <c r="E54">
        <f>IF(OR('koios_ap'!H6=-1, 'koios_no_ap'!H6=-1), "", 'koios_ap'!G6/'koios_no_ap'!G6)</f>
        <v/>
      </c>
      <c r="F54">
        <f>IF(OR('koios_ap'!H6=-1, 'koios_no_ap'!H6=-1), "", 'koios_ap'!H6/'koios_no_ap'!H6)</f>
        <v/>
      </c>
      <c r="G54">
        <f>IF(OR('koios_ap'!H6=-1, 'koios_no_ap'!H6=-1), "", 'koios_ap'!J6/'koios_no_ap'!J6)</f>
        <v/>
      </c>
      <c r="H54">
        <f>IF(OR('koios_ap'!H6=-1, 'koios_no_ap'!H6=-1), "", 'koios_ap'!K6/'koios_no_ap'!K6)</f>
        <v/>
      </c>
      <c r="I54">
        <f>IF(OR('koios_ap'!H6=-1, 'koios_no_ap'!H6=-1), "", 'koios_ap'!L6/'koios_no_ap'!L6)</f>
        <v/>
      </c>
      <c r="J54">
        <f>IF(OR('koios_ap'!H6=-1, 'koios_no_ap'!H6=-1), "", 'koios_ap'!AC6/'koios_no_ap'!AC6)</f>
        <v/>
      </c>
      <c r="K54">
        <f>IF(OR('koios_ap'!H6=-1, 'koios_no_ap'!H6=-1), "", 'koios_ap'!AD6/'koios_no_ap'!AD6)</f>
        <v/>
      </c>
    </row>
    <row r="55">
      <c r="A55" t="inlineStr">
        <is>
          <t>koios</t>
        </is>
      </c>
      <c r="B55" t="inlineStr">
        <is>
          <t>k6FracN10LB_mem20K_complexDSP_customSB_22nm.xml</t>
        </is>
      </c>
      <c r="C55" t="inlineStr">
        <is>
          <t>bwave_like.float.small.blif</t>
        </is>
      </c>
      <c r="D55">
        <f>IF(OR('koios_ap'!H7=-1, 'koios_no_ap'!H7=-1), "", 'koios_ap'!F7/'koios_no_ap'!F7)</f>
        <v/>
      </c>
      <c r="E55">
        <f>IF(OR('koios_ap'!H7=-1, 'koios_no_ap'!H7=-1), "", 'koios_ap'!G7/'koios_no_ap'!G7)</f>
        <v/>
      </c>
      <c r="F55">
        <f>IF(OR('koios_ap'!H7=-1, 'koios_no_ap'!H7=-1), "", 'koios_ap'!H7/'koios_no_ap'!H7)</f>
        <v/>
      </c>
      <c r="G55">
        <f>IF(OR('koios_ap'!H7=-1, 'koios_no_ap'!H7=-1), "", 'koios_ap'!J7/'koios_no_ap'!J7)</f>
        <v/>
      </c>
      <c r="H55">
        <f>IF(OR('koios_ap'!H7=-1, 'koios_no_ap'!H7=-1), "", 'koios_ap'!K7/'koios_no_ap'!K7)</f>
        <v/>
      </c>
      <c r="I55">
        <f>IF(OR('koios_ap'!H7=-1, 'koios_no_ap'!H7=-1), "", 'koios_ap'!L7/'koios_no_ap'!L7)</f>
        <v/>
      </c>
      <c r="J55">
        <f>IF(OR('koios_ap'!H7=-1, 'koios_no_ap'!H7=-1), "", 'koios_ap'!AC7/'koios_no_ap'!AC7)</f>
        <v/>
      </c>
      <c r="K55">
        <f>IF(OR('koios_ap'!H7=-1, 'koios_no_ap'!H7=-1), "", 'koios_ap'!AD7/'koios_no_ap'!AD7)</f>
        <v/>
      </c>
    </row>
    <row r="56">
      <c r="A56" t="inlineStr">
        <is>
          <t>koios</t>
        </is>
      </c>
      <c r="B56" t="inlineStr">
        <is>
          <t>k6FracN10LB_mem20K_complexDSP_customSB_22nm.xml</t>
        </is>
      </c>
      <c r="C56" t="inlineStr">
        <is>
          <t>clstm_like.large.blif</t>
        </is>
      </c>
      <c r="D56">
        <f>IF(OR('koios_ap'!H8=-1, 'koios_no_ap'!H8=-1), "", 'koios_ap'!F8/'koios_no_ap'!F8)</f>
        <v/>
      </c>
      <c r="E56">
        <f>IF(OR('koios_ap'!H8=-1, 'koios_no_ap'!H8=-1), "", 'koios_ap'!G8/'koios_no_ap'!G8)</f>
        <v/>
      </c>
      <c r="F56">
        <f>IF(OR('koios_ap'!H8=-1, 'koios_no_ap'!H8=-1), "", 'koios_ap'!H8/'koios_no_ap'!H8)</f>
        <v/>
      </c>
      <c r="G56">
        <f>IF(OR('koios_ap'!H8=-1, 'koios_no_ap'!H8=-1), "", 'koios_ap'!J8/'koios_no_ap'!J8)</f>
        <v/>
      </c>
      <c r="H56">
        <f>IF(OR('koios_ap'!H8=-1, 'koios_no_ap'!H8=-1), "", 'koios_ap'!K8/'koios_no_ap'!K8)</f>
        <v/>
      </c>
      <c r="I56">
        <f>IF(OR('koios_ap'!H8=-1, 'koios_no_ap'!H8=-1), "", 'koios_ap'!L8/'koios_no_ap'!L8)</f>
        <v/>
      </c>
      <c r="J56">
        <f>IF(OR('koios_ap'!H8=-1, 'koios_no_ap'!H8=-1), "", 'koios_ap'!AC8/'koios_no_ap'!AC8)</f>
        <v/>
      </c>
      <c r="K56">
        <f>IF(OR('koios_ap'!H8=-1, 'koios_no_ap'!H8=-1), "", 'koios_ap'!AD8/'koios_no_ap'!AD8)</f>
        <v/>
      </c>
    </row>
    <row r="57">
      <c r="A57" t="inlineStr">
        <is>
          <t>koios</t>
        </is>
      </c>
      <c r="B57" t="inlineStr">
        <is>
          <t>k6FracN10LB_mem20K_complexDSP_customSB_22nm.xml</t>
        </is>
      </c>
      <c r="C57" t="inlineStr">
        <is>
          <t>clstm_like.medium.blif</t>
        </is>
      </c>
      <c r="D57">
        <f>IF(OR('koios_ap'!H9=-1, 'koios_no_ap'!H9=-1), "", 'koios_ap'!F9/'koios_no_ap'!F9)</f>
        <v/>
      </c>
      <c r="E57">
        <f>IF(OR('koios_ap'!H9=-1, 'koios_no_ap'!H9=-1), "", 'koios_ap'!G9/'koios_no_ap'!G9)</f>
        <v/>
      </c>
      <c r="F57">
        <f>IF(OR('koios_ap'!H9=-1, 'koios_no_ap'!H9=-1), "", 'koios_ap'!H9/'koios_no_ap'!H9)</f>
        <v/>
      </c>
      <c r="G57">
        <f>IF(OR('koios_ap'!H9=-1, 'koios_no_ap'!H9=-1), "", 'koios_ap'!J9/'koios_no_ap'!J9)</f>
        <v/>
      </c>
      <c r="H57">
        <f>IF(OR('koios_ap'!H9=-1, 'koios_no_ap'!H9=-1), "", 'koios_ap'!K9/'koios_no_ap'!K9)</f>
        <v/>
      </c>
      <c r="I57">
        <f>IF(OR('koios_ap'!H9=-1, 'koios_no_ap'!H9=-1), "", 'koios_ap'!L9/'koios_no_ap'!L9)</f>
        <v/>
      </c>
      <c r="J57">
        <f>IF(OR('koios_ap'!H9=-1, 'koios_no_ap'!H9=-1), "", 'koios_ap'!AC9/'koios_no_ap'!AC9)</f>
        <v/>
      </c>
      <c r="K57">
        <f>IF(OR('koios_ap'!H9=-1, 'koios_no_ap'!H9=-1), "", 'koios_ap'!AD9/'koios_no_ap'!AD9)</f>
        <v/>
      </c>
    </row>
    <row r="58">
      <c r="A58" t="inlineStr">
        <is>
          <t>koios</t>
        </is>
      </c>
      <c r="B58" t="inlineStr">
        <is>
          <t>k6FracN10LB_mem20K_complexDSP_customSB_22nm.xml</t>
        </is>
      </c>
      <c r="C58" t="inlineStr">
        <is>
          <t>clstm_like.small.blif</t>
        </is>
      </c>
      <c r="D58">
        <f>IF(OR('koios_ap'!H10=-1, 'koios_no_ap'!H10=-1), "", 'koios_ap'!F10/'koios_no_ap'!F10)</f>
        <v/>
      </c>
      <c r="E58">
        <f>IF(OR('koios_ap'!H10=-1, 'koios_no_ap'!H10=-1), "", 'koios_ap'!G10/'koios_no_ap'!G10)</f>
        <v/>
      </c>
      <c r="F58">
        <f>IF(OR('koios_ap'!H10=-1, 'koios_no_ap'!H10=-1), "", 'koios_ap'!H10/'koios_no_ap'!H10)</f>
        <v/>
      </c>
      <c r="G58">
        <f>IF(OR('koios_ap'!H10=-1, 'koios_no_ap'!H10=-1), "", 'koios_ap'!J10/'koios_no_ap'!J10)</f>
        <v/>
      </c>
      <c r="H58">
        <f>IF(OR('koios_ap'!H10=-1, 'koios_no_ap'!H10=-1), "", 'koios_ap'!K10/'koios_no_ap'!K10)</f>
        <v/>
      </c>
      <c r="I58">
        <f>IF(OR('koios_ap'!H10=-1, 'koios_no_ap'!H10=-1), "", 'koios_ap'!L10/'koios_no_ap'!L10)</f>
        <v/>
      </c>
      <c r="J58">
        <f>IF(OR('koios_ap'!H10=-1, 'koios_no_ap'!H10=-1), "", 'koios_ap'!AC10/'koios_no_ap'!AC10)</f>
        <v/>
      </c>
      <c r="K58">
        <f>IF(OR('koios_ap'!H10=-1, 'koios_no_ap'!H10=-1), "", 'koios_ap'!AD10/'koios_no_ap'!AD10)</f>
        <v/>
      </c>
    </row>
    <row r="59">
      <c r="A59" t="inlineStr">
        <is>
          <t>koios</t>
        </is>
      </c>
      <c r="B59" t="inlineStr">
        <is>
          <t>k6FracN10LB_mem20K_complexDSP_customSB_22nm.xml</t>
        </is>
      </c>
      <c r="C59" t="inlineStr">
        <is>
          <t>conv_layer.blif</t>
        </is>
      </c>
      <c r="D59">
        <f>IF(OR('koios_ap'!H11=-1, 'koios_no_ap'!H11=-1), "", 'koios_ap'!F11/'koios_no_ap'!F11)</f>
        <v/>
      </c>
      <c r="E59">
        <f>IF(OR('koios_ap'!H11=-1, 'koios_no_ap'!H11=-1), "", 'koios_ap'!G11/'koios_no_ap'!G11)</f>
        <v/>
      </c>
      <c r="F59">
        <f>IF(OR('koios_ap'!H11=-1, 'koios_no_ap'!H11=-1), "", 'koios_ap'!H11/'koios_no_ap'!H11)</f>
        <v/>
      </c>
      <c r="G59">
        <f>IF(OR('koios_ap'!H11=-1, 'koios_no_ap'!H11=-1), "", 'koios_ap'!J11/'koios_no_ap'!J11)</f>
        <v/>
      </c>
      <c r="H59">
        <f>IF(OR('koios_ap'!H11=-1, 'koios_no_ap'!H11=-1), "", 'koios_ap'!K11/'koios_no_ap'!K11)</f>
        <v/>
      </c>
      <c r="I59">
        <f>IF(OR('koios_ap'!H11=-1, 'koios_no_ap'!H11=-1), "", 'koios_ap'!L11/'koios_no_ap'!L11)</f>
        <v/>
      </c>
      <c r="J59">
        <f>IF(OR('koios_ap'!H11=-1, 'koios_no_ap'!H11=-1), "", 'koios_ap'!AC11/'koios_no_ap'!AC11)</f>
        <v/>
      </c>
      <c r="K59">
        <f>IF(OR('koios_ap'!H11=-1, 'koios_no_ap'!H11=-1), "", 'koios_ap'!AD11/'koios_no_ap'!AD11)</f>
        <v/>
      </c>
    </row>
    <row r="60">
      <c r="A60" t="inlineStr">
        <is>
          <t>koios</t>
        </is>
      </c>
      <c r="B60" t="inlineStr">
        <is>
          <t>k6FracN10LB_mem20K_complexDSP_customSB_22nm.xml</t>
        </is>
      </c>
      <c r="C60" t="inlineStr">
        <is>
          <t>conv_layer_hls.blif</t>
        </is>
      </c>
      <c r="D60">
        <f>IF(OR('koios_ap'!H12=-1, 'koios_no_ap'!H12=-1), "", 'koios_ap'!F12/'koios_no_ap'!F12)</f>
        <v/>
      </c>
      <c r="E60">
        <f>IF(OR('koios_ap'!H12=-1, 'koios_no_ap'!H12=-1), "", 'koios_ap'!G12/'koios_no_ap'!G12)</f>
        <v/>
      </c>
      <c r="F60">
        <f>IF(OR('koios_ap'!H12=-1, 'koios_no_ap'!H12=-1), "", 'koios_ap'!H12/'koios_no_ap'!H12)</f>
        <v/>
      </c>
      <c r="G60">
        <f>IF(OR('koios_ap'!H12=-1, 'koios_no_ap'!H12=-1), "", 'koios_ap'!J12/'koios_no_ap'!J12)</f>
        <v/>
      </c>
      <c r="H60">
        <f>IF(OR('koios_ap'!H12=-1, 'koios_no_ap'!H12=-1), "", 'koios_ap'!K12/'koios_no_ap'!K12)</f>
        <v/>
      </c>
      <c r="I60">
        <f>IF(OR('koios_ap'!H12=-1, 'koios_no_ap'!H12=-1), "", 'koios_ap'!L12/'koios_no_ap'!L12)</f>
        <v/>
      </c>
      <c r="J60">
        <f>IF(OR('koios_ap'!H12=-1, 'koios_no_ap'!H12=-1), "", 'koios_ap'!AC12/'koios_no_ap'!AC12)</f>
        <v/>
      </c>
      <c r="K60">
        <f>IF(OR('koios_ap'!H12=-1, 'koios_no_ap'!H12=-1), "", 'koios_ap'!AD12/'koios_no_ap'!AD12)</f>
        <v/>
      </c>
    </row>
    <row r="61">
      <c r="A61" t="inlineStr">
        <is>
          <t>koios</t>
        </is>
      </c>
      <c r="B61" t="inlineStr">
        <is>
          <t>k6FracN10LB_mem20K_complexDSP_customSB_22nm.xml</t>
        </is>
      </c>
      <c r="C61" t="inlineStr">
        <is>
          <t>dla_like.large.blif</t>
        </is>
      </c>
      <c r="D61">
        <f>IF(OR('koios_ap'!H13=-1, 'koios_no_ap'!H13=-1), "", 'koios_ap'!F13/'koios_no_ap'!F13)</f>
        <v/>
      </c>
      <c r="E61">
        <f>IF(OR('koios_ap'!H13=-1, 'koios_no_ap'!H13=-1), "", 'koios_ap'!G13/'koios_no_ap'!G13)</f>
        <v/>
      </c>
      <c r="F61">
        <f>IF(OR('koios_ap'!H13=-1, 'koios_no_ap'!H13=-1), "", 'koios_ap'!H13/'koios_no_ap'!H13)</f>
        <v/>
      </c>
      <c r="G61">
        <f>IF(OR('koios_ap'!H13=-1, 'koios_no_ap'!H13=-1), "", 'koios_ap'!J13/'koios_no_ap'!J13)</f>
        <v/>
      </c>
      <c r="H61">
        <f>IF(OR('koios_ap'!H13=-1, 'koios_no_ap'!H13=-1), "", 'koios_ap'!K13/'koios_no_ap'!K13)</f>
        <v/>
      </c>
      <c r="I61">
        <f>IF(OR('koios_ap'!H13=-1, 'koios_no_ap'!H13=-1), "", 'koios_ap'!L13/'koios_no_ap'!L13)</f>
        <v/>
      </c>
      <c r="J61">
        <f>IF(OR('koios_ap'!H13=-1, 'koios_no_ap'!H13=-1), "", 'koios_ap'!AC13/'koios_no_ap'!AC13)</f>
        <v/>
      </c>
      <c r="K61">
        <f>IF(OR('koios_ap'!H13=-1, 'koios_no_ap'!H13=-1), "", 'koios_ap'!AD13/'koios_no_ap'!AD13)</f>
        <v/>
      </c>
    </row>
    <row r="62">
      <c r="A62" t="inlineStr">
        <is>
          <t>koios</t>
        </is>
      </c>
      <c r="B62" t="inlineStr">
        <is>
          <t>k6FracN10LB_mem20K_complexDSP_customSB_22nm.xml</t>
        </is>
      </c>
      <c r="C62" t="inlineStr">
        <is>
          <t>dla_like.medium.blif</t>
        </is>
      </c>
      <c r="D62">
        <f>IF(OR('koios_ap'!H14=-1, 'koios_no_ap'!H14=-1), "", 'koios_ap'!F14/'koios_no_ap'!F14)</f>
        <v/>
      </c>
      <c r="E62">
        <f>IF(OR('koios_ap'!H14=-1, 'koios_no_ap'!H14=-1), "", 'koios_ap'!G14/'koios_no_ap'!G14)</f>
        <v/>
      </c>
      <c r="F62">
        <f>IF(OR('koios_ap'!H14=-1, 'koios_no_ap'!H14=-1), "", 'koios_ap'!H14/'koios_no_ap'!H14)</f>
        <v/>
      </c>
      <c r="G62">
        <f>IF(OR('koios_ap'!H14=-1, 'koios_no_ap'!H14=-1), "", 'koios_ap'!J14/'koios_no_ap'!J14)</f>
        <v/>
      </c>
      <c r="H62">
        <f>IF(OR('koios_ap'!H14=-1, 'koios_no_ap'!H14=-1), "", 'koios_ap'!K14/'koios_no_ap'!K14)</f>
        <v/>
      </c>
      <c r="I62">
        <f>IF(OR('koios_ap'!H14=-1, 'koios_no_ap'!H14=-1), "", 'koios_ap'!L14/'koios_no_ap'!L14)</f>
        <v/>
      </c>
      <c r="J62">
        <f>IF(OR('koios_ap'!H14=-1, 'koios_no_ap'!H14=-1), "", 'koios_ap'!AC14/'koios_no_ap'!AC14)</f>
        <v/>
      </c>
      <c r="K62">
        <f>IF(OR('koios_ap'!H14=-1, 'koios_no_ap'!H14=-1), "", 'koios_ap'!AD14/'koios_no_ap'!AD14)</f>
        <v/>
      </c>
    </row>
    <row r="63">
      <c r="A63" t="inlineStr">
        <is>
          <t>koios</t>
        </is>
      </c>
      <c r="B63" t="inlineStr">
        <is>
          <t>k6FracN10LB_mem20K_complexDSP_customSB_22nm.xml</t>
        </is>
      </c>
      <c r="C63" t="inlineStr">
        <is>
          <t>dla_like.small.blif</t>
        </is>
      </c>
      <c r="D63">
        <f>IF(OR('koios_ap'!H15=-1, 'koios_no_ap'!H15=-1), "", 'koios_ap'!F15/'koios_no_ap'!F15)</f>
        <v/>
      </c>
      <c r="E63">
        <f>IF(OR('koios_ap'!H15=-1, 'koios_no_ap'!H15=-1), "", 'koios_ap'!G15/'koios_no_ap'!G15)</f>
        <v/>
      </c>
      <c r="F63">
        <f>IF(OR('koios_ap'!H15=-1, 'koios_no_ap'!H15=-1), "", 'koios_ap'!H15/'koios_no_ap'!H15)</f>
        <v/>
      </c>
      <c r="G63">
        <f>IF(OR('koios_ap'!H15=-1, 'koios_no_ap'!H15=-1), "", 'koios_ap'!J15/'koios_no_ap'!J15)</f>
        <v/>
      </c>
      <c r="H63">
        <f>IF(OR('koios_ap'!H15=-1, 'koios_no_ap'!H15=-1), "", 'koios_ap'!K15/'koios_no_ap'!K15)</f>
        <v/>
      </c>
      <c r="I63">
        <f>IF(OR('koios_ap'!H15=-1, 'koios_no_ap'!H15=-1), "", 'koios_ap'!L15/'koios_no_ap'!L15)</f>
        <v/>
      </c>
      <c r="J63">
        <f>IF(OR('koios_ap'!H15=-1, 'koios_no_ap'!H15=-1), "", 'koios_ap'!AC15/'koios_no_ap'!AC15)</f>
        <v/>
      </c>
      <c r="K63">
        <f>IF(OR('koios_ap'!H15=-1, 'koios_no_ap'!H15=-1), "", 'koios_ap'!AD15/'koios_no_ap'!AD15)</f>
        <v/>
      </c>
    </row>
    <row r="64">
      <c r="A64" t="inlineStr">
        <is>
          <t>koios</t>
        </is>
      </c>
      <c r="B64" t="inlineStr">
        <is>
          <t>k6FracN10LB_mem20K_complexDSP_customSB_22nm.xml</t>
        </is>
      </c>
      <c r="C64" t="inlineStr">
        <is>
          <t>dnnweaver.blif</t>
        </is>
      </c>
      <c r="D64">
        <f>IF(OR('koios_ap'!H16=-1, 'koios_no_ap'!H16=-1), "", 'koios_ap'!F16/'koios_no_ap'!F16)</f>
        <v/>
      </c>
      <c r="E64">
        <f>IF(OR('koios_ap'!H16=-1, 'koios_no_ap'!H16=-1), "", 'koios_ap'!G16/'koios_no_ap'!G16)</f>
        <v/>
      </c>
      <c r="F64">
        <f>IF(OR('koios_ap'!H16=-1, 'koios_no_ap'!H16=-1), "", 'koios_ap'!H16/'koios_no_ap'!H16)</f>
        <v/>
      </c>
      <c r="G64">
        <f>IF(OR('koios_ap'!H16=-1, 'koios_no_ap'!H16=-1), "", 'koios_ap'!J16/'koios_no_ap'!J16)</f>
        <v/>
      </c>
      <c r="H64">
        <f>IF(OR('koios_ap'!H16=-1, 'koios_no_ap'!H16=-1), "", 'koios_ap'!K16/'koios_no_ap'!K16)</f>
        <v/>
      </c>
      <c r="I64">
        <f>IF(OR('koios_ap'!H16=-1, 'koios_no_ap'!H16=-1), "", 'koios_ap'!L16/'koios_no_ap'!L16)</f>
        <v/>
      </c>
      <c r="J64">
        <f>IF(OR('koios_ap'!H16=-1, 'koios_no_ap'!H16=-1), "", 'koios_ap'!AC16/'koios_no_ap'!AC16)</f>
        <v/>
      </c>
      <c r="K64">
        <f>IF(OR('koios_ap'!H16=-1, 'koios_no_ap'!H16=-1), "", 'koios_ap'!AD16/'koios_no_ap'!AD16)</f>
        <v/>
      </c>
    </row>
    <row r="65">
      <c r="A65" t="inlineStr">
        <is>
          <t>koios</t>
        </is>
      </c>
      <c r="B65" t="inlineStr">
        <is>
          <t>k6FracN10LB_mem20K_complexDSP_customSB_22nm.xml</t>
        </is>
      </c>
      <c r="C65" t="inlineStr">
        <is>
          <t>eltwise_layer.blif</t>
        </is>
      </c>
      <c r="D65">
        <f>IF(OR('koios_ap'!H17=-1, 'koios_no_ap'!H17=-1), "", 'koios_ap'!F17/'koios_no_ap'!F17)</f>
        <v/>
      </c>
      <c r="E65">
        <f>IF(OR('koios_ap'!H17=-1, 'koios_no_ap'!H17=-1), "", 'koios_ap'!G17/'koios_no_ap'!G17)</f>
        <v/>
      </c>
      <c r="F65">
        <f>IF(OR('koios_ap'!H17=-1, 'koios_no_ap'!H17=-1), "", 'koios_ap'!H17/'koios_no_ap'!H17)</f>
        <v/>
      </c>
      <c r="G65">
        <f>IF(OR('koios_ap'!H17=-1, 'koios_no_ap'!H17=-1), "", 'koios_ap'!J17/'koios_no_ap'!J17)</f>
        <v/>
      </c>
      <c r="H65">
        <f>IF(OR('koios_ap'!H17=-1, 'koios_no_ap'!H17=-1), "", 'koios_ap'!K17/'koios_no_ap'!K17)</f>
        <v/>
      </c>
      <c r="I65">
        <f>IF(OR('koios_ap'!H17=-1, 'koios_no_ap'!H17=-1), "", 'koios_ap'!L17/'koios_no_ap'!L17)</f>
        <v/>
      </c>
      <c r="J65">
        <f>IF(OR('koios_ap'!H17=-1, 'koios_no_ap'!H17=-1), "", 'koios_ap'!AC17/'koios_no_ap'!AC17)</f>
        <v/>
      </c>
      <c r="K65">
        <f>IF(OR('koios_ap'!H17=-1, 'koios_no_ap'!H17=-1), "", 'koios_ap'!AD17/'koios_no_ap'!AD17)</f>
        <v/>
      </c>
    </row>
    <row r="66">
      <c r="A66" t="inlineStr">
        <is>
          <t>koios</t>
        </is>
      </c>
      <c r="B66" t="inlineStr">
        <is>
          <t>k6FracN10LB_mem20K_complexDSP_customSB_22nm.xml</t>
        </is>
      </c>
      <c r="C66" t="inlineStr">
        <is>
          <t>gemm_layer.blif</t>
        </is>
      </c>
      <c r="D66">
        <f>IF(OR('koios_ap'!H18=-1, 'koios_no_ap'!H18=-1), "", 'koios_ap'!F18/'koios_no_ap'!F18)</f>
        <v/>
      </c>
      <c r="E66">
        <f>IF(OR('koios_ap'!H18=-1, 'koios_no_ap'!H18=-1), "", 'koios_ap'!G18/'koios_no_ap'!G18)</f>
        <v/>
      </c>
      <c r="F66">
        <f>IF(OR('koios_ap'!H18=-1, 'koios_no_ap'!H18=-1), "", 'koios_ap'!H18/'koios_no_ap'!H18)</f>
        <v/>
      </c>
      <c r="G66">
        <f>IF(OR('koios_ap'!H18=-1, 'koios_no_ap'!H18=-1), "", 'koios_ap'!J18/'koios_no_ap'!J18)</f>
        <v/>
      </c>
      <c r="H66">
        <f>IF(OR('koios_ap'!H18=-1, 'koios_no_ap'!H18=-1), "", 'koios_ap'!K18/'koios_no_ap'!K18)</f>
        <v/>
      </c>
      <c r="I66">
        <f>IF(OR('koios_ap'!H18=-1, 'koios_no_ap'!H18=-1), "", 'koios_ap'!L18/'koios_no_ap'!L18)</f>
        <v/>
      </c>
      <c r="J66">
        <f>IF(OR('koios_ap'!H18=-1, 'koios_no_ap'!H18=-1), "", 'koios_ap'!AC18/'koios_no_ap'!AC18)</f>
        <v/>
      </c>
      <c r="K66">
        <f>IF(OR('koios_ap'!H18=-1, 'koios_no_ap'!H18=-1), "", 'koios_ap'!AD18/'koios_no_ap'!AD18)</f>
        <v/>
      </c>
    </row>
    <row r="67">
      <c r="A67" t="inlineStr">
        <is>
          <t>koios</t>
        </is>
      </c>
      <c r="B67" t="inlineStr">
        <is>
          <t>k6FracN10LB_mem20K_complexDSP_customSB_22nm.xml</t>
        </is>
      </c>
      <c r="C67" t="inlineStr">
        <is>
          <t>lenet.blif</t>
        </is>
      </c>
      <c r="D67">
        <f>IF(OR('koios_ap'!H19=-1, 'koios_no_ap'!H19=-1), "", 'koios_ap'!F19/'koios_no_ap'!F19)</f>
        <v/>
      </c>
      <c r="E67">
        <f>IF(OR('koios_ap'!H19=-1, 'koios_no_ap'!H19=-1), "", 'koios_ap'!G19/'koios_no_ap'!G19)</f>
        <v/>
      </c>
      <c r="F67">
        <f>IF(OR('koios_ap'!H19=-1, 'koios_no_ap'!H19=-1), "", 'koios_ap'!H19/'koios_no_ap'!H19)</f>
        <v/>
      </c>
      <c r="G67">
        <f>IF(OR('koios_ap'!H19=-1, 'koios_no_ap'!H19=-1), "", 'koios_ap'!J19/'koios_no_ap'!J19)</f>
        <v/>
      </c>
      <c r="H67">
        <f>IF(OR('koios_ap'!H19=-1, 'koios_no_ap'!H19=-1), "", 'koios_ap'!K19/'koios_no_ap'!K19)</f>
        <v/>
      </c>
      <c r="I67">
        <f>IF(OR('koios_ap'!H19=-1, 'koios_no_ap'!H19=-1), "", 'koios_ap'!L19/'koios_no_ap'!L19)</f>
        <v/>
      </c>
      <c r="J67">
        <f>IF(OR('koios_ap'!H19=-1, 'koios_no_ap'!H19=-1), "", 'koios_ap'!AC19/'koios_no_ap'!AC19)</f>
        <v/>
      </c>
      <c r="K67">
        <f>IF(OR('koios_ap'!H19=-1, 'koios_no_ap'!H19=-1), "", 'koios_ap'!AD19/'koios_no_ap'!AD19)</f>
        <v/>
      </c>
    </row>
    <row r="68">
      <c r="A68" t="inlineStr">
        <is>
          <t>koios</t>
        </is>
      </c>
      <c r="B68" t="inlineStr">
        <is>
          <t>k6FracN10LB_mem20K_complexDSP_customSB_22nm.xml</t>
        </is>
      </c>
      <c r="C68" t="inlineStr">
        <is>
          <t>lstm.blif</t>
        </is>
      </c>
      <c r="D68">
        <f>IF(OR('koios_ap'!H20=-1, 'koios_no_ap'!H20=-1), "", 'koios_ap'!F20/'koios_no_ap'!F20)</f>
        <v/>
      </c>
      <c r="E68">
        <f>IF(OR('koios_ap'!H20=-1, 'koios_no_ap'!H20=-1), "", 'koios_ap'!G20/'koios_no_ap'!G20)</f>
        <v/>
      </c>
      <c r="F68">
        <f>IF(OR('koios_ap'!H20=-1, 'koios_no_ap'!H20=-1), "", 'koios_ap'!H20/'koios_no_ap'!H20)</f>
        <v/>
      </c>
      <c r="G68">
        <f>IF(OR('koios_ap'!H20=-1, 'koios_no_ap'!H20=-1), "", 'koios_ap'!J20/'koios_no_ap'!J20)</f>
        <v/>
      </c>
      <c r="H68">
        <f>IF(OR('koios_ap'!H20=-1, 'koios_no_ap'!H20=-1), "", 'koios_ap'!K20/'koios_no_ap'!K20)</f>
        <v/>
      </c>
      <c r="I68">
        <f>IF(OR('koios_ap'!H20=-1, 'koios_no_ap'!H20=-1), "", 'koios_ap'!L20/'koios_no_ap'!L20)</f>
        <v/>
      </c>
      <c r="J68">
        <f>IF(OR('koios_ap'!H20=-1, 'koios_no_ap'!H20=-1), "", 'koios_ap'!AC20/'koios_no_ap'!AC20)</f>
        <v/>
      </c>
      <c r="K68">
        <f>IF(OR('koios_ap'!H20=-1, 'koios_no_ap'!H20=-1), "", 'koios_ap'!AD20/'koios_no_ap'!AD20)</f>
        <v/>
      </c>
    </row>
    <row r="69">
      <c r="A69" t="inlineStr">
        <is>
          <t>koios</t>
        </is>
      </c>
      <c r="B69" t="inlineStr">
        <is>
          <t>k6FracN10LB_mem20K_complexDSP_customSB_22nm.xml</t>
        </is>
      </c>
      <c r="C69" t="inlineStr">
        <is>
          <t>reduction_layer.blif</t>
        </is>
      </c>
      <c r="D69">
        <f>IF(OR('koios_ap'!H21=-1, 'koios_no_ap'!H21=-1), "", 'koios_ap'!F21/'koios_no_ap'!F21)</f>
        <v/>
      </c>
      <c r="E69">
        <f>IF(OR('koios_ap'!H21=-1, 'koios_no_ap'!H21=-1), "", 'koios_ap'!G21/'koios_no_ap'!G21)</f>
        <v/>
      </c>
      <c r="F69">
        <f>IF(OR('koios_ap'!H21=-1, 'koios_no_ap'!H21=-1), "", 'koios_ap'!H21/'koios_no_ap'!H21)</f>
        <v/>
      </c>
      <c r="G69">
        <f>IF(OR('koios_ap'!H21=-1, 'koios_no_ap'!H21=-1), "", 'koios_ap'!J21/'koios_no_ap'!J21)</f>
        <v/>
      </c>
      <c r="H69">
        <f>IF(OR('koios_ap'!H21=-1, 'koios_no_ap'!H21=-1), "", 'koios_ap'!K21/'koios_no_ap'!K21)</f>
        <v/>
      </c>
      <c r="I69">
        <f>IF(OR('koios_ap'!H21=-1, 'koios_no_ap'!H21=-1), "", 'koios_ap'!L21/'koios_no_ap'!L21)</f>
        <v/>
      </c>
      <c r="J69">
        <f>IF(OR('koios_ap'!H21=-1, 'koios_no_ap'!H21=-1), "", 'koios_ap'!AC21/'koios_no_ap'!AC21)</f>
        <v/>
      </c>
      <c r="K69">
        <f>IF(OR('koios_ap'!H21=-1, 'koios_no_ap'!H21=-1), "", 'koios_ap'!AD21/'koios_no_ap'!AD21)</f>
        <v/>
      </c>
    </row>
    <row r="70">
      <c r="A70" t="inlineStr">
        <is>
          <t>koios</t>
        </is>
      </c>
      <c r="B70" t="inlineStr">
        <is>
          <t>k6FracN10LB_mem20K_complexDSP_customSB_22nm.xml</t>
        </is>
      </c>
      <c r="C70" t="inlineStr">
        <is>
          <t>robot_rl.blif</t>
        </is>
      </c>
      <c r="D70">
        <f>IF(OR('koios_ap'!H22=-1, 'koios_no_ap'!H22=-1), "", 'koios_ap'!F22/'koios_no_ap'!F22)</f>
        <v/>
      </c>
      <c r="E70">
        <f>IF(OR('koios_ap'!H22=-1, 'koios_no_ap'!H22=-1), "", 'koios_ap'!G22/'koios_no_ap'!G22)</f>
        <v/>
      </c>
      <c r="F70">
        <f>IF(OR('koios_ap'!H22=-1, 'koios_no_ap'!H22=-1), "", 'koios_ap'!H22/'koios_no_ap'!H22)</f>
        <v/>
      </c>
      <c r="G70">
        <f>IF(OR('koios_ap'!H22=-1, 'koios_no_ap'!H22=-1), "", 'koios_ap'!J22/'koios_no_ap'!J22)</f>
        <v/>
      </c>
      <c r="H70">
        <f>IF(OR('koios_ap'!H22=-1, 'koios_no_ap'!H22=-1), "", 'koios_ap'!K22/'koios_no_ap'!K22)</f>
        <v/>
      </c>
      <c r="I70">
        <f>IF(OR('koios_ap'!H22=-1, 'koios_no_ap'!H22=-1), "", 'koios_ap'!L22/'koios_no_ap'!L22)</f>
        <v/>
      </c>
      <c r="J70">
        <f>IF(OR('koios_ap'!H22=-1, 'koios_no_ap'!H22=-1), "", 'koios_ap'!AC22/'koios_no_ap'!AC22)</f>
        <v/>
      </c>
      <c r="K70">
        <f>IF(OR('koios_ap'!H22=-1, 'koios_no_ap'!H22=-1), "", 'koios_ap'!AD22/'koios_no_ap'!AD22)</f>
        <v/>
      </c>
    </row>
    <row r="71">
      <c r="A71" t="inlineStr">
        <is>
          <t>koios</t>
        </is>
      </c>
      <c r="B71" t="inlineStr">
        <is>
          <t>k6FracN10LB_mem20K_complexDSP_customSB_22nm.xml</t>
        </is>
      </c>
      <c r="C71" t="inlineStr">
        <is>
          <t>softmax.blif</t>
        </is>
      </c>
      <c r="D71">
        <f>IF(OR('koios_ap'!H23=-1, 'koios_no_ap'!H23=-1), "", 'koios_ap'!F23/'koios_no_ap'!F23)</f>
        <v/>
      </c>
      <c r="E71">
        <f>IF(OR('koios_ap'!H23=-1, 'koios_no_ap'!H23=-1), "", 'koios_ap'!G23/'koios_no_ap'!G23)</f>
        <v/>
      </c>
      <c r="F71">
        <f>IF(OR('koios_ap'!H23=-1, 'koios_no_ap'!H23=-1), "", 'koios_ap'!H23/'koios_no_ap'!H23)</f>
        <v/>
      </c>
      <c r="G71">
        <f>IF(OR('koios_ap'!H23=-1, 'koios_no_ap'!H23=-1), "", 'koios_ap'!J23/'koios_no_ap'!J23)</f>
        <v/>
      </c>
      <c r="H71">
        <f>IF(OR('koios_ap'!H23=-1, 'koios_no_ap'!H23=-1), "", 'koios_ap'!K23/'koios_no_ap'!K23)</f>
        <v/>
      </c>
      <c r="I71">
        <f>IF(OR('koios_ap'!H23=-1, 'koios_no_ap'!H23=-1), "", 'koios_ap'!L23/'koios_no_ap'!L23)</f>
        <v/>
      </c>
      <c r="J71">
        <f>IF(OR('koios_ap'!H23=-1, 'koios_no_ap'!H23=-1), "", 'koios_ap'!AC23/'koios_no_ap'!AC23)</f>
        <v/>
      </c>
      <c r="K71">
        <f>IF(OR('koios_ap'!H23=-1, 'koios_no_ap'!H23=-1), "", 'koios_ap'!AD23/'koios_no_ap'!AD23)</f>
        <v/>
      </c>
    </row>
    <row r="72">
      <c r="A72" t="inlineStr">
        <is>
          <t>koios</t>
        </is>
      </c>
      <c r="B72" t="inlineStr">
        <is>
          <t>k6FracN10LB_mem20K_complexDSP_customSB_22nm.xml</t>
        </is>
      </c>
      <c r="C72" t="inlineStr">
        <is>
          <t>spmv.blif</t>
        </is>
      </c>
      <c r="D72">
        <f>IF(OR('koios_ap'!H24=-1, 'koios_no_ap'!H24=-1), "", 'koios_ap'!F24/'koios_no_ap'!F24)</f>
        <v/>
      </c>
      <c r="E72">
        <f>IF(OR('koios_ap'!H24=-1, 'koios_no_ap'!H24=-1), "", 'koios_ap'!G24/'koios_no_ap'!G24)</f>
        <v/>
      </c>
      <c r="F72">
        <f>IF(OR('koios_ap'!H24=-1, 'koios_no_ap'!H24=-1), "", 'koios_ap'!H24/'koios_no_ap'!H24)</f>
        <v/>
      </c>
      <c r="G72">
        <f>IF(OR('koios_ap'!H24=-1, 'koios_no_ap'!H24=-1), "", 'koios_ap'!J24/'koios_no_ap'!J24)</f>
        <v/>
      </c>
      <c r="H72">
        <f>IF(OR('koios_ap'!H24=-1, 'koios_no_ap'!H24=-1), "", 'koios_ap'!K24/'koios_no_ap'!K24)</f>
        <v/>
      </c>
      <c r="I72">
        <f>IF(OR('koios_ap'!H24=-1, 'koios_no_ap'!H24=-1), "", 'koios_ap'!L24/'koios_no_ap'!L24)</f>
        <v/>
      </c>
      <c r="J72">
        <f>IF(OR('koios_ap'!H24=-1, 'koios_no_ap'!H24=-1), "", 'koios_ap'!AC24/'koios_no_ap'!AC24)</f>
        <v/>
      </c>
      <c r="K72">
        <f>IF(OR('koios_ap'!H24=-1, 'koios_no_ap'!H24=-1), "", 'koios_ap'!AD24/'koios_no_ap'!AD24)</f>
        <v/>
      </c>
    </row>
    <row r="73">
      <c r="A73" t="inlineStr">
        <is>
          <t>koios</t>
        </is>
      </c>
      <c r="B73" t="inlineStr">
        <is>
          <t>k6FracN10LB_mem20K_complexDSP_customSB_22nm.xml</t>
        </is>
      </c>
      <c r="C73" t="inlineStr">
        <is>
          <t>tdarknet_like.large.blif</t>
        </is>
      </c>
      <c r="D73">
        <f>IF(OR('koios_ap'!H25=-1, 'koios_no_ap'!H25=-1), "", 'koios_ap'!F25/'koios_no_ap'!F25)</f>
        <v/>
      </c>
      <c r="E73">
        <f>IF(OR('koios_ap'!H25=-1, 'koios_no_ap'!H25=-1), "", 'koios_ap'!G25/'koios_no_ap'!G25)</f>
        <v/>
      </c>
      <c r="F73">
        <f>IF(OR('koios_ap'!H25=-1, 'koios_no_ap'!H25=-1), "", 'koios_ap'!H25/'koios_no_ap'!H25)</f>
        <v/>
      </c>
      <c r="G73">
        <f>IF(OR('koios_ap'!H25=-1, 'koios_no_ap'!H25=-1), "", 'koios_ap'!J25/'koios_no_ap'!J25)</f>
        <v/>
      </c>
      <c r="H73">
        <f>IF(OR('koios_ap'!H25=-1, 'koios_no_ap'!H25=-1), "", 'koios_ap'!K25/'koios_no_ap'!K25)</f>
        <v/>
      </c>
      <c r="I73">
        <f>IF(OR('koios_ap'!H25=-1, 'koios_no_ap'!H25=-1), "", 'koios_ap'!L25/'koios_no_ap'!L25)</f>
        <v/>
      </c>
      <c r="J73">
        <f>IF(OR('koios_ap'!H25=-1, 'koios_no_ap'!H25=-1), "", 'koios_ap'!AC25/'koios_no_ap'!AC25)</f>
        <v/>
      </c>
      <c r="K73">
        <f>IF(OR('koios_ap'!H25=-1, 'koios_no_ap'!H25=-1), "", 'koios_ap'!AD25/'koios_no_ap'!AD25)</f>
        <v/>
      </c>
    </row>
    <row r="74">
      <c r="A74" t="inlineStr">
        <is>
          <t>koios</t>
        </is>
      </c>
      <c r="B74" t="inlineStr">
        <is>
          <t>k6FracN10LB_mem20K_complexDSP_customSB_22nm.xml</t>
        </is>
      </c>
      <c r="C74" t="inlineStr">
        <is>
          <t>tdarknet_like.small.blif</t>
        </is>
      </c>
      <c r="D74">
        <f>IF(OR('koios_ap'!H26=-1, 'koios_no_ap'!H26=-1), "", 'koios_ap'!F26/'koios_no_ap'!F26)</f>
        <v/>
      </c>
      <c r="E74">
        <f>IF(OR('koios_ap'!H26=-1, 'koios_no_ap'!H26=-1), "", 'koios_ap'!G26/'koios_no_ap'!G26)</f>
        <v/>
      </c>
      <c r="F74">
        <f>IF(OR('koios_ap'!H26=-1, 'koios_no_ap'!H26=-1), "", 'koios_ap'!H26/'koios_no_ap'!H26)</f>
        <v/>
      </c>
      <c r="G74">
        <f>IF(OR('koios_ap'!H26=-1, 'koios_no_ap'!H26=-1), "", 'koios_ap'!J26/'koios_no_ap'!J26)</f>
        <v/>
      </c>
      <c r="H74">
        <f>IF(OR('koios_ap'!H26=-1, 'koios_no_ap'!H26=-1), "", 'koios_ap'!K26/'koios_no_ap'!K26)</f>
        <v/>
      </c>
      <c r="I74">
        <f>IF(OR('koios_ap'!H26=-1, 'koios_no_ap'!H26=-1), "", 'koios_ap'!L26/'koios_no_ap'!L26)</f>
        <v/>
      </c>
      <c r="J74">
        <f>IF(OR('koios_ap'!H26=-1, 'koios_no_ap'!H26=-1), "", 'koios_ap'!AC26/'koios_no_ap'!AC26)</f>
        <v/>
      </c>
      <c r="K74">
        <f>IF(OR('koios_ap'!H26=-1, 'koios_no_ap'!H26=-1), "", 'koios_ap'!AD26/'koios_no_ap'!AD26)</f>
        <v/>
      </c>
    </row>
    <row r="75">
      <c r="A75" t="inlineStr">
        <is>
          <t>koios</t>
        </is>
      </c>
      <c r="B75" t="inlineStr">
        <is>
          <t>k6FracN10LB_mem20K_complexDSP_customSB_22nm.xml</t>
        </is>
      </c>
      <c r="C75" t="inlineStr">
        <is>
          <t>tpu_like.large.os.blif</t>
        </is>
      </c>
      <c r="D75">
        <f>IF(OR('koios_ap'!H27=-1, 'koios_no_ap'!H27=-1), "", 'koios_ap'!F27/'koios_no_ap'!F27)</f>
        <v/>
      </c>
      <c r="E75">
        <f>IF(OR('koios_ap'!H27=-1, 'koios_no_ap'!H27=-1), "", 'koios_ap'!G27/'koios_no_ap'!G27)</f>
        <v/>
      </c>
      <c r="F75">
        <f>IF(OR('koios_ap'!H27=-1, 'koios_no_ap'!H27=-1), "", 'koios_ap'!H27/'koios_no_ap'!H27)</f>
        <v/>
      </c>
      <c r="G75">
        <f>IF(OR('koios_ap'!H27=-1, 'koios_no_ap'!H27=-1), "", 'koios_ap'!J27/'koios_no_ap'!J27)</f>
        <v/>
      </c>
      <c r="H75">
        <f>IF(OR('koios_ap'!H27=-1, 'koios_no_ap'!H27=-1), "", 'koios_ap'!K27/'koios_no_ap'!K27)</f>
        <v/>
      </c>
      <c r="I75">
        <f>IF(OR('koios_ap'!H27=-1, 'koios_no_ap'!H27=-1), "", 'koios_ap'!L27/'koios_no_ap'!L27)</f>
        <v/>
      </c>
      <c r="J75">
        <f>IF(OR('koios_ap'!H27=-1, 'koios_no_ap'!H27=-1), "", 'koios_ap'!AC27/'koios_no_ap'!AC27)</f>
        <v/>
      </c>
      <c r="K75">
        <f>IF(OR('koios_ap'!H27=-1, 'koios_no_ap'!H27=-1), "", 'koios_ap'!AD27/'koios_no_ap'!AD27)</f>
        <v/>
      </c>
    </row>
    <row r="76">
      <c r="A76" t="inlineStr">
        <is>
          <t>koios</t>
        </is>
      </c>
      <c r="B76" t="inlineStr">
        <is>
          <t>k6FracN10LB_mem20K_complexDSP_customSB_22nm.xml</t>
        </is>
      </c>
      <c r="C76" t="inlineStr">
        <is>
          <t>tpu_like.large.ws.blif</t>
        </is>
      </c>
      <c r="D76">
        <f>IF(OR('koios_ap'!H28=-1, 'koios_no_ap'!H28=-1), "", 'koios_ap'!F28/'koios_no_ap'!F28)</f>
        <v/>
      </c>
      <c r="E76">
        <f>IF(OR('koios_ap'!H28=-1, 'koios_no_ap'!H28=-1), "", 'koios_ap'!G28/'koios_no_ap'!G28)</f>
        <v/>
      </c>
      <c r="F76">
        <f>IF(OR('koios_ap'!H28=-1, 'koios_no_ap'!H28=-1), "", 'koios_ap'!H28/'koios_no_ap'!H28)</f>
        <v/>
      </c>
      <c r="G76">
        <f>IF(OR('koios_ap'!H28=-1, 'koios_no_ap'!H28=-1), "", 'koios_ap'!J28/'koios_no_ap'!J28)</f>
        <v/>
      </c>
      <c r="H76">
        <f>IF(OR('koios_ap'!H28=-1, 'koios_no_ap'!H28=-1), "", 'koios_ap'!K28/'koios_no_ap'!K28)</f>
        <v/>
      </c>
      <c r="I76">
        <f>IF(OR('koios_ap'!H28=-1, 'koios_no_ap'!H28=-1), "", 'koios_ap'!L28/'koios_no_ap'!L28)</f>
        <v/>
      </c>
      <c r="J76">
        <f>IF(OR('koios_ap'!H28=-1, 'koios_no_ap'!H28=-1), "", 'koios_ap'!AC28/'koios_no_ap'!AC28)</f>
        <v/>
      </c>
      <c r="K76">
        <f>IF(OR('koios_ap'!H28=-1, 'koios_no_ap'!H28=-1), "", 'koios_ap'!AD28/'koios_no_ap'!AD28)</f>
        <v/>
      </c>
    </row>
    <row r="77">
      <c r="A77" t="inlineStr">
        <is>
          <t>koios</t>
        </is>
      </c>
      <c r="B77" t="inlineStr">
        <is>
          <t>k6FracN10LB_mem20K_complexDSP_customSB_22nm.xml</t>
        </is>
      </c>
      <c r="C77" t="inlineStr">
        <is>
          <t>tpu_like.small.os.blif</t>
        </is>
      </c>
      <c r="D77">
        <f>IF(OR('koios_ap'!H29=-1, 'koios_no_ap'!H29=-1), "", 'koios_ap'!F29/'koios_no_ap'!F29)</f>
        <v/>
      </c>
      <c r="E77">
        <f>IF(OR('koios_ap'!H29=-1, 'koios_no_ap'!H29=-1), "", 'koios_ap'!G29/'koios_no_ap'!G29)</f>
        <v/>
      </c>
      <c r="F77">
        <f>IF(OR('koios_ap'!H29=-1, 'koios_no_ap'!H29=-1), "", 'koios_ap'!H29/'koios_no_ap'!H29)</f>
        <v/>
      </c>
      <c r="G77">
        <f>IF(OR('koios_ap'!H29=-1, 'koios_no_ap'!H29=-1), "", 'koios_ap'!J29/'koios_no_ap'!J29)</f>
        <v/>
      </c>
      <c r="H77">
        <f>IF(OR('koios_ap'!H29=-1, 'koios_no_ap'!H29=-1), "", 'koios_ap'!K29/'koios_no_ap'!K29)</f>
        <v/>
      </c>
      <c r="I77">
        <f>IF(OR('koios_ap'!H29=-1, 'koios_no_ap'!H29=-1), "", 'koios_ap'!L29/'koios_no_ap'!L29)</f>
        <v/>
      </c>
      <c r="J77">
        <f>IF(OR('koios_ap'!H29=-1, 'koios_no_ap'!H29=-1), "", 'koios_ap'!AC29/'koios_no_ap'!AC29)</f>
        <v/>
      </c>
      <c r="K77">
        <f>IF(OR('koios_ap'!H29=-1, 'koios_no_ap'!H29=-1), "", 'koios_ap'!AD29/'koios_no_ap'!AD29)</f>
        <v/>
      </c>
    </row>
    <row r="78">
      <c r="A78" t="inlineStr">
        <is>
          <t>koios</t>
        </is>
      </c>
      <c r="B78" t="inlineStr">
        <is>
          <t>k6FracN10LB_mem20K_complexDSP_customSB_22nm.xml</t>
        </is>
      </c>
      <c r="C78" t="inlineStr">
        <is>
          <t>tpu_like.small.ws.blif</t>
        </is>
      </c>
      <c r="D78">
        <f>IF(OR('koios_ap'!H30=-1, 'koios_no_ap'!H30=-1), "", 'koios_ap'!F30/'koios_no_ap'!F30)</f>
        <v/>
      </c>
      <c r="E78">
        <f>IF(OR('koios_ap'!H30=-1, 'koios_no_ap'!H30=-1), "", 'koios_ap'!G30/'koios_no_ap'!G30)</f>
        <v/>
      </c>
      <c r="F78">
        <f>IF(OR('koios_ap'!H30=-1, 'koios_no_ap'!H30=-1), "", 'koios_ap'!H30/'koios_no_ap'!H30)</f>
        <v/>
      </c>
      <c r="G78">
        <f>IF(OR('koios_ap'!H30=-1, 'koios_no_ap'!H30=-1), "", 'koios_ap'!J30/'koios_no_ap'!J30)</f>
        <v/>
      </c>
      <c r="H78">
        <f>IF(OR('koios_ap'!H30=-1, 'koios_no_ap'!H30=-1), "", 'koios_ap'!K30/'koios_no_ap'!K30)</f>
        <v/>
      </c>
      <c r="I78">
        <f>IF(OR('koios_ap'!H30=-1, 'koios_no_ap'!H30=-1), "", 'koios_ap'!L30/'koios_no_ap'!L30)</f>
        <v/>
      </c>
      <c r="J78">
        <f>IF(OR('koios_ap'!H30=-1, 'koios_no_ap'!H30=-1), "", 'koios_ap'!AC30/'koios_no_ap'!AC30)</f>
        <v/>
      </c>
      <c r="K78">
        <f>IF(OR('koios_ap'!H30=-1, 'koios_no_ap'!H30=-1), "", 'koios_ap'!AD30/'koios_no_ap'!AD30)</f>
        <v/>
      </c>
    </row>
    <row r="79">
      <c r="A79" t="inlineStr">
        <is>
          <t>koios</t>
        </is>
      </c>
      <c r="B79" t="inlineStr"/>
      <c r="C79" t="inlineStr">
        <is>
          <t>GEOMEAN</t>
        </is>
      </c>
      <c r="D79">
        <f>GEOMEAN(D50:D78)</f>
        <v/>
      </c>
      <c r="E79">
        <f>GEOMEAN(E50:E78)</f>
        <v/>
      </c>
      <c r="F79">
        <f>GEOMEAN(F50:F78)</f>
        <v/>
      </c>
      <c r="G79">
        <f>GEOMEAN(G50:G78)</f>
        <v/>
      </c>
      <c r="H79">
        <f>GEOMEAN(H50:H78)</f>
        <v/>
      </c>
      <c r="I79">
        <f>GEOMEAN(I50:I78)</f>
        <v/>
      </c>
      <c r="J79">
        <f>GEOMEAN(J50:J78)</f>
        <v/>
      </c>
      <c r="K79">
        <f>GEOMEAN(K50:K78)</f>
        <v/>
      </c>
    </row>
    <row r="80">
      <c r="A80" t="inlineStr">
        <is>
          <t>koios</t>
        </is>
      </c>
      <c r="B80" t="inlineStr"/>
      <c r="C80" t="inlineStr">
        <is>
          <t>UNROUTES</t>
        </is>
      </c>
      <c r="D80">
        <f>29 - COUNT(F50:F78)</f>
        <v/>
      </c>
    </row>
    <row r="81">
      <c r="A81" t="inlineStr"/>
    </row>
    <row r="82">
      <c r="A82" t="inlineStr">
        <is>
          <t>titanium_s10</t>
        </is>
      </c>
      <c r="B82" t="inlineStr">
        <is>
          <t>stratix10_arch.timing.xml</t>
        </is>
      </c>
      <c r="C82" t="inlineStr">
        <is>
          <t>ASU_LRN_stratix10_arch_timing.blif</t>
        </is>
      </c>
      <c r="D82">
        <f>IF(OR('titanium_s10_ap'!H2=-1, 'titanium_s10_no_ap'!H2=-1), "", 'titanium_s10_ap'!F2/'titanium_s10_no_ap'!F2)</f>
        <v/>
      </c>
      <c r="E82">
        <f>IF(OR('titanium_s10_ap'!H2=-1, 'titanium_s10_no_ap'!H2=-1), "", 'titanium_s10_ap'!G2/'titanium_s10_no_ap'!G2)</f>
        <v/>
      </c>
      <c r="F82">
        <f>IF(OR('titanium_s10_ap'!H2=-1, 'titanium_s10_no_ap'!H2=-1), "", 'titanium_s10_ap'!H2/'titanium_s10_no_ap'!H2)</f>
        <v/>
      </c>
      <c r="G82">
        <f>IF(OR('titanium_s10_ap'!H2=-1, 'titanium_s10_no_ap'!H2=-1), "", 'titanium_s10_ap'!J2/'titanium_s10_no_ap'!J2)</f>
        <v/>
      </c>
      <c r="H82">
        <f>IF(OR('titanium_s10_ap'!H2=-1, 'titanium_s10_no_ap'!H2=-1), "", 'titanium_s10_ap'!K2/'titanium_s10_no_ap'!K2)</f>
        <v/>
      </c>
      <c r="I82">
        <f>IF(OR('titanium_s10_ap'!H2=-1, 'titanium_s10_no_ap'!H2=-1), "", 'titanium_s10_ap'!L2/'titanium_s10_no_ap'!L2)</f>
        <v/>
      </c>
      <c r="J82">
        <f>IF(OR('titanium_s10_ap'!H2=-1, 'titanium_s10_no_ap'!H2=-1), "", 'titanium_s10_ap'!AC2/'titanium_s10_no_ap'!AC2)</f>
        <v/>
      </c>
      <c r="K82">
        <f>IF(OR('titanium_s10_ap'!H2=-1, 'titanium_s10_no_ap'!H2=-1), "", 'titanium_s10_ap'!AD2/'titanium_s10_no_ap'!AD2)</f>
        <v/>
      </c>
    </row>
    <row r="83">
      <c r="A83" t="inlineStr">
        <is>
          <t>titanium_s10</t>
        </is>
      </c>
      <c r="B83" t="inlineStr">
        <is>
          <t>stratix10_arch.timing.xml</t>
        </is>
      </c>
      <c r="C83" t="inlineStr">
        <is>
          <t>ChainNN_LRN_LG_stratix10_arch_timing.blif</t>
        </is>
      </c>
      <c r="D83">
        <f>IF(OR('titanium_s10_ap'!H3=-1, 'titanium_s10_no_ap'!H3=-1), "", 'titanium_s10_ap'!F3/'titanium_s10_no_ap'!F3)</f>
        <v/>
      </c>
      <c r="E83">
        <f>IF(OR('titanium_s10_ap'!H3=-1, 'titanium_s10_no_ap'!H3=-1), "", 'titanium_s10_ap'!G3/'titanium_s10_no_ap'!G3)</f>
        <v/>
      </c>
      <c r="F83">
        <f>IF(OR('titanium_s10_ap'!H3=-1, 'titanium_s10_no_ap'!H3=-1), "", 'titanium_s10_ap'!H3/'titanium_s10_no_ap'!H3)</f>
        <v/>
      </c>
      <c r="G83">
        <f>IF(OR('titanium_s10_ap'!H3=-1, 'titanium_s10_no_ap'!H3=-1), "", 'titanium_s10_ap'!J3/'titanium_s10_no_ap'!J3)</f>
        <v/>
      </c>
      <c r="H83">
        <f>IF(OR('titanium_s10_ap'!H3=-1, 'titanium_s10_no_ap'!H3=-1), "", 'titanium_s10_ap'!K3/'titanium_s10_no_ap'!K3)</f>
        <v/>
      </c>
      <c r="I83">
        <f>IF(OR('titanium_s10_ap'!H3=-1, 'titanium_s10_no_ap'!H3=-1), "", 'titanium_s10_ap'!L3/'titanium_s10_no_ap'!L3)</f>
        <v/>
      </c>
      <c r="J83">
        <f>IF(OR('titanium_s10_ap'!H3=-1, 'titanium_s10_no_ap'!H3=-1), "", 'titanium_s10_ap'!AC3/'titanium_s10_no_ap'!AC3)</f>
        <v/>
      </c>
      <c r="K83">
        <f>IF(OR('titanium_s10_ap'!H3=-1, 'titanium_s10_no_ap'!H3=-1), "", 'titanium_s10_ap'!AD3/'titanium_s10_no_ap'!AD3)</f>
        <v/>
      </c>
    </row>
    <row r="84">
      <c r="A84" t="inlineStr">
        <is>
          <t>titanium_s10</t>
        </is>
      </c>
      <c r="B84" t="inlineStr">
        <is>
          <t>stratix10_arch.timing.xml</t>
        </is>
      </c>
      <c r="C84" t="inlineStr">
        <is>
          <t>ChainNN_ELT_LG_stratix10_arch_timing.blif</t>
        </is>
      </c>
      <c r="D84">
        <f>IF(OR('titanium_s10_ap'!H4=-1, 'titanium_s10_no_ap'!H4=-1), "", 'titanium_s10_ap'!F4/'titanium_s10_no_ap'!F4)</f>
        <v/>
      </c>
      <c r="E84">
        <f>IF(OR('titanium_s10_ap'!H4=-1, 'titanium_s10_no_ap'!H4=-1), "", 'titanium_s10_ap'!G4/'titanium_s10_no_ap'!G4)</f>
        <v/>
      </c>
      <c r="F84">
        <f>IF(OR('titanium_s10_ap'!H4=-1, 'titanium_s10_no_ap'!H4=-1), "", 'titanium_s10_ap'!H4/'titanium_s10_no_ap'!H4)</f>
        <v/>
      </c>
      <c r="G84">
        <f>IF(OR('titanium_s10_ap'!H4=-1, 'titanium_s10_no_ap'!H4=-1), "", 'titanium_s10_ap'!J4/'titanium_s10_no_ap'!J4)</f>
        <v/>
      </c>
      <c r="H84">
        <f>IF(OR('titanium_s10_ap'!H4=-1, 'titanium_s10_no_ap'!H4=-1), "", 'titanium_s10_ap'!K4/'titanium_s10_no_ap'!K4)</f>
        <v/>
      </c>
      <c r="I84">
        <f>IF(OR('titanium_s10_ap'!H4=-1, 'titanium_s10_no_ap'!H4=-1), "", 'titanium_s10_ap'!L4/'titanium_s10_no_ap'!L4)</f>
        <v/>
      </c>
      <c r="J84">
        <f>IF(OR('titanium_s10_ap'!H4=-1, 'titanium_s10_no_ap'!H4=-1), "", 'titanium_s10_ap'!AC4/'titanium_s10_no_ap'!AC4)</f>
        <v/>
      </c>
      <c r="K84">
        <f>IF(OR('titanium_s10_ap'!H4=-1, 'titanium_s10_no_ap'!H4=-1), "", 'titanium_s10_ap'!AD4/'titanium_s10_no_ap'!AD4)</f>
        <v/>
      </c>
    </row>
    <row r="85">
      <c r="A85" t="inlineStr">
        <is>
          <t>titanium_s10</t>
        </is>
      </c>
      <c r="B85" t="inlineStr">
        <is>
          <t>stratix10_arch.timing.xml</t>
        </is>
      </c>
      <c r="C85" t="inlineStr">
        <is>
          <t>ChainNN_BSC_LG_stratix10_arch_timing.blif</t>
        </is>
      </c>
      <c r="D85">
        <f>IF(OR('titanium_s10_ap'!H5=-1, 'titanium_s10_no_ap'!H5=-1), "", 'titanium_s10_ap'!F5/'titanium_s10_no_ap'!F5)</f>
        <v/>
      </c>
      <c r="E85">
        <f>IF(OR('titanium_s10_ap'!H5=-1, 'titanium_s10_no_ap'!H5=-1), "", 'titanium_s10_ap'!G5/'titanium_s10_no_ap'!G5)</f>
        <v/>
      </c>
      <c r="F85">
        <f>IF(OR('titanium_s10_ap'!H5=-1, 'titanium_s10_no_ap'!H5=-1), "", 'titanium_s10_ap'!H5/'titanium_s10_no_ap'!H5)</f>
        <v/>
      </c>
      <c r="G85">
        <f>IF(OR('titanium_s10_ap'!H5=-1, 'titanium_s10_no_ap'!H5=-1), "", 'titanium_s10_ap'!J5/'titanium_s10_no_ap'!J5)</f>
        <v/>
      </c>
      <c r="H85">
        <f>IF(OR('titanium_s10_ap'!H5=-1, 'titanium_s10_no_ap'!H5=-1), "", 'titanium_s10_ap'!K5/'titanium_s10_no_ap'!K5)</f>
        <v/>
      </c>
      <c r="I85">
        <f>IF(OR('titanium_s10_ap'!H5=-1, 'titanium_s10_no_ap'!H5=-1), "", 'titanium_s10_ap'!L5/'titanium_s10_no_ap'!L5)</f>
        <v/>
      </c>
      <c r="J85">
        <f>IF(OR('titanium_s10_ap'!H5=-1, 'titanium_s10_no_ap'!H5=-1), "", 'titanium_s10_ap'!AC5/'titanium_s10_no_ap'!AC5)</f>
        <v/>
      </c>
      <c r="K85">
        <f>IF(OR('titanium_s10_ap'!H5=-1, 'titanium_s10_no_ap'!H5=-1), "", 'titanium_s10_ap'!AD5/'titanium_s10_no_ap'!AD5)</f>
        <v/>
      </c>
    </row>
    <row r="86">
      <c r="A86" t="inlineStr">
        <is>
          <t>titanium_s10</t>
        </is>
      </c>
      <c r="B86" t="inlineStr">
        <is>
          <t>stratix10_arch.timing.xml</t>
        </is>
      </c>
      <c r="C86" t="inlineStr">
        <is>
          <t>rocket17_stratix10_arch_timing.blif</t>
        </is>
      </c>
      <c r="D86">
        <f>IF(OR('titanium_s10_ap'!H6=-1, 'titanium_s10_no_ap'!H6=-1), "", 'titanium_s10_ap'!F6/'titanium_s10_no_ap'!F6)</f>
        <v/>
      </c>
      <c r="E86">
        <f>IF(OR('titanium_s10_ap'!H6=-1, 'titanium_s10_no_ap'!H6=-1), "", 'titanium_s10_ap'!G6/'titanium_s10_no_ap'!G6)</f>
        <v/>
      </c>
      <c r="F86">
        <f>IF(OR('titanium_s10_ap'!H6=-1, 'titanium_s10_no_ap'!H6=-1), "", 'titanium_s10_ap'!H6/'titanium_s10_no_ap'!H6)</f>
        <v/>
      </c>
      <c r="G86">
        <f>IF(OR('titanium_s10_ap'!H6=-1, 'titanium_s10_no_ap'!H6=-1), "", 'titanium_s10_ap'!J6/'titanium_s10_no_ap'!J6)</f>
        <v/>
      </c>
      <c r="H86">
        <f>IF(OR('titanium_s10_ap'!H6=-1, 'titanium_s10_no_ap'!H6=-1), "", 'titanium_s10_ap'!K6/'titanium_s10_no_ap'!K6)</f>
        <v/>
      </c>
      <c r="I86">
        <f>IF(OR('titanium_s10_ap'!H6=-1, 'titanium_s10_no_ap'!H6=-1), "", 'titanium_s10_ap'!L6/'titanium_s10_no_ap'!L6)</f>
        <v/>
      </c>
      <c r="J86">
        <f>IF(OR('titanium_s10_ap'!H6=-1, 'titanium_s10_no_ap'!H6=-1), "", 'titanium_s10_ap'!AC6/'titanium_s10_no_ap'!AC6)</f>
        <v/>
      </c>
      <c r="K86">
        <f>IF(OR('titanium_s10_ap'!H6=-1, 'titanium_s10_no_ap'!H6=-1), "", 'titanium_s10_ap'!AD6/'titanium_s10_no_ap'!AD6)</f>
        <v/>
      </c>
    </row>
    <row r="87">
      <c r="A87" t="inlineStr">
        <is>
          <t>titanium_s10</t>
        </is>
      </c>
      <c r="B87" t="inlineStr">
        <is>
          <t>stratix10_arch.timing.xml</t>
        </is>
      </c>
      <c r="C87" t="inlineStr">
        <is>
          <t>ASU_ELT_stratix10_arch_timing.blif</t>
        </is>
      </c>
      <c r="D87">
        <f>IF(OR('titanium_s10_ap'!H7=-1, 'titanium_s10_no_ap'!H7=-1), "", 'titanium_s10_ap'!F7/'titanium_s10_no_ap'!F7)</f>
        <v/>
      </c>
      <c r="E87">
        <f>IF(OR('titanium_s10_ap'!H7=-1, 'titanium_s10_no_ap'!H7=-1), "", 'titanium_s10_ap'!G7/'titanium_s10_no_ap'!G7)</f>
        <v/>
      </c>
      <c r="F87">
        <f>IF(OR('titanium_s10_ap'!H7=-1, 'titanium_s10_no_ap'!H7=-1), "", 'titanium_s10_ap'!H7/'titanium_s10_no_ap'!H7)</f>
        <v/>
      </c>
      <c r="G87">
        <f>IF(OR('titanium_s10_ap'!H7=-1, 'titanium_s10_no_ap'!H7=-1), "", 'titanium_s10_ap'!J7/'titanium_s10_no_ap'!J7)</f>
        <v/>
      </c>
      <c r="H87">
        <f>IF(OR('titanium_s10_ap'!H7=-1, 'titanium_s10_no_ap'!H7=-1), "", 'titanium_s10_ap'!K7/'titanium_s10_no_ap'!K7)</f>
        <v/>
      </c>
      <c r="I87">
        <f>IF(OR('titanium_s10_ap'!H7=-1, 'titanium_s10_no_ap'!H7=-1), "", 'titanium_s10_ap'!L7/'titanium_s10_no_ap'!L7)</f>
        <v/>
      </c>
      <c r="J87">
        <f>IF(OR('titanium_s10_ap'!H7=-1, 'titanium_s10_no_ap'!H7=-1), "", 'titanium_s10_ap'!AC7/'titanium_s10_no_ap'!AC7)</f>
        <v/>
      </c>
      <c r="K87">
        <f>IF(OR('titanium_s10_ap'!H7=-1, 'titanium_s10_no_ap'!H7=-1), "", 'titanium_s10_ap'!AD7/'titanium_s10_no_ap'!AD7)</f>
        <v/>
      </c>
    </row>
    <row r="88">
      <c r="A88" t="inlineStr">
        <is>
          <t>titanium_s10</t>
        </is>
      </c>
      <c r="B88" t="inlineStr">
        <is>
          <t>stratix10_arch.timing.xml</t>
        </is>
      </c>
      <c r="C88" t="inlineStr">
        <is>
          <t>ASU_BSC_stratix10_arch_timing.blif</t>
        </is>
      </c>
      <c r="D88">
        <f>IF(OR('titanium_s10_ap'!H8=-1, 'titanium_s10_no_ap'!H8=-1), "", 'titanium_s10_ap'!F8/'titanium_s10_no_ap'!F8)</f>
        <v/>
      </c>
      <c r="E88">
        <f>IF(OR('titanium_s10_ap'!H8=-1, 'titanium_s10_no_ap'!H8=-1), "", 'titanium_s10_ap'!G8/'titanium_s10_no_ap'!G8)</f>
        <v/>
      </c>
      <c r="F88">
        <f>IF(OR('titanium_s10_ap'!H8=-1, 'titanium_s10_no_ap'!H8=-1), "", 'titanium_s10_ap'!H8/'titanium_s10_no_ap'!H8)</f>
        <v/>
      </c>
      <c r="G88">
        <f>IF(OR('titanium_s10_ap'!H8=-1, 'titanium_s10_no_ap'!H8=-1), "", 'titanium_s10_ap'!J8/'titanium_s10_no_ap'!J8)</f>
        <v/>
      </c>
      <c r="H88">
        <f>IF(OR('titanium_s10_ap'!H8=-1, 'titanium_s10_no_ap'!H8=-1), "", 'titanium_s10_ap'!K8/'titanium_s10_no_ap'!K8)</f>
        <v/>
      </c>
      <c r="I88">
        <f>IF(OR('titanium_s10_ap'!H8=-1, 'titanium_s10_no_ap'!H8=-1), "", 'titanium_s10_ap'!L8/'titanium_s10_no_ap'!L8)</f>
        <v/>
      </c>
      <c r="J88">
        <f>IF(OR('titanium_s10_ap'!H8=-1, 'titanium_s10_no_ap'!H8=-1), "", 'titanium_s10_ap'!AC8/'titanium_s10_no_ap'!AC8)</f>
        <v/>
      </c>
      <c r="K88">
        <f>IF(OR('titanium_s10_ap'!H8=-1, 'titanium_s10_no_ap'!H8=-1), "", 'titanium_s10_ap'!AD8/'titanium_s10_no_ap'!AD8)</f>
        <v/>
      </c>
    </row>
    <row r="89">
      <c r="A89" t="inlineStr">
        <is>
          <t>titanium_s10</t>
        </is>
      </c>
      <c r="B89" t="inlineStr">
        <is>
          <t>stratix10_arch.timing.xml</t>
        </is>
      </c>
      <c r="C89" t="inlineStr">
        <is>
          <t>tdfir_stratix10_arch_timing.blif</t>
        </is>
      </c>
      <c r="D89">
        <f>IF(OR('titanium_s10_ap'!H9=-1, 'titanium_s10_no_ap'!H9=-1), "", 'titanium_s10_ap'!F9/'titanium_s10_no_ap'!F9)</f>
        <v/>
      </c>
      <c r="E89">
        <f>IF(OR('titanium_s10_ap'!H9=-1, 'titanium_s10_no_ap'!H9=-1), "", 'titanium_s10_ap'!G9/'titanium_s10_no_ap'!G9)</f>
        <v/>
      </c>
      <c r="F89">
        <f>IF(OR('titanium_s10_ap'!H9=-1, 'titanium_s10_no_ap'!H9=-1), "", 'titanium_s10_ap'!H9/'titanium_s10_no_ap'!H9)</f>
        <v/>
      </c>
      <c r="G89">
        <f>IF(OR('titanium_s10_ap'!H9=-1, 'titanium_s10_no_ap'!H9=-1), "", 'titanium_s10_ap'!J9/'titanium_s10_no_ap'!J9)</f>
        <v/>
      </c>
      <c r="H89">
        <f>IF(OR('titanium_s10_ap'!H9=-1, 'titanium_s10_no_ap'!H9=-1), "", 'titanium_s10_ap'!K9/'titanium_s10_no_ap'!K9)</f>
        <v/>
      </c>
      <c r="I89">
        <f>IF(OR('titanium_s10_ap'!H9=-1, 'titanium_s10_no_ap'!H9=-1), "", 'titanium_s10_ap'!L9/'titanium_s10_no_ap'!L9)</f>
        <v/>
      </c>
      <c r="J89">
        <f>IF(OR('titanium_s10_ap'!H9=-1, 'titanium_s10_no_ap'!H9=-1), "", 'titanium_s10_ap'!AC9/'titanium_s10_no_ap'!AC9)</f>
        <v/>
      </c>
      <c r="K89">
        <f>IF(OR('titanium_s10_ap'!H9=-1, 'titanium_s10_no_ap'!H9=-1), "", 'titanium_s10_ap'!AD9/'titanium_s10_no_ap'!AD9)</f>
        <v/>
      </c>
    </row>
    <row r="90">
      <c r="A90" t="inlineStr">
        <is>
          <t>titanium_s10</t>
        </is>
      </c>
      <c r="B90" t="inlineStr">
        <is>
          <t>stratix10_arch.timing.xml</t>
        </is>
      </c>
      <c r="C90" t="inlineStr">
        <is>
          <t>pricing_stratix10_arch_timing.blif</t>
        </is>
      </c>
      <c r="D90">
        <f>IF(OR('titanium_s10_ap'!H10=-1, 'titanium_s10_no_ap'!H10=-1), "", 'titanium_s10_ap'!F10/'titanium_s10_no_ap'!F10)</f>
        <v/>
      </c>
      <c r="E90">
        <f>IF(OR('titanium_s10_ap'!H10=-1, 'titanium_s10_no_ap'!H10=-1), "", 'titanium_s10_ap'!G10/'titanium_s10_no_ap'!G10)</f>
        <v/>
      </c>
      <c r="F90">
        <f>IF(OR('titanium_s10_ap'!H10=-1, 'titanium_s10_no_ap'!H10=-1), "", 'titanium_s10_ap'!H10/'titanium_s10_no_ap'!H10)</f>
        <v/>
      </c>
      <c r="G90">
        <f>IF(OR('titanium_s10_ap'!H10=-1, 'titanium_s10_no_ap'!H10=-1), "", 'titanium_s10_ap'!J10/'titanium_s10_no_ap'!J10)</f>
        <v/>
      </c>
      <c r="H90">
        <f>IF(OR('titanium_s10_ap'!H10=-1, 'titanium_s10_no_ap'!H10=-1), "", 'titanium_s10_ap'!K10/'titanium_s10_no_ap'!K10)</f>
        <v/>
      </c>
      <c r="I90">
        <f>IF(OR('titanium_s10_ap'!H10=-1, 'titanium_s10_no_ap'!H10=-1), "", 'titanium_s10_ap'!L10/'titanium_s10_no_ap'!L10)</f>
        <v/>
      </c>
      <c r="J90">
        <f>IF(OR('titanium_s10_ap'!H10=-1, 'titanium_s10_no_ap'!H10=-1), "", 'titanium_s10_ap'!AC10/'titanium_s10_no_ap'!AC10)</f>
        <v/>
      </c>
      <c r="K90">
        <f>IF(OR('titanium_s10_ap'!H10=-1, 'titanium_s10_no_ap'!H10=-1), "", 'titanium_s10_ap'!AD10/'titanium_s10_no_ap'!AD10)</f>
        <v/>
      </c>
    </row>
    <row r="91">
      <c r="A91" t="inlineStr">
        <is>
          <t>titanium_s10</t>
        </is>
      </c>
      <c r="B91" t="inlineStr">
        <is>
          <t>stratix10_arch.timing.xml</t>
        </is>
      </c>
      <c r="C91" t="inlineStr">
        <is>
          <t>mem_tester_stratix10_arch_timing.blif</t>
        </is>
      </c>
      <c r="D91">
        <f>IF(OR('titanium_s10_ap'!H11=-1, 'titanium_s10_no_ap'!H11=-1), "", 'titanium_s10_ap'!F11/'titanium_s10_no_ap'!F11)</f>
        <v/>
      </c>
      <c r="E91">
        <f>IF(OR('titanium_s10_ap'!H11=-1, 'titanium_s10_no_ap'!H11=-1), "", 'titanium_s10_ap'!G11/'titanium_s10_no_ap'!G11)</f>
        <v/>
      </c>
      <c r="F91">
        <f>IF(OR('titanium_s10_ap'!H11=-1, 'titanium_s10_no_ap'!H11=-1), "", 'titanium_s10_ap'!H11/'titanium_s10_no_ap'!H11)</f>
        <v/>
      </c>
      <c r="G91">
        <f>IF(OR('titanium_s10_ap'!H11=-1, 'titanium_s10_no_ap'!H11=-1), "", 'titanium_s10_ap'!J11/'titanium_s10_no_ap'!J11)</f>
        <v/>
      </c>
      <c r="H91">
        <f>IF(OR('titanium_s10_ap'!H11=-1, 'titanium_s10_no_ap'!H11=-1), "", 'titanium_s10_ap'!K11/'titanium_s10_no_ap'!K11)</f>
        <v/>
      </c>
      <c r="I91">
        <f>IF(OR('titanium_s10_ap'!H11=-1, 'titanium_s10_no_ap'!H11=-1), "", 'titanium_s10_ap'!L11/'titanium_s10_no_ap'!L11)</f>
        <v/>
      </c>
      <c r="J91">
        <f>IF(OR('titanium_s10_ap'!H11=-1, 'titanium_s10_no_ap'!H11=-1), "", 'titanium_s10_ap'!AC11/'titanium_s10_no_ap'!AC11)</f>
        <v/>
      </c>
      <c r="K91">
        <f>IF(OR('titanium_s10_ap'!H11=-1, 'titanium_s10_no_ap'!H11=-1), "", 'titanium_s10_ap'!AD11/'titanium_s10_no_ap'!AD11)</f>
        <v/>
      </c>
    </row>
    <row r="92">
      <c r="A92" t="inlineStr">
        <is>
          <t>titanium_s10</t>
        </is>
      </c>
      <c r="B92" t="inlineStr">
        <is>
          <t>stratix10_arch.timing.xml</t>
        </is>
      </c>
      <c r="C92" t="inlineStr">
        <is>
          <t>mandelbrot_stratix10_arch_timing.blif</t>
        </is>
      </c>
      <c r="D92">
        <f>IF(OR('titanium_s10_ap'!H12=-1, 'titanium_s10_no_ap'!H12=-1), "", 'titanium_s10_ap'!F12/'titanium_s10_no_ap'!F12)</f>
        <v/>
      </c>
      <c r="E92">
        <f>IF(OR('titanium_s10_ap'!H12=-1, 'titanium_s10_no_ap'!H12=-1), "", 'titanium_s10_ap'!G12/'titanium_s10_no_ap'!G12)</f>
        <v/>
      </c>
      <c r="F92">
        <f>IF(OR('titanium_s10_ap'!H12=-1, 'titanium_s10_no_ap'!H12=-1), "", 'titanium_s10_ap'!H12/'titanium_s10_no_ap'!H12)</f>
        <v/>
      </c>
      <c r="G92">
        <f>IF(OR('titanium_s10_ap'!H12=-1, 'titanium_s10_no_ap'!H12=-1), "", 'titanium_s10_ap'!J12/'titanium_s10_no_ap'!J12)</f>
        <v/>
      </c>
      <c r="H92">
        <f>IF(OR('titanium_s10_ap'!H12=-1, 'titanium_s10_no_ap'!H12=-1), "", 'titanium_s10_ap'!K12/'titanium_s10_no_ap'!K12)</f>
        <v/>
      </c>
      <c r="I92">
        <f>IF(OR('titanium_s10_ap'!H12=-1, 'titanium_s10_no_ap'!H12=-1), "", 'titanium_s10_ap'!L12/'titanium_s10_no_ap'!L12)</f>
        <v/>
      </c>
      <c r="J92">
        <f>IF(OR('titanium_s10_ap'!H12=-1, 'titanium_s10_no_ap'!H12=-1), "", 'titanium_s10_ap'!AC12/'titanium_s10_no_ap'!AC12)</f>
        <v/>
      </c>
      <c r="K92">
        <f>IF(OR('titanium_s10_ap'!H12=-1, 'titanium_s10_no_ap'!H12=-1), "", 'titanium_s10_ap'!AD12/'titanium_s10_no_ap'!AD12)</f>
        <v/>
      </c>
    </row>
    <row r="93">
      <c r="A93" t="inlineStr">
        <is>
          <t>titanium_s10</t>
        </is>
      </c>
      <c r="B93" t="inlineStr">
        <is>
          <t>stratix10_arch.timing.xml</t>
        </is>
      </c>
      <c r="C93" t="inlineStr">
        <is>
          <t>channelizer_stratix10_arch_timing.blif</t>
        </is>
      </c>
      <c r="D93">
        <f>IF(OR('titanium_s10_ap'!H13=-1, 'titanium_s10_no_ap'!H13=-1), "", 'titanium_s10_ap'!F13/'titanium_s10_no_ap'!F13)</f>
        <v/>
      </c>
      <c r="E93">
        <f>IF(OR('titanium_s10_ap'!H13=-1, 'titanium_s10_no_ap'!H13=-1), "", 'titanium_s10_ap'!G13/'titanium_s10_no_ap'!G13)</f>
        <v/>
      </c>
      <c r="F93">
        <f>IF(OR('titanium_s10_ap'!H13=-1, 'titanium_s10_no_ap'!H13=-1), "", 'titanium_s10_ap'!H13/'titanium_s10_no_ap'!H13)</f>
        <v/>
      </c>
      <c r="G93">
        <f>IF(OR('titanium_s10_ap'!H13=-1, 'titanium_s10_no_ap'!H13=-1), "", 'titanium_s10_ap'!J13/'titanium_s10_no_ap'!J13)</f>
        <v/>
      </c>
      <c r="H93">
        <f>IF(OR('titanium_s10_ap'!H13=-1, 'titanium_s10_no_ap'!H13=-1), "", 'titanium_s10_ap'!K13/'titanium_s10_no_ap'!K13)</f>
        <v/>
      </c>
      <c r="I93">
        <f>IF(OR('titanium_s10_ap'!H13=-1, 'titanium_s10_no_ap'!H13=-1), "", 'titanium_s10_ap'!L13/'titanium_s10_no_ap'!L13)</f>
        <v/>
      </c>
      <c r="J93">
        <f>IF(OR('titanium_s10_ap'!H13=-1, 'titanium_s10_no_ap'!H13=-1), "", 'titanium_s10_ap'!AC13/'titanium_s10_no_ap'!AC13)</f>
        <v/>
      </c>
      <c r="K93">
        <f>IF(OR('titanium_s10_ap'!H13=-1, 'titanium_s10_no_ap'!H13=-1), "", 'titanium_s10_ap'!AD13/'titanium_s10_no_ap'!AD13)</f>
        <v/>
      </c>
    </row>
    <row r="94">
      <c r="A94" t="inlineStr">
        <is>
          <t>titanium_s10</t>
        </is>
      </c>
      <c r="B94" t="inlineStr">
        <is>
          <t>stratix10_arch.timing.xml</t>
        </is>
      </c>
      <c r="C94" t="inlineStr">
        <is>
          <t>fft1d_offchip_stratix10_arch_timing.blif</t>
        </is>
      </c>
      <c r="D94">
        <f>IF(OR('titanium_s10_ap'!H14=-1, 'titanium_s10_no_ap'!H14=-1), "", 'titanium_s10_ap'!F14/'titanium_s10_no_ap'!F14)</f>
        <v/>
      </c>
      <c r="E94">
        <f>IF(OR('titanium_s10_ap'!H14=-1, 'titanium_s10_no_ap'!H14=-1), "", 'titanium_s10_ap'!G14/'titanium_s10_no_ap'!G14)</f>
        <v/>
      </c>
      <c r="F94">
        <f>IF(OR('titanium_s10_ap'!H14=-1, 'titanium_s10_no_ap'!H14=-1), "", 'titanium_s10_ap'!H14/'titanium_s10_no_ap'!H14)</f>
        <v/>
      </c>
      <c r="G94">
        <f>IF(OR('titanium_s10_ap'!H14=-1, 'titanium_s10_no_ap'!H14=-1), "", 'titanium_s10_ap'!J14/'titanium_s10_no_ap'!J14)</f>
        <v/>
      </c>
      <c r="H94">
        <f>IF(OR('titanium_s10_ap'!H14=-1, 'titanium_s10_no_ap'!H14=-1), "", 'titanium_s10_ap'!K14/'titanium_s10_no_ap'!K14)</f>
        <v/>
      </c>
      <c r="I94">
        <f>IF(OR('titanium_s10_ap'!H14=-1, 'titanium_s10_no_ap'!H14=-1), "", 'titanium_s10_ap'!L14/'titanium_s10_no_ap'!L14)</f>
        <v/>
      </c>
      <c r="J94">
        <f>IF(OR('titanium_s10_ap'!H14=-1, 'titanium_s10_no_ap'!H14=-1), "", 'titanium_s10_ap'!AC14/'titanium_s10_no_ap'!AC14)</f>
        <v/>
      </c>
      <c r="K94">
        <f>IF(OR('titanium_s10_ap'!H14=-1, 'titanium_s10_no_ap'!H14=-1), "", 'titanium_s10_ap'!AD14/'titanium_s10_no_ap'!AD14)</f>
        <v/>
      </c>
    </row>
    <row r="95">
      <c r="A95" t="inlineStr">
        <is>
          <t>titanium_s10</t>
        </is>
      </c>
      <c r="B95" t="inlineStr">
        <is>
          <t>stratix10_arch.timing.xml</t>
        </is>
      </c>
      <c r="C95" t="inlineStr">
        <is>
          <t>DLA_LRN_stratix10_arch_timing.blif</t>
        </is>
      </c>
      <c r="D95">
        <f>IF(OR('titanium_s10_ap'!H15=-1, 'titanium_s10_no_ap'!H15=-1), "", 'titanium_s10_ap'!F15/'titanium_s10_no_ap'!F15)</f>
        <v/>
      </c>
      <c r="E95">
        <f>IF(OR('titanium_s10_ap'!H15=-1, 'titanium_s10_no_ap'!H15=-1), "", 'titanium_s10_ap'!G15/'titanium_s10_no_ap'!G15)</f>
        <v/>
      </c>
      <c r="F95">
        <f>IF(OR('titanium_s10_ap'!H15=-1, 'titanium_s10_no_ap'!H15=-1), "", 'titanium_s10_ap'!H15/'titanium_s10_no_ap'!H15)</f>
        <v/>
      </c>
      <c r="G95">
        <f>IF(OR('titanium_s10_ap'!H15=-1, 'titanium_s10_no_ap'!H15=-1), "", 'titanium_s10_ap'!J15/'titanium_s10_no_ap'!J15)</f>
        <v/>
      </c>
      <c r="H95">
        <f>IF(OR('titanium_s10_ap'!H15=-1, 'titanium_s10_no_ap'!H15=-1), "", 'titanium_s10_ap'!K15/'titanium_s10_no_ap'!K15)</f>
        <v/>
      </c>
      <c r="I95">
        <f>IF(OR('titanium_s10_ap'!H15=-1, 'titanium_s10_no_ap'!H15=-1), "", 'titanium_s10_ap'!L15/'titanium_s10_no_ap'!L15)</f>
        <v/>
      </c>
      <c r="J95">
        <f>IF(OR('titanium_s10_ap'!H15=-1, 'titanium_s10_no_ap'!H15=-1), "", 'titanium_s10_ap'!AC15/'titanium_s10_no_ap'!AC15)</f>
        <v/>
      </c>
      <c r="K95">
        <f>IF(OR('titanium_s10_ap'!H15=-1, 'titanium_s10_no_ap'!H15=-1), "", 'titanium_s10_ap'!AD15/'titanium_s10_no_ap'!AD15)</f>
        <v/>
      </c>
    </row>
    <row r="96">
      <c r="A96" t="inlineStr">
        <is>
          <t>titanium_s10</t>
        </is>
      </c>
      <c r="B96" t="inlineStr">
        <is>
          <t>stratix10_arch.timing.xml</t>
        </is>
      </c>
      <c r="C96" t="inlineStr">
        <is>
          <t>matrix_mult_stratix10_arch_timing.blif</t>
        </is>
      </c>
      <c r="D96">
        <f>IF(OR('titanium_s10_ap'!H16=-1, 'titanium_s10_no_ap'!H16=-1), "", 'titanium_s10_ap'!F16/'titanium_s10_no_ap'!F16)</f>
        <v/>
      </c>
      <c r="E96">
        <f>IF(OR('titanium_s10_ap'!H16=-1, 'titanium_s10_no_ap'!H16=-1), "", 'titanium_s10_ap'!G16/'titanium_s10_no_ap'!G16)</f>
        <v/>
      </c>
      <c r="F96">
        <f>IF(OR('titanium_s10_ap'!H16=-1, 'titanium_s10_no_ap'!H16=-1), "", 'titanium_s10_ap'!H16/'titanium_s10_no_ap'!H16)</f>
        <v/>
      </c>
      <c r="G96">
        <f>IF(OR('titanium_s10_ap'!H16=-1, 'titanium_s10_no_ap'!H16=-1), "", 'titanium_s10_ap'!J16/'titanium_s10_no_ap'!J16)</f>
        <v/>
      </c>
      <c r="H96">
        <f>IF(OR('titanium_s10_ap'!H16=-1, 'titanium_s10_no_ap'!H16=-1), "", 'titanium_s10_ap'!K16/'titanium_s10_no_ap'!K16)</f>
        <v/>
      </c>
      <c r="I96">
        <f>IF(OR('titanium_s10_ap'!H16=-1, 'titanium_s10_no_ap'!H16=-1), "", 'titanium_s10_ap'!L16/'titanium_s10_no_ap'!L16)</f>
        <v/>
      </c>
      <c r="J96">
        <f>IF(OR('titanium_s10_ap'!H16=-1, 'titanium_s10_no_ap'!H16=-1), "", 'titanium_s10_ap'!AC16/'titanium_s10_no_ap'!AC16)</f>
        <v/>
      </c>
      <c r="K96">
        <f>IF(OR('titanium_s10_ap'!H16=-1, 'titanium_s10_no_ap'!H16=-1), "", 'titanium_s10_ap'!AD16/'titanium_s10_no_ap'!AD16)</f>
        <v/>
      </c>
    </row>
    <row r="97">
      <c r="A97" t="inlineStr">
        <is>
          <t>titanium_s10</t>
        </is>
      </c>
      <c r="B97" t="inlineStr">
        <is>
          <t>stratix10_arch.timing.xml</t>
        </is>
      </c>
      <c r="C97" t="inlineStr">
        <is>
          <t>fft1d_stratix10_arch_timing.blif</t>
        </is>
      </c>
      <c r="D97">
        <f>IF(OR('titanium_s10_ap'!H17=-1, 'titanium_s10_no_ap'!H17=-1), "", 'titanium_s10_ap'!F17/'titanium_s10_no_ap'!F17)</f>
        <v/>
      </c>
      <c r="E97">
        <f>IF(OR('titanium_s10_ap'!H17=-1, 'titanium_s10_no_ap'!H17=-1), "", 'titanium_s10_ap'!G17/'titanium_s10_no_ap'!G17)</f>
        <v/>
      </c>
      <c r="F97">
        <f>IF(OR('titanium_s10_ap'!H17=-1, 'titanium_s10_no_ap'!H17=-1), "", 'titanium_s10_ap'!H17/'titanium_s10_no_ap'!H17)</f>
        <v/>
      </c>
      <c r="G97">
        <f>IF(OR('titanium_s10_ap'!H17=-1, 'titanium_s10_no_ap'!H17=-1), "", 'titanium_s10_ap'!J17/'titanium_s10_no_ap'!J17)</f>
        <v/>
      </c>
      <c r="H97">
        <f>IF(OR('titanium_s10_ap'!H17=-1, 'titanium_s10_no_ap'!H17=-1), "", 'titanium_s10_ap'!K17/'titanium_s10_no_ap'!K17)</f>
        <v/>
      </c>
      <c r="I97">
        <f>IF(OR('titanium_s10_ap'!H17=-1, 'titanium_s10_no_ap'!H17=-1), "", 'titanium_s10_ap'!L17/'titanium_s10_no_ap'!L17)</f>
        <v/>
      </c>
      <c r="J97">
        <f>IF(OR('titanium_s10_ap'!H17=-1, 'titanium_s10_no_ap'!H17=-1), "", 'titanium_s10_ap'!AC17/'titanium_s10_no_ap'!AC17)</f>
        <v/>
      </c>
      <c r="K97">
        <f>IF(OR('titanium_s10_ap'!H17=-1, 'titanium_s10_no_ap'!H17=-1), "", 'titanium_s10_ap'!AD17/'titanium_s10_no_ap'!AD17)</f>
        <v/>
      </c>
    </row>
    <row r="98">
      <c r="A98" t="inlineStr">
        <is>
          <t>titanium_s10</t>
        </is>
      </c>
      <c r="B98" t="inlineStr">
        <is>
          <t>stratix10_arch.timing.xml</t>
        </is>
      </c>
      <c r="C98" t="inlineStr">
        <is>
          <t>fft2d_stratix10_arch_timing.blif</t>
        </is>
      </c>
      <c r="D98">
        <f>IF(OR('titanium_s10_ap'!H18=-1, 'titanium_s10_no_ap'!H18=-1), "", 'titanium_s10_ap'!F18/'titanium_s10_no_ap'!F18)</f>
        <v/>
      </c>
      <c r="E98">
        <f>IF(OR('titanium_s10_ap'!H18=-1, 'titanium_s10_no_ap'!H18=-1), "", 'titanium_s10_ap'!G18/'titanium_s10_no_ap'!G18)</f>
        <v/>
      </c>
      <c r="F98">
        <f>IF(OR('titanium_s10_ap'!H18=-1, 'titanium_s10_no_ap'!H18=-1), "", 'titanium_s10_ap'!H18/'titanium_s10_no_ap'!H18)</f>
        <v/>
      </c>
      <c r="G98">
        <f>IF(OR('titanium_s10_ap'!H18=-1, 'titanium_s10_no_ap'!H18=-1), "", 'titanium_s10_ap'!J18/'titanium_s10_no_ap'!J18)</f>
        <v/>
      </c>
      <c r="H98">
        <f>IF(OR('titanium_s10_ap'!H18=-1, 'titanium_s10_no_ap'!H18=-1), "", 'titanium_s10_ap'!K18/'titanium_s10_no_ap'!K18)</f>
        <v/>
      </c>
      <c r="I98">
        <f>IF(OR('titanium_s10_ap'!H18=-1, 'titanium_s10_no_ap'!H18=-1), "", 'titanium_s10_ap'!L18/'titanium_s10_no_ap'!L18)</f>
        <v/>
      </c>
      <c r="J98">
        <f>IF(OR('titanium_s10_ap'!H18=-1, 'titanium_s10_no_ap'!H18=-1), "", 'titanium_s10_ap'!AC18/'titanium_s10_no_ap'!AC18)</f>
        <v/>
      </c>
      <c r="K98">
        <f>IF(OR('titanium_s10_ap'!H18=-1, 'titanium_s10_no_ap'!H18=-1), "", 'titanium_s10_ap'!AD18/'titanium_s10_no_ap'!AD18)</f>
        <v/>
      </c>
    </row>
    <row r="99">
      <c r="A99" t="inlineStr">
        <is>
          <t>titanium_s10</t>
        </is>
      </c>
      <c r="B99" t="inlineStr">
        <is>
          <t>stratix10_arch.timing.xml</t>
        </is>
      </c>
      <c r="C99" t="inlineStr">
        <is>
          <t>DLA_ELT_stratix10_arch_timing.blif</t>
        </is>
      </c>
      <c r="D99">
        <f>IF(OR('titanium_s10_ap'!H19=-1, 'titanium_s10_no_ap'!H19=-1), "", 'titanium_s10_ap'!F19/'titanium_s10_no_ap'!F19)</f>
        <v/>
      </c>
      <c r="E99">
        <f>IF(OR('titanium_s10_ap'!H19=-1, 'titanium_s10_no_ap'!H19=-1), "", 'titanium_s10_ap'!G19/'titanium_s10_no_ap'!G19)</f>
        <v/>
      </c>
      <c r="F99">
        <f>IF(OR('titanium_s10_ap'!H19=-1, 'titanium_s10_no_ap'!H19=-1), "", 'titanium_s10_ap'!H19/'titanium_s10_no_ap'!H19)</f>
        <v/>
      </c>
      <c r="G99">
        <f>IF(OR('titanium_s10_ap'!H19=-1, 'titanium_s10_no_ap'!H19=-1), "", 'titanium_s10_ap'!J19/'titanium_s10_no_ap'!J19)</f>
        <v/>
      </c>
      <c r="H99">
        <f>IF(OR('titanium_s10_ap'!H19=-1, 'titanium_s10_no_ap'!H19=-1), "", 'titanium_s10_ap'!K19/'titanium_s10_no_ap'!K19)</f>
        <v/>
      </c>
      <c r="I99">
        <f>IF(OR('titanium_s10_ap'!H19=-1, 'titanium_s10_no_ap'!H19=-1), "", 'titanium_s10_ap'!L19/'titanium_s10_no_ap'!L19)</f>
        <v/>
      </c>
      <c r="J99">
        <f>IF(OR('titanium_s10_ap'!H19=-1, 'titanium_s10_no_ap'!H19=-1), "", 'titanium_s10_ap'!AC19/'titanium_s10_no_ap'!AC19)</f>
        <v/>
      </c>
      <c r="K99">
        <f>IF(OR('titanium_s10_ap'!H19=-1, 'titanium_s10_no_ap'!H19=-1), "", 'titanium_s10_ap'!AD19/'titanium_s10_no_ap'!AD19)</f>
        <v/>
      </c>
    </row>
    <row r="100">
      <c r="A100" t="inlineStr">
        <is>
          <t>titanium_s10</t>
        </is>
      </c>
      <c r="B100" t="inlineStr">
        <is>
          <t>stratix10_arch.timing.xml</t>
        </is>
      </c>
      <c r="C100" t="inlineStr">
        <is>
          <t>DLA_BSC_stratix10_arch_timing.blif</t>
        </is>
      </c>
      <c r="D100">
        <f>IF(OR('titanium_s10_ap'!H20=-1, 'titanium_s10_no_ap'!H20=-1), "", 'titanium_s10_ap'!F20/'titanium_s10_no_ap'!F20)</f>
        <v/>
      </c>
      <c r="E100">
        <f>IF(OR('titanium_s10_ap'!H20=-1, 'titanium_s10_no_ap'!H20=-1), "", 'titanium_s10_ap'!G20/'titanium_s10_no_ap'!G20)</f>
        <v/>
      </c>
      <c r="F100">
        <f>IF(OR('titanium_s10_ap'!H20=-1, 'titanium_s10_no_ap'!H20=-1), "", 'titanium_s10_ap'!H20/'titanium_s10_no_ap'!H20)</f>
        <v/>
      </c>
      <c r="G100">
        <f>IF(OR('titanium_s10_ap'!H20=-1, 'titanium_s10_no_ap'!H20=-1), "", 'titanium_s10_ap'!J20/'titanium_s10_no_ap'!J20)</f>
        <v/>
      </c>
      <c r="H100">
        <f>IF(OR('titanium_s10_ap'!H20=-1, 'titanium_s10_no_ap'!H20=-1), "", 'titanium_s10_ap'!K20/'titanium_s10_no_ap'!K20)</f>
        <v/>
      </c>
      <c r="I100">
        <f>IF(OR('titanium_s10_ap'!H20=-1, 'titanium_s10_no_ap'!H20=-1), "", 'titanium_s10_ap'!L20/'titanium_s10_no_ap'!L20)</f>
        <v/>
      </c>
      <c r="J100">
        <f>IF(OR('titanium_s10_ap'!H20=-1, 'titanium_s10_no_ap'!H20=-1), "", 'titanium_s10_ap'!AC20/'titanium_s10_no_ap'!AC20)</f>
        <v/>
      </c>
      <c r="K100">
        <f>IF(OR('titanium_s10_ap'!H20=-1, 'titanium_s10_no_ap'!H20=-1), "", 'titanium_s10_ap'!AD20/'titanium_s10_no_ap'!AD20)</f>
        <v/>
      </c>
    </row>
    <row r="101">
      <c r="A101" t="inlineStr">
        <is>
          <t>titanium_s10</t>
        </is>
      </c>
      <c r="B101" t="inlineStr">
        <is>
          <t>stratix10_arch.timing.xml</t>
        </is>
      </c>
      <c r="C101" t="inlineStr">
        <is>
          <t>jpeg_deco_stratix10_arch_timing.blif</t>
        </is>
      </c>
      <c r="D101">
        <f>IF(OR('titanium_s10_ap'!H21=-1, 'titanium_s10_no_ap'!H21=-1), "", 'titanium_s10_ap'!F21/'titanium_s10_no_ap'!F21)</f>
        <v/>
      </c>
      <c r="E101">
        <f>IF(OR('titanium_s10_ap'!H21=-1, 'titanium_s10_no_ap'!H21=-1), "", 'titanium_s10_ap'!G21/'titanium_s10_no_ap'!G21)</f>
        <v/>
      </c>
      <c r="F101">
        <f>IF(OR('titanium_s10_ap'!H21=-1, 'titanium_s10_no_ap'!H21=-1), "", 'titanium_s10_ap'!H21/'titanium_s10_no_ap'!H21)</f>
        <v/>
      </c>
      <c r="G101">
        <f>IF(OR('titanium_s10_ap'!H21=-1, 'titanium_s10_no_ap'!H21=-1), "", 'titanium_s10_ap'!J21/'titanium_s10_no_ap'!J21)</f>
        <v/>
      </c>
      <c r="H101">
        <f>IF(OR('titanium_s10_ap'!H21=-1, 'titanium_s10_no_ap'!H21=-1), "", 'titanium_s10_ap'!K21/'titanium_s10_no_ap'!K21)</f>
        <v/>
      </c>
      <c r="I101">
        <f>IF(OR('titanium_s10_ap'!H21=-1, 'titanium_s10_no_ap'!H21=-1), "", 'titanium_s10_ap'!L21/'titanium_s10_no_ap'!L21)</f>
        <v/>
      </c>
      <c r="J101">
        <f>IF(OR('titanium_s10_ap'!H21=-1, 'titanium_s10_no_ap'!H21=-1), "", 'titanium_s10_ap'!AC21/'titanium_s10_no_ap'!AC21)</f>
        <v/>
      </c>
      <c r="K101">
        <f>IF(OR('titanium_s10_ap'!H21=-1, 'titanium_s10_no_ap'!H21=-1), "", 'titanium_s10_ap'!AD21/'titanium_s10_no_ap'!AD21)</f>
        <v/>
      </c>
    </row>
    <row r="102">
      <c r="A102" t="inlineStr">
        <is>
          <t>titanium_s10</t>
        </is>
      </c>
      <c r="B102" t="inlineStr">
        <is>
          <t>stratix10_arch.timing.xml</t>
        </is>
      </c>
      <c r="C102" t="inlineStr">
        <is>
          <t>nyuzi_stratix10_arch_timing.blif</t>
        </is>
      </c>
      <c r="D102">
        <f>IF(OR('titanium_s10_ap'!H22=-1, 'titanium_s10_no_ap'!H22=-1), "", 'titanium_s10_ap'!F22/'titanium_s10_no_ap'!F22)</f>
        <v/>
      </c>
      <c r="E102">
        <f>IF(OR('titanium_s10_ap'!H22=-1, 'titanium_s10_no_ap'!H22=-1), "", 'titanium_s10_ap'!G22/'titanium_s10_no_ap'!G22)</f>
        <v/>
      </c>
      <c r="F102">
        <f>IF(OR('titanium_s10_ap'!H22=-1, 'titanium_s10_no_ap'!H22=-1), "", 'titanium_s10_ap'!H22/'titanium_s10_no_ap'!H22)</f>
        <v/>
      </c>
      <c r="G102">
        <f>IF(OR('titanium_s10_ap'!H22=-1, 'titanium_s10_no_ap'!H22=-1), "", 'titanium_s10_ap'!J22/'titanium_s10_no_ap'!J22)</f>
        <v/>
      </c>
      <c r="H102">
        <f>IF(OR('titanium_s10_ap'!H22=-1, 'titanium_s10_no_ap'!H22=-1), "", 'titanium_s10_ap'!K22/'titanium_s10_no_ap'!K22)</f>
        <v/>
      </c>
      <c r="I102">
        <f>IF(OR('titanium_s10_ap'!H22=-1, 'titanium_s10_no_ap'!H22=-1), "", 'titanium_s10_ap'!L22/'titanium_s10_no_ap'!L22)</f>
        <v/>
      </c>
      <c r="J102">
        <f>IF(OR('titanium_s10_ap'!H22=-1, 'titanium_s10_no_ap'!H22=-1), "", 'titanium_s10_ap'!AC22/'titanium_s10_no_ap'!AC22)</f>
        <v/>
      </c>
      <c r="K102">
        <f>IF(OR('titanium_s10_ap'!H22=-1, 'titanium_s10_no_ap'!H22=-1), "", 'titanium_s10_ap'!AD22/'titanium_s10_no_ap'!AD22)</f>
        <v/>
      </c>
    </row>
    <row r="103">
      <c r="A103" t="inlineStr">
        <is>
          <t>titanium_s10</t>
        </is>
      </c>
      <c r="B103" t="inlineStr">
        <is>
          <t>stratix10_arch.timing.xml</t>
        </is>
      </c>
      <c r="C103" t="inlineStr">
        <is>
          <t>sobel_stratix10_arch_timing.blif</t>
        </is>
      </c>
      <c r="D103">
        <f>IF(OR('titanium_s10_ap'!H23=-1, 'titanium_s10_no_ap'!H23=-1), "", 'titanium_s10_ap'!F23/'titanium_s10_no_ap'!F23)</f>
        <v/>
      </c>
      <c r="E103">
        <f>IF(OR('titanium_s10_ap'!H23=-1, 'titanium_s10_no_ap'!H23=-1), "", 'titanium_s10_ap'!G23/'titanium_s10_no_ap'!G23)</f>
        <v/>
      </c>
      <c r="F103">
        <f>IF(OR('titanium_s10_ap'!H23=-1, 'titanium_s10_no_ap'!H23=-1), "", 'titanium_s10_ap'!H23/'titanium_s10_no_ap'!H23)</f>
        <v/>
      </c>
      <c r="G103">
        <f>IF(OR('titanium_s10_ap'!H23=-1, 'titanium_s10_no_ap'!H23=-1), "", 'titanium_s10_ap'!J23/'titanium_s10_no_ap'!J23)</f>
        <v/>
      </c>
      <c r="H103">
        <f>IF(OR('titanium_s10_ap'!H23=-1, 'titanium_s10_no_ap'!H23=-1), "", 'titanium_s10_ap'!K23/'titanium_s10_no_ap'!K23)</f>
        <v/>
      </c>
      <c r="I103">
        <f>IF(OR('titanium_s10_ap'!H23=-1, 'titanium_s10_no_ap'!H23=-1), "", 'titanium_s10_ap'!L23/'titanium_s10_no_ap'!L23)</f>
        <v/>
      </c>
      <c r="J103">
        <f>IF(OR('titanium_s10_ap'!H23=-1, 'titanium_s10_no_ap'!H23=-1), "", 'titanium_s10_ap'!AC23/'titanium_s10_no_ap'!AC23)</f>
        <v/>
      </c>
      <c r="K103">
        <f>IF(OR('titanium_s10_ap'!H23=-1, 'titanium_s10_no_ap'!H23=-1), "", 'titanium_s10_ap'!AD23/'titanium_s10_no_ap'!AD23)</f>
        <v/>
      </c>
    </row>
    <row r="104">
      <c r="A104" t="inlineStr">
        <is>
          <t>titanium_s10</t>
        </is>
      </c>
      <c r="B104" t="inlineStr">
        <is>
          <t>stratix10_arch.timing.xml</t>
        </is>
      </c>
      <c r="C104" t="inlineStr">
        <is>
          <t>mem_tester_max_stratix10_arch_timing.blif</t>
        </is>
      </c>
      <c r="D104">
        <f>IF(OR('titanium_s10_ap'!H24=-1, 'titanium_s10_no_ap'!H24=-1), "", 'titanium_s10_ap'!F24/'titanium_s10_no_ap'!F24)</f>
        <v/>
      </c>
      <c r="E104">
        <f>IF(OR('titanium_s10_ap'!H24=-1, 'titanium_s10_no_ap'!H24=-1), "", 'titanium_s10_ap'!G24/'titanium_s10_no_ap'!G24)</f>
        <v/>
      </c>
      <c r="F104">
        <f>IF(OR('titanium_s10_ap'!H24=-1, 'titanium_s10_no_ap'!H24=-1), "", 'titanium_s10_ap'!H24/'titanium_s10_no_ap'!H24)</f>
        <v/>
      </c>
      <c r="G104">
        <f>IF(OR('titanium_s10_ap'!H24=-1, 'titanium_s10_no_ap'!H24=-1), "", 'titanium_s10_ap'!J24/'titanium_s10_no_ap'!J24)</f>
        <v/>
      </c>
      <c r="H104">
        <f>IF(OR('titanium_s10_ap'!H24=-1, 'titanium_s10_no_ap'!H24=-1), "", 'titanium_s10_ap'!K24/'titanium_s10_no_ap'!K24)</f>
        <v/>
      </c>
      <c r="I104">
        <f>IF(OR('titanium_s10_ap'!H24=-1, 'titanium_s10_no_ap'!H24=-1), "", 'titanium_s10_ap'!L24/'titanium_s10_no_ap'!L24)</f>
        <v/>
      </c>
      <c r="J104">
        <f>IF(OR('titanium_s10_ap'!H24=-1, 'titanium_s10_no_ap'!H24=-1), "", 'titanium_s10_ap'!AC24/'titanium_s10_no_ap'!AC24)</f>
        <v/>
      </c>
      <c r="K104">
        <f>IF(OR('titanium_s10_ap'!H24=-1, 'titanium_s10_no_ap'!H24=-1), "", 'titanium_s10_ap'!AD24/'titanium_s10_no_ap'!AD24)</f>
        <v/>
      </c>
    </row>
    <row r="105">
      <c r="A105" t="inlineStr">
        <is>
          <t>titanium_s10</t>
        </is>
      </c>
      <c r="B105" t="inlineStr">
        <is>
          <t>stratix10_arch.timing.xml</t>
        </is>
      </c>
      <c r="C105" t="inlineStr">
        <is>
          <t>rocket31_stratix10_arch_timing.blif</t>
        </is>
      </c>
      <c r="D105">
        <f>IF(OR('titanium_s10_ap'!H25=-1, 'titanium_s10_no_ap'!H25=-1), "", 'titanium_s10_ap'!F25/'titanium_s10_no_ap'!F25)</f>
        <v/>
      </c>
      <c r="E105">
        <f>IF(OR('titanium_s10_ap'!H25=-1, 'titanium_s10_no_ap'!H25=-1), "", 'titanium_s10_ap'!G25/'titanium_s10_no_ap'!G25)</f>
        <v/>
      </c>
      <c r="F105">
        <f>IF(OR('titanium_s10_ap'!H25=-1, 'titanium_s10_no_ap'!H25=-1), "", 'titanium_s10_ap'!H25/'titanium_s10_no_ap'!H25)</f>
        <v/>
      </c>
      <c r="G105">
        <f>IF(OR('titanium_s10_ap'!H25=-1, 'titanium_s10_no_ap'!H25=-1), "", 'titanium_s10_ap'!J25/'titanium_s10_no_ap'!J25)</f>
        <v/>
      </c>
      <c r="H105">
        <f>IF(OR('titanium_s10_ap'!H25=-1, 'titanium_s10_no_ap'!H25=-1), "", 'titanium_s10_ap'!K25/'titanium_s10_no_ap'!K25)</f>
        <v/>
      </c>
      <c r="I105">
        <f>IF(OR('titanium_s10_ap'!H25=-1, 'titanium_s10_no_ap'!H25=-1), "", 'titanium_s10_ap'!L25/'titanium_s10_no_ap'!L25)</f>
        <v/>
      </c>
      <c r="J105">
        <f>IF(OR('titanium_s10_ap'!H25=-1, 'titanium_s10_no_ap'!H25=-1), "", 'titanium_s10_ap'!AC25/'titanium_s10_no_ap'!AC25)</f>
        <v/>
      </c>
      <c r="K105">
        <f>IF(OR('titanium_s10_ap'!H25=-1, 'titanium_s10_no_ap'!H25=-1), "", 'titanium_s10_ap'!AD25/'titanium_s10_no_ap'!AD25)</f>
        <v/>
      </c>
    </row>
    <row r="106">
      <c r="A106" t="inlineStr">
        <is>
          <t>titanium_s10</t>
        </is>
      </c>
      <c r="B106" t="inlineStr">
        <is>
          <t>stratix10_arch.timing.xml</t>
        </is>
      </c>
      <c r="C106" t="inlineStr">
        <is>
          <t>neko_stratix10_arch_timing.blif</t>
        </is>
      </c>
      <c r="D106">
        <f>IF(OR('titanium_s10_ap'!H26=-1, 'titanium_s10_no_ap'!H26=-1), "", 'titanium_s10_ap'!F26/'titanium_s10_no_ap'!F26)</f>
        <v/>
      </c>
      <c r="E106">
        <f>IF(OR('titanium_s10_ap'!H26=-1, 'titanium_s10_no_ap'!H26=-1), "", 'titanium_s10_ap'!G26/'titanium_s10_no_ap'!G26)</f>
        <v/>
      </c>
      <c r="F106">
        <f>IF(OR('titanium_s10_ap'!H26=-1, 'titanium_s10_no_ap'!H26=-1), "", 'titanium_s10_ap'!H26/'titanium_s10_no_ap'!H26)</f>
        <v/>
      </c>
      <c r="G106">
        <f>IF(OR('titanium_s10_ap'!H26=-1, 'titanium_s10_no_ap'!H26=-1), "", 'titanium_s10_ap'!J26/'titanium_s10_no_ap'!J26)</f>
        <v/>
      </c>
      <c r="H106">
        <f>IF(OR('titanium_s10_ap'!H26=-1, 'titanium_s10_no_ap'!H26=-1), "", 'titanium_s10_ap'!K26/'titanium_s10_no_ap'!K26)</f>
        <v/>
      </c>
      <c r="I106">
        <f>IF(OR('titanium_s10_ap'!H26=-1, 'titanium_s10_no_ap'!H26=-1), "", 'titanium_s10_ap'!L26/'titanium_s10_no_ap'!L26)</f>
        <v/>
      </c>
      <c r="J106">
        <f>IF(OR('titanium_s10_ap'!H26=-1, 'titanium_s10_no_ap'!H26=-1), "", 'titanium_s10_ap'!AC26/'titanium_s10_no_ap'!AC26)</f>
        <v/>
      </c>
      <c r="K106">
        <f>IF(OR('titanium_s10_ap'!H26=-1, 'titanium_s10_no_ap'!H26=-1), "", 'titanium_s10_ap'!AD26/'titanium_s10_no_ap'!AD26)</f>
        <v/>
      </c>
    </row>
    <row r="107">
      <c r="A107" t="inlineStr">
        <is>
          <t>titanium_s10</t>
        </is>
      </c>
      <c r="B107" t="inlineStr"/>
      <c r="C107" t="inlineStr">
        <is>
          <t>GEOMEAN</t>
        </is>
      </c>
      <c r="D107">
        <f>GEOMEAN(D82:D106)</f>
        <v/>
      </c>
      <c r="E107">
        <f>GEOMEAN(E82:E106)</f>
        <v/>
      </c>
      <c r="F107">
        <f>GEOMEAN(F82:F106)</f>
        <v/>
      </c>
      <c r="G107">
        <f>GEOMEAN(G82:G106)</f>
        <v/>
      </c>
      <c r="H107">
        <f>GEOMEAN(H82:H106)</f>
        <v/>
      </c>
      <c r="I107">
        <f>GEOMEAN(I82:I106)</f>
        <v/>
      </c>
      <c r="J107">
        <f>GEOMEAN(J82:J106)</f>
        <v/>
      </c>
      <c r="K107">
        <f>GEOMEAN(K82:K106)</f>
        <v/>
      </c>
    </row>
    <row r="108">
      <c r="A108" t="inlineStr">
        <is>
          <t>titanium_s10</t>
        </is>
      </c>
      <c r="B108" t="inlineStr"/>
      <c r="C108" t="inlineStr">
        <is>
          <t>UNROUTES</t>
        </is>
      </c>
      <c r="D108">
        <f>25 - COUNT(F82:F106)</f>
        <v/>
      </c>
    </row>
    <row r="109">
      <c r="A109" t="inlineStr"/>
    </row>
    <row r="110">
      <c r="A110" t="inlineStr">
        <is>
          <t>z1000</t>
        </is>
      </c>
      <c r="B110" t="inlineStr">
        <is>
          <t>z1000.xml</t>
        </is>
      </c>
      <c r="C110" t="inlineStr">
        <is>
          <t>alu4.blif</t>
        </is>
      </c>
      <c r="D110">
        <f>IF(OR('z1000_ap'!H2=-1, 'z1000_no_ap'!H2=-1), "", 'z1000_ap'!F2/'z1000_no_ap'!F2)</f>
        <v/>
      </c>
      <c r="E110">
        <f>IF(OR('z1000_ap'!H2=-1, 'z1000_no_ap'!H2=-1), "", 'z1000_ap'!G2/'z1000_no_ap'!G2)</f>
        <v/>
      </c>
      <c r="F110">
        <f>IF(OR('z1000_ap'!H2=-1, 'z1000_no_ap'!H2=-1), "", 'z1000_ap'!H2/'z1000_no_ap'!H2)</f>
        <v/>
      </c>
      <c r="G110">
        <f>IF(OR('z1000_ap'!H2=-1, 'z1000_no_ap'!H2=-1), "", 'z1000_ap'!J2/'z1000_no_ap'!J2)</f>
        <v/>
      </c>
      <c r="H110">
        <f>IF(OR('z1000_ap'!H2=-1, 'z1000_no_ap'!H2=-1), "", 'z1000_ap'!K2/'z1000_no_ap'!K2)</f>
        <v/>
      </c>
      <c r="I110">
        <f>IF(OR('z1000_ap'!H2=-1, 'z1000_no_ap'!H2=-1), "", 'z1000_ap'!L2/'z1000_no_ap'!L2)</f>
        <v/>
      </c>
      <c r="J110">
        <f>IF(OR('z1000_ap'!H2=-1, 'z1000_no_ap'!H2=-1), "", 'z1000_ap'!AC2/'z1000_no_ap'!AC2)</f>
        <v/>
      </c>
      <c r="K110">
        <f>IF(OR('z1000_ap'!H2=-1, 'z1000_no_ap'!H2=-1), "", 'z1000_ap'!AD2/'z1000_no_ap'!AD2)</f>
        <v/>
      </c>
    </row>
    <row r="111">
      <c r="A111" t="inlineStr">
        <is>
          <t>z1000</t>
        </is>
      </c>
      <c r="B111" t="inlineStr">
        <is>
          <t>z1000.xml</t>
        </is>
      </c>
      <c r="C111" t="inlineStr">
        <is>
          <t>apex4.blif</t>
        </is>
      </c>
      <c r="D111">
        <f>IF(OR('z1000_ap'!H3=-1, 'z1000_no_ap'!H3=-1), "", 'z1000_ap'!F3/'z1000_no_ap'!F3)</f>
        <v/>
      </c>
      <c r="E111">
        <f>IF(OR('z1000_ap'!H3=-1, 'z1000_no_ap'!H3=-1), "", 'z1000_ap'!G3/'z1000_no_ap'!G3)</f>
        <v/>
      </c>
      <c r="F111">
        <f>IF(OR('z1000_ap'!H3=-1, 'z1000_no_ap'!H3=-1), "", 'z1000_ap'!H3/'z1000_no_ap'!H3)</f>
        <v/>
      </c>
      <c r="G111">
        <f>IF(OR('z1000_ap'!H3=-1, 'z1000_no_ap'!H3=-1), "", 'z1000_ap'!J3/'z1000_no_ap'!J3)</f>
        <v/>
      </c>
      <c r="H111">
        <f>IF(OR('z1000_ap'!H3=-1, 'z1000_no_ap'!H3=-1), "", 'z1000_ap'!K3/'z1000_no_ap'!K3)</f>
        <v/>
      </c>
      <c r="I111">
        <f>IF(OR('z1000_ap'!H3=-1, 'z1000_no_ap'!H3=-1), "", 'z1000_ap'!L3/'z1000_no_ap'!L3)</f>
        <v/>
      </c>
      <c r="J111">
        <f>IF(OR('z1000_ap'!H3=-1, 'z1000_no_ap'!H3=-1), "", 'z1000_ap'!AC3/'z1000_no_ap'!AC3)</f>
        <v/>
      </c>
      <c r="K111">
        <f>IF(OR('z1000_ap'!H3=-1, 'z1000_no_ap'!H3=-1), "", 'z1000_ap'!AD3/'z1000_no_ap'!AD3)</f>
        <v/>
      </c>
    </row>
    <row r="112">
      <c r="A112" t="inlineStr">
        <is>
          <t>z1000</t>
        </is>
      </c>
      <c r="B112" t="inlineStr">
        <is>
          <t>z1000.xml</t>
        </is>
      </c>
      <c r="C112" t="inlineStr">
        <is>
          <t>bigkey.blif</t>
        </is>
      </c>
      <c r="D112">
        <f>IF(OR('z1000_ap'!H4=-1, 'z1000_no_ap'!H4=-1), "", 'z1000_ap'!F4/'z1000_no_ap'!F4)</f>
        <v/>
      </c>
      <c r="E112">
        <f>IF(OR('z1000_ap'!H4=-1, 'z1000_no_ap'!H4=-1), "", 'z1000_ap'!G4/'z1000_no_ap'!G4)</f>
        <v/>
      </c>
      <c r="F112">
        <f>IF(OR('z1000_ap'!H4=-1, 'z1000_no_ap'!H4=-1), "", 'z1000_ap'!H4/'z1000_no_ap'!H4)</f>
        <v/>
      </c>
      <c r="G112">
        <f>IF(OR('z1000_ap'!H4=-1, 'z1000_no_ap'!H4=-1), "", 'z1000_ap'!J4/'z1000_no_ap'!J4)</f>
        <v/>
      </c>
      <c r="H112">
        <f>IF(OR('z1000_ap'!H4=-1, 'z1000_no_ap'!H4=-1), "", 'z1000_ap'!K4/'z1000_no_ap'!K4)</f>
        <v/>
      </c>
      <c r="I112">
        <f>IF(OR('z1000_ap'!H4=-1, 'z1000_no_ap'!H4=-1), "", 'z1000_ap'!L4/'z1000_no_ap'!L4)</f>
        <v/>
      </c>
      <c r="J112">
        <f>IF(OR('z1000_ap'!H4=-1, 'z1000_no_ap'!H4=-1), "", 'z1000_ap'!AC4/'z1000_no_ap'!AC4)</f>
        <v/>
      </c>
      <c r="K112">
        <f>IF(OR('z1000_ap'!H4=-1, 'z1000_no_ap'!H4=-1), "", 'z1000_ap'!AD4/'z1000_no_ap'!AD4)</f>
        <v/>
      </c>
    </row>
    <row r="113">
      <c r="A113" t="inlineStr">
        <is>
          <t>z1000</t>
        </is>
      </c>
      <c r="B113" t="inlineStr">
        <is>
          <t>z1000.xml</t>
        </is>
      </c>
      <c r="C113" t="inlineStr">
        <is>
          <t>des.blif</t>
        </is>
      </c>
      <c r="D113">
        <f>IF(OR('z1000_ap'!H5=-1, 'z1000_no_ap'!H5=-1), "", 'z1000_ap'!F5/'z1000_no_ap'!F5)</f>
        <v/>
      </c>
      <c r="E113">
        <f>IF(OR('z1000_ap'!H5=-1, 'z1000_no_ap'!H5=-1), "", 'z1000_ap'!G5/'z1000_no_ap'!G5)</f>
        <v/>
      </c>
      <c r="F113">
        <f>IF(OR('z1000_ap'!H5=-1, 'z1000_no_ap'!H5=-1), "", 'z1000_ap'!H5/'z1000_no_ap'!H5)</f>
        <v/>
      </c>
      <c r="G113">
        <f>IF(OR('z1000_ap'!H5=-1, 'z1000_no_ap'!H5=-1), "", 'z1000_ap'!J5/'z1000_no_ap'!J5)</f>
        <v/>
      </c>
      <c r="H113">
        <f>IF(OR('z1000_ap'!H5=-1, 'z1000_no_ap'!H5=-1), "", 'z1000_ap'!K5/'z1000_no_ap'!K5)</f>
        <v/>
      </c>
      <c r="I113">
        <f>IF(OR('z1000_ap'!H5=-1, 'z1000_no_ap'!H5=-1), "", 'z1000_ap'!L5/'z1000_no_ap'!L5)</f>
        <v/>
      </c>
      <c r="J113">
        <f>IF(OR('z1000_ap'!H5=-1, 'z1000_no_ap'!H5=-1), "", 'z1000_ap'!AC5/'z1000_no_ap'!AC5)</f>
        <v/>
      </c>
      <c r="K113">
        <f>IF(OR('z1000_ap'!H5=-1, 'z1000_no_ap'!H5=-1), "", 'z1000_ap'!AD5/'z1000_no_ap'!AD5)</f>
        <v/>
      </c>
    </row>
    <row r="114">
      <c r="A114" t="inlineStr">
        <is>
          <t>z1000</t>
        </is>
      </c>
      <c r="B114" t="inlineStr">
        <is>
          <t>z1000.xml</t>
        </is>
      </c>
      <c r="C114" t="inlineStr">
        <is>
          <t>diffeq.blif</t>
        </is>
      </c>
      <c r="D114">
        <f>IF(OR('z1000_ap'!H6=-1, 'z1000_no_ap'!H6=-1), "", 'z1000_ap'!F6/'z1000_no_ap'!F6)</f>
        <v/>
      </c>
      <c r="E114">
        <f>IF(OR('z1000_ap'!H6=-1, 'z1000_no_ap'!H6=-1), "", 'z1000_ap'!G6/'z1000_no_ap'!G6)</f>
        <v/>
      </c>
      <c r="F114">
        <f>IF(OR('z1000_ap'!H6=-1, 'z1000_no_ap'!H6=-1), "", 'z1000_ap'!H6/'z1000_no_ap'!H6)</f>
        <v/>
      </c>
      <c r="G114">
        <f>IF(OR('z1000_ap'!H6=-1, 'z1000_no_ap'!H6=-1), "", 'z1000_ap'!J6/'z1000_no_ap'!J6)</f>
        <v/>
      </c>
      <c r="H114">
        <f>IF(OR('z1000_ap'!H6=-1, 'z1000_no_ap'!H6=-1), "", 'z1000_ap'!K6/'z1000_no_ap'!K6)</f>
        <v/>
      </c>
      <c r="I114">
        <f>IF(OR('z1000_ap'!H6=-1, 'z1000_no_ap'!H6=-1), "", 'z1000_ap'!L6/'z1000_no_ap'!L6)</f>
        <v/>
      </c>
      <c r="J114">
        <f>IF(OR('z1000_ap'!H6=-1, 'z1000_no_ap'!H6=-1), "", 'z1000_ap'!AC6/'z1000_no_ap'!AC6)</f>
        <v/>
      </c>
      <c r="K114">
        <f>IF(OR('z1000_ap'!H6=-1, 'z1000_no_ap'!H6=-1), "", 'z1000_ap'!AD6/'z1000_no_ap'!AD6)</f>
        <v/>
      </c>
    </row>
    <row r="115">
      <c r="A115" t="inlineStr">
        <is>
          <t>z1000</t>
        </is>
      </c>
      <c r="B115" t="inlineStr">
        <is>
          <t>z1000.xml</t>
        </is>
      </c>
      <c r="C115" t="inlineStr">
        <is>
          <t>dsip.blif</t>
        </is>
      </c>
      <c r="D115">
        <f>IF(OR('z1000_ap'!H7=-1, 'z1000_no_ap'!H7=-1), "", 'z1000_ap'!F7/'z1000_no_ap'!F7)</f>
        <v/>
      </c>
      <c r="E115">
        <f>IF(OR('z1000_ap'!H7=-1, 'z1000_no_ap'!H7=-1), "", 'z1000_ap'!G7/'z1000_no_ap'!G7)</f>
        <v/>
      </c>
      <c r="F115">
        <f>IF(OR('z1000_ap'!H7=-1, 'z1000_no_ap'!H7=-1), "", 'z1000_ap'!H7/'z1000_no_ap'!H7)</f>
        <v/>
      </c>
      <c r="G115">
        <f>IF(OR('z1000_ap'!H7=-1, 'z1000_no_ap'!H7=-1), "", 'z1000_ap'!J7/'z1000_no_ap'!J7)</f>
        <v/>
      </c>
      <c r="H115">
        <f>IF(OR('z1000_ap'!H7=-1, 'z1000_no_ap'!H7=-1), "", 'z1000_ap'!K7/'z1000_no_ap'!K7)</f>
        <v/>
      </c>
      <c r="I115">
        <f>IF(OR('z1000_ap'!H7=-1, 'z1000_no_ap'!H7=-1), "", 'z1000_ap'!L7/'z1000_no_ap'!L7)</f>
        <v/>
      </c>
      <c r="J115">
        <f>IF(OR('z1000_ap'!H7=-1, 'z1000_no_ap'!H7=-1), "", 'z1000_ap'!AC7/'z1000_no_ap'!AC7)</f>
        <v/>
      </c>
      <c r="K115">
        <f>IF(OR('z1000_ap'!H7=-1, 'z1000_no_ap'!H7=-1), "", 'z1000_ap'!AD7/'z1000_no_ap'!AD7)</f>
        <v/>
      </c>
    </row>
    <row r="116">
      <c r="A116" t="inlineStr">
        <is>
          <t>z1000</t>
        </is>
      </c>
      <c r="B116" t="inlineStr">
        <is>
          <t>z1000.xml</t>
        </is>
      </c>
      <c r="C116" t="inlineStr">
        <is>
          <t>ex5p.blif</t>
        </is>
      </c>
      <c r="D116">
        <f>IF(OR('z1000_ap'!H8=-1, 'z1000_no_ap'!H8=-1), "", 'z1000_ap'!F8/'z1000_no_ap'!F8)</f>
        <v/>
      </c>
      <c r="E116">
        <f>IF(OR('z1000_ap'!H8=-1, 'z1000_no_ap'!H8=-1), "", 'z1000_ap'!G8/'z1000_no_ap'!G8)</f>
        <v/>
      </c>
      <c r="F116">
        <f>IF(OR('z1000_ap'!H8=-1, 'z1000_no_ap'!H8=-1), "", 'z1000_ap'!H8/'z1000_no_ap'!H8)</f>
        <v/>
      </c>
      <c r="G116">
        <f>IF(OR('z1000_ap'!H8=-1, 'z1000_no_ap'!H8=-1), "", 'z1000_ap'!J8/'z1000_no_ap'!J8)</f>
        <v/>
      </c>
      <c r="H116">
        <f>IF(OR('z1000_ap'!H8=-1, 'z1000_no_ap'!H8=-1), "", 'z1000_ap'!K8/'z1000_no_ap'!K8)</f>
        <v/>
      </c>
      <c r="I116">
        <f>IF(OR('z1000_ap'!H8=-1, 'z1000_no_ap'!H8=-1), "", 'z1000_ap'!L8/'z1000_no_ap'!L8)</f>
        <v/>
      </c>
      <c r="J116">
        <f>IF(OR('z1000_ap'!H8=-1, 'z1000_no_ap'!H8=-1), "", 'z1000_ap'!AC8/'z1000_no_ap'!AC8)</f>
        <v/>
      </c>
      <c r="K116">
        <f>IF(OR('z1000_ap'!H8=-1, 'z1000_no_ap'!H8=-1), "", 'z1000_ap'!AD8/'z1000_no_ap'!AD8)</f>
        <v/>
      </c>
    </row>
    <row r="117">
      <c r="A117" t="inlineStr">
        <is>
          <t>z1000</t>
        </is>
      </c>
      <c r="B117" t="inlineStr">
        <is>
          <t>z1000.xml</t>
        </is>
      </c>
      <c r="C117" t="inlineStr">
        <is>
          <t>misex3.blif</t>
        </is>
      </c>
      <c r="D117">
        <f>IF(OR('z1000_ap'!H9=-1, 'z1000_no_ap'!H9=-1), "", 'z1000_ap'!F9/'z1000_no_ap'!F9)</f>
        <v/>
      </c>
      <c r="E117">
        <f>IF(OR('z1000_ap'!H9=-1, 'z1000_no_ap'!H9=-1), "", 'z1000_ap'!G9/'z1000_no_ap'!G9)</f>
        <v/>
      </c>
      <c r="F117">
        <f>IF(OR('z1000_ap'!H9=-1, 'z1000_no_ap'!H9=-1), "", 'z1000_ap'!H9/'z1000_no_ap'!H9)</f>
        <v/>
      </c>
      <c r="G117">
        <f>IF(OR('z1000_ap'!H9=-1, 'z1000_no_ap'!H9=-1), "", 'z1000_ap'!J9/'z1000_no_ap'!J9)</f>
        <v/>
      </c>
      <c r="H117">
        <f>IF(OR('z1000_ap'!H9=-1, 'z1000_no_ap'!H9=-1), "", 'z1000_ap'!K9/'z1000_no_ap'!K9)</f>
        <v/>
      </c>
      <c r="I117">
        <f>IF(OR('z1000_ap'!H9=-1, 'z1000_no_ap'!H9=-1), "", 'z1000_ap'!L9/'z1000_no_ap'!L9)</f>
        <v/>
      </c>
      <c r="J117">
        <f>IF(OR('z1000_ap'!H9=-1, 'z1000_no_ap'!H9=-1), "", 'z1000_ap'!AC9/'z1000_no_ap'!AC9)</f>
        <v/>
      </c>
      <c r="K117">
        <f>IF(OR('z1000_ap'!H9=-1, 'z1000_no_ap'!H9=-1), "", 'z1000_ap'!AD9/'z1000_no_ap'!AD9)</f>
        <v/>
      </c>
    </row>
    <row r="118">
      <c r="A118" t="inlineStr">
        <is>
          <t>z1000</t>
        </is>
      </c>
      <c r="B118" t="inlineStr">
        <is>
          <t>z1000.xml</t>
        </is>
      </c>
      <c r="C118" t="inlineStr">
        <is>
          <t>seq.blif</t>
        </is>
      </c>
      <c r="D118">
        <f>IF(OR('z1000_ap'!H10=-1, 'z1000_no_ap'!H10=-1), "", 'z1000_ap'!F10/'z1000_no_ap'!F10)</f>
        <v/>
      </c>
      <c r="E118">
        <f>IF(OR('z1000_ap'!H10=-1, 'z1000_no_ap'!H10=-1), "", 'z1000_ap'!G10/'z1000_no_ap'!G10)</f>
        <v/>
      </c>
      <c r="F118">
        <f>IF(OR('z1000_ap'!H10=-1, 'z1000_no_ap'!H10=-1), "", 'z1000_ap'!H10/'z1000_no_ap'!H10)</f>
        <v/>
      </c>
      <c r="G118">
        <f>IF(OR('z1000_ap'!H10=-1, 'z1000_no_ap'!H10=-1), "", 'z1000_ap'!J10/'z1000_no_ap'!J10)</f>
        <v/>
      </c>
      <c r="H118">
        <f>IF(OR('z1000_ap'!H10=-1, 'z1000_no_ap'!H10=-1), "", 'z1000_ap'!K10/'z1000_no_ap'!K10)</f>
        <v/>
      </c>
      <c r="I118">
        <f>IF(OR('z1000_ap'!H10=-1, 'z1000_no_ap'!H10=-1), "", 'z1000_ap'!L10/'z1000_no_ap'!L10)</f>
        <v/>
      </c>
      <c r="J118">
        <f>IF(OR('z1000_ap'!H10=-1, 'z1000_no_ap'!H10=-1), "", 'z1000_ap'!AC10/'z1000_no_ap'!AC10)</f>
        <v/>
      </c>
      <c r="K118">
        <f>IF(OR('z1000_ap'!H10=-1, 'z1000_no_ap'!H10=-1), "", 'z1000_ap'!AD10/'z1000_no_ap'!AD10)</f>
        <v/>
      </c>
    </row>
    <row r="119">
      <c r="A119" t="inlineStr">
        <is>
          <t>z1000</t>
        </is>
      </c>
      <c r="B119" t="inlineStr">
        <is>
          <t>z1000.xml</t>
        </is>
      </c>
      <c r="C119" t="inlineStr">
        <is>
          <t>tseng.blif</t>
        </is>
      </c>
      <c r="D119">
        <f>IF(OR('z1000_ap'!H11=-1, 'z1000_no_ap'!H11=-1), "", 'z1000_ap'!F11/'z1000_no_ap'!F11)</f>
        <v/>
      </c>
      <c r="E119">
        <f>IF(OR('z1000_ap'!H11=-1, 'z1000_no_ap'!H11=-1), "", 'z1000_ap'!G11/'z1000_no_ap'!G11)</f>
        <v/>
      </c>
      <c r="F119">
        <f>IF(OR('z1000_ap'!H11=-1, 'z1000_no_ap'!H11=-1), "", 'z1000_ap'!H11/'z1000_no_ap'!H11)</f>
        <v/>
      </c>
      <c r="G119">
        <f>IF(OR('z1000_ap'!H11=-1, 'z1000_no_ap'!H11=-1), "", 'z1000_ap'!J11/'z1000_no_ap'!J11)</f>
        <v/>
      </c>
      <c r="H119">
        <f>IF(OR('z1000_ap'!H11=-1, 'z1000_no_ap'!H11=-1), "", 'z1000_ap'!K11/'z1000_no_ap'!K11)</f>
        <v/>
      </c>
      <c r="I119">
        <f>IF(OR('z1000_ap'!H11=-1, 'z1000_no_ap'!H11=-1), "", 'z1000_ap'!L11/'z1000_no_ap'!L11)</f>
        <v/>
      </c>
      <c r="J119">
        <f>IF(OR('z1000_ap'!H11=-1, 'z1000_no_ap'!H11=-1), "", 'z1000_ap'!AC11/'z1000_no_ap'!AC11)</f>
        <v/>
      </c>
      <c r="K119">
        <f>IF(OR('z1000_ap'!H11=-1, 'z1000_no_ap'!H11=-1), "", 'z1000_ap'!AD11/'z1000_no_ap'!AD11)</f>
        <v/>
      </c>
    </row>
    <row r="120">
      <c r="A120" t="inlineStr">
        <is>
          <t>z1000</t>
        </is>
      </c>
      <c r="B120" t="inlineStr"/>
      <c r="C120" t="inlineStr">
        <is>
          <t>GEOMEAN</t>
        </is>
      </c>
      <c r="D120">
        <f>GEOMEAN(D110:D119)</f>
        <v/>
      </c>
      <c r="E120">
        <f>GEOMEAN(E110:E119)</f>
        <v/>
      </c>
      <c r="F120">
        <f>GEOMEAN(F110:F119)</f>
        <v/>
      </c>
      <c r="G120">
        <f>GEOMEAN(G110:G119)</f>
        <v/>
      </c>
      <c r="H120">
        <f>GEOMEAN(H110:H119)</f>
        <v/>
      </c>
      <c r="I120">
        <f>GEOMEAN(I110:I119)</f>
        <v/>
      </c>
      <c r="J120">
        <f>GEOMEAN(J110:J119)</f>
        <v/>
      </c>
      <c r="K120">
        <f>GEOMEAN(K110:K119)</f>
        <v/>
      </c>
    </row>
    <row r="121">
      <c r="A121" t="inlineStr">
        <is>
          <t>z1000</t>
        </is>
      </c>
      <c r="B121" t="inlineStr"/>
      <c r="C121" t="inlineStr">
        <is>
          <t>UNROUTES</t>
        </is>
      </c>
      <c r="D121">
        <f>10 - COUNT(F110:F119)</f>
        <v/>
      </c>
    </row>
    <row r="122">
      <c r="A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124839</v>
      </c>
      <c r="F2" t="n">
        <v>135790</v>
      </c>
      <c r="G2" t="n">
        <v>103585</v>
      </c>
      <c r="H2" t="n">
        <v>139558</v>
      </c>
      <c r="I2" t="n">
        <v>22.375162</v>
      </c>
      <c r="J2" t="n">
        <v>26.6452</v>
      </c>
      <c r="K2" t="n">
        <v>24.4396</v>
      </c>
      <c r="L2" t="n">
        <v>25.6516</v>
      </c>
      <c r="M2" t="n">
        <v>-237545.359375</v>
      </c>
      <c r="N2" t="n">
        <v>-258203</v>
      </c>
      <c r="O2" t="n">
        <v>-219590</v>
      </c>
      <c r="P2" t="n">
        <v>-223383</v>
      </c>
      <c r="Q2" t="n">
        <v>19</v>
      </c>
      <c r="R2" t="n">
        <v>11497.262695</v>
      </c>
      <c r="S2" t="n">
        <v>0</v>
      </c>
      <c r="T2" t="n">
        <v>65.84766399999999</v>
      </c>
      <c r="U2" t="n">
        <v>60.047062</v>
      </c>
      <c r="V2" t="n">
        <v>29984.869141</v>
      </c>
      <c r="W2" t="n">
        <v>2.138111</v>
      </c>
      <c r="X2" t="n">
        <v>29</v>
      </c>
      <c r="Y2" t="n">
        <v>35.08</v>
      </c>
      <c r="Z2" t="n">
        <v>10.45</v>
      </c>
      <c r="AA2" t="n">
        <v>15.62</v>
      </c>
      <c r="AB2" t="n">
        <v>5.91</v>
      </c>
      <c r="AC2" t="n">
        <v>2.82</v>
      </c>
      <c r="AD2" t="n">
        <v>39.62</v>
      </c>
      <c r="AE2" t="n">
        <v>885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367156</v>
      </c>
      <c r="F3" t="n">
        <v>508261</v>
      </c>
      <c r="G3" t="n">
        <v>268876</v>
      </c>
      <c r="H3" t="n">
        <v>369920</v>
      </c>
      <c r="I3" t="n">
        <v>26.581743</v>
      </c>
      <c r="J3" t="n">
        <v>36.2806</v>
      </c>
      <c r="K3" t="n">
        <v>21.0134</v>
      </c>
      <c r="L3" t="n">
        <v>21.5482</v>
      </c>
      <c r="M3" t="n">
        <v>-26428.623047</v>
      </c>
      <c r="N3" t="n">
        <v>-32512.1</v>
      </c>
      <c r="O3" t="n">
        <v>-26610.9</v>
      </c>
      <c r="P3" t="n">
        <v>-27124</v>
      </c>
      <c r="Q3" t="n">
        <v>54</v>
      </c>
      <c r="R3" t="n">
        <v>220.555557</v>
      </c>
      <c r="S3" t="n">
        <v>0</v>
      </c>
      <c r="T3" t="n">
        <v>83.15688299999999</v>
      </c>
      <c r="U3" t="n">
        <v>71.82579800000001</v>
      </c>
      <c r="V3" t="n">
        <v>179658.796875</v>
      </c>
      <c r="W3" t="n">
        <v>5.209162</v>
      </c>
      <c r="X3" t="n">
        <v>86</v>
      </c>
      <c r="Y3" t="n">
        <v>183.08</v>
      </c>
      <c r="Z3" t="n">
        <v>28.14</v>
      </c>
      <c r="AA3" t="n">
        <v>113.29</v>
      </c>
      <c r="AB3" t="n">
        <v>35.53</v>
      </c>
      <c r="AC3" t="n">
        <v>9.710000000000001</v>
      </c>
      <c r="AD3" t="n">
        <v>197.8</v>
      </c>
      <c r="AE3" t="n">
        <v>2817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40415.8</v>
      </c>
      <c r="F4" t="n">
        <v>44229.3</v>
      </c>
      <c r="G4" t="n">
        <v>38550</v>
      </c>
      <c r="H4" t="n">
        <v>54197</v>
      </c>
      <c r="I4" t="n">
        <v>4.130682</v>
      </c>
      <c r="J4" t="n">
        <v>4.35373</v>
      </c>
      <c r="K4" t="n">
        <v>3.52872</v>
      </c>
      <c r="L4" t="n">
        <v>3.5842</v>
      </c>
      <c r="M4" t="n">
        <v>-13372.56543</v>
      </c>
      <c r="N4" t="n">
        <v>-16280.6</v>
      </c>
      <c r="O4" t="n">
        <v>-14579</v>
      </c>
      <c r="P4" t="n">
        <v>-15968.2</v>
      </c>
      <c r="Q4" t="n">
        <v>33</v>
      </c>
      <c r="R4" t="n">
        <v>10.090909</v>
      </c>
      <c r="S4" t="n">
        <v>0</v>
      </c>
      <c r="T4" t="n">
        <v>58.333332</v>
      </c>
      <c r="U4" t="n">
        <v>43.358807</v>
      </c>
      <c r="V4" t="n">
        <v>21144.078125</v>
      </c>
      <c r="W4" t="n">
        <v>0.99133</v>
      </c>
      <c r="X4" t="n">
        <v>13.222509</v>
      </c>
      <c r="Y4" t="n">
        <v>18.51</v>
      </c>
      <c r="Z4" t="n">
        <v>4.88</v>
      </c>
      <c r="AA4" t="n">
        <v>8.640000000000001</v>
      </c>
      <c r="AB4" t="n">
        <v>3.41</v>
      </c>
      <c r="AC4" t="n">
        <v>1.63</v>
      </c>
      <c r="AD4" t="n">
        <v>21.67</v>
      </c>
      <c r="AE4" t="n">
        <v>750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70781.7</v>
      </c>
      <c r="F5" t="n">
        <v>99508</v>
      </c>
      <c r="G5" t="n">
        <v>72742</v>
      </c>
      <c r="H5" t="n">
        <v>109533</v>
      </c>
      <c r="I5" t="n">
        <v>4.755558</v>
      </c>
      <c r="J5" t="n">
        <v>6.81239</v>
      </c>
      <c r="K5" t="n">
        <v>4.99493</v>
      </c>
      <c r="L5" t="n">
        <v>5.2543</v>
      </c>
      <c r="M5" t="n">
        <v>-21713.824219</v>
      </c>
      <c r="N5" t="n">
        <v>-26441.8</v>
      </c>
      <c r="O5" t="n">
        <v>-23110</v>
      </c>
      <c r="P5" t="n">
        <v>-26180.1</v>
      </c>
      <c r="Q5" t="n">
        <v>121</v>
      </c>
      <c r="R5" t="n">
        <v>28.099174</v>
      </c>
      <c r="S5" t="n">
        <v>0</v>
      </c>
      <c r="T5" t="n">
        <v>61.917328</v>
      </c>
      <c r="U5" t="n">
        <v>59.12064</v>
      </c>
      <c r="V5" t="n">
        <v>52356.167969</v>
      </c>
      <c r="W5" t="n">
        <v>2.717824</v>
      </c>
      <c r="X5" t="n">
        <v>28.948456</v>
      </c>
      <c r="Y5" t="n">
        <v>21.4</v>
      </c>
      <c r="Z5" t="n">
        <v>5.16</v>
      </c>
      <c r="AA5" t="n">
        <v>9</v>
      </c>
      <c r="AB5" t="n">
        <v>5.11</v>
      </c>
      <c r="AC5" t="n">
        <v>2.3</v>
      </c>
      <c r="AD5" t="n">
        <v>25.37</v>
      </c>
      <c r="AE5" t="n">
        <v>834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269912</v>
      </c>
      <c r="F6" t="n">
        <v>370813</v>
      </c>
      <c r="G6" t="n">
        <v>232874</v>
      </c>
      <c r="H6" t="n">
        <v>322216</v>
      </c>
      <c r="I6" t="n">
        <v>13.457654</v>
      </c>
      <c r="J6" t="n">
        <v>15.7883</v>
      </c>
      <c r="K6" t="n">
        <v>12.8442</v>
      </c>
      <c r="L6" t="n">
        <v>12.8906</v>
      </c>
      <c r="M6" t="n">
        <v>-39351.503906</v>
      </c>
      <c r="N6" t="n">
        <v>-58392.9</v>
      </c>
      <c r="O6" t="n">
        <v>-46882.6</v>
      </c>
      <c r="P6" t="n">
        <v>-51389.9</v>
      </c>
      <c r="Q6" t="n">
        <v>585</v>
      </c>
      <c r="R6" t="n">
        <v>35.128204</v>
      </c>
      <c r="S6" t="n">
        <v>0</v>
      </c>
      <c r="T6" t="n">
        <v>51.424927</v>
      </c>
      <c r="U6" t="n">
        <v>66.699203</v>
      </c>
      <c r="V6" t="n">
        <v>78207.265625</v>
      </c>
      <c r="W6" t="n">
        <v>2.1203</v>
      </c>
      <c r="X6" t="n">
        <v>73.240799</v>
      </c>
      <c r="Y6" t="n">
        <v>74.12</v>
      </c>
      <c r="Z6" t="n">
        <v>12.06</v>
      </c>
      <c r="AA6" t="n">
        <v>20.23</v>
      </c>
      <c r="AB6" t="n">
        <v>26.19</v>
      </c>
      <c r="AC6" t="n">
        <v>6.83</v>
      </c>
      <c r="AD6" t="n">
        <v>84.97</v>
      </c>
      <c r="AE6" t="n">
        <v>1808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298075</v>
      </c>
      <c r="F7" t="n">
        <v>320675</v>
      </c>
      <c r="G7" t="n">
        <v>215093</v>
      </c>
      <c r="H7" t="n">
        <v>299124</v>
      </c>
      <c r="I7" t="n">
        <v>108.558884</v>
      </c>
      <c r="J7" t="n">
        <v>89.87269999999999</v>
      </c>
      <c r="K7" t="n">
        <v>74.5731</v>
      </c>
      <c r="L7" t="n">
        <v>75.53700000000001</v>
      </c>
      <c r="M7" t="n">
        <v>-52453.1875</v>
      </c>
      <c r="N7" t="n">
        <v>-58673.4</v>
      </c>
      <c r="O7" t="n">
        <v>-52090.2</v>
      </c>
      <c r="P7" t="n">
        <v>-60805.8</v>
      </c>
      <c r="Q7" t="n">
        <v>117</v>
      </c>
      <c r="R7" t="n">
        <v>5907.581055</v>
      </c>
      <c r="S7" t="n">
        <v>0</v>
      </c>
      <c r="T7" t="n">
        <v>80.954277</v>
      </c>
      <c r="U7" t="n">
        <v>60.788826</v>
      </c>
      <c r="V7" t="n">
        <v>81229.617188</v>
      </c>
      <c r="W7" t="n">
        <v>2.560994</v>
      </c>
      <c r="X7" t="n">
        <v>46.000198</v>
      </c>
      <c r="Y7" t="n">
        <v>102.65</v>
      </c>
      <c r="Z7" t="n">
        <v>21.78</v>
      </c>
      <c r="AA7" t="n">
        <v>47.86</v>
      </c>
      <c r="AB7" t="n">
        <v>26.59</v>
      </c>
      <c r="AC7" t="n">
        <v>8.050000000000001</v>
      </c>
      <c r="AD7" t="n">
        <v>114.95</v>
      </c>
      <c r="AE7" t="n">
        <v>2246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1235380</v>
      </c>
      <c r="F8" t="n">
        <v>1129870</v>
      </c>
      <c r="G8" t="n">
        <v>794691</v>
      </c>
      <c r="H8" t="n">
        <v>1075721</v>
      </c>
      <c r="I8" t="n">
        <v>95.68119799999999</v>
      </c>
      <c r="J8" t="n">
        <v>75.378</v>
      </c>
      <c r="K8" t="n">
        <v>69.9742</v>
      </c>
      <c r="L8" t="n">
        <v>71.5596</v>
      </c>
      <c r="M8" t="n">
        <v>-314338.34375</v>
      </c>
      <c r="N8" t="n">
        <v>-331174</v>
      </c>
      <c r="O8" t="n">
        <v>-296621</v>
      </c>
      <c r="P8" t="n">
        <v>-402496</v>
      </c>
      <c r="Q8" t="n">
        <v>355</v>
      </c>
      <c r="R8" t="n">
        <v>4577.380371</v>
      </c>
      <c r="S8" t="n">
        <v>0</v>
      </c>
      <c r="T8" t="n">
        <v>86.854866</v>
      </c>
      <c r="U8" t="n">
        <v>59.775089</v>
      </c>
      <c r="V8" t="n">
        <v>313091.53125</v>
      </c>
      <c r="W8" t="n">
        <v>2.914621</v>
      </c>
      <c r="X8" t="n">
        <v>63.000198</v>
      </c>
      <c r="Y8" t="n">
        <v>516.41</v>
      </c>
      <c r="Z8" t="n">
        <v>101.04</v>
      </c>
      <c r="AA8" t="n">
        <v>173.68</v>
      </c>
      <c r="AB8" t="n">
        <v>217.92</v>
      </c>
      <c r="AC8" t="n">
        <v>31.21</v>
      </c>
      <c r="AD8" t="n">
        <v>563.42</v>
      </c>
      <c r="AE8" t="n">
        <v>7625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951183</v>
      </c>
      <c r="F9" t="n">
        <v>1146230</v>
      </c>
      <c r="G9" t="n">
        <v>666736</v>
      </c>
      <c r="H9" t="n">
        <v>863052</v>
      </c>
      <c r="I9" t="n">
        <v>58.809212</v>
      </c>
      <c r="J9" t="n">
        <v>68.80670000000001</v>
      </c>
      <c r="K9" t="n">
        <v>46.6341</v>
      </c>
      <c r="L9" t="n">
        <v>45.7397</v>
      </c>
      <c r="M9" t="n">
        <v>-425468.40625</v>
      </c>
      <c r="N9" t="n">
        <v>-365238</v>
      </c>
      <c r="O9" t="n">
        <v>-314920</v>
      </c>
      <c r="P9" t="n">
        <v>-335002</v>
      </c>
      <c r="Q9" t="n">
        <v>1667</v>
      </c>
      <c r="R9" t="n">
        <v>1158.44751</v>
      </c>
      <c r="S9" t="n">
        <v>0</v>
      </c>
      <c r="T9" t="n">
        <v>73.944931</v>
      </c>
      <c r="U9" t="n">
        <v>77.355019</v>
      </c>
      <c r="V9" t="n">
        <v>1053588.5</v>
      </c>
      <c r="W9" t="n">
        <v>6.639162</v>
      </c>
      <c r="X9" t="n">
        <v>123.218018</v>
      </c>
      <c r="Y9" t="n">
        <v>795.92</v>
      </c>
      <c r="Z9" t="n">
        <v>75.36</v>
      </c>
      <c r="AA9" t="n">
        <v>384.99</v>
      </c>
      <c r="AB9" t="n">
        <v>307.32</v>
      </c>
      <c r="AC9" t="n">
        <v>25.62</v>
      </c>
      <c r="AD9" t="n">
        <v>837.9400000000001</v>
      </c>
      <c r="AE9" t="n">
        <v>6649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295014</v>
      </c>
      <c r="G2" t="n">
        <v>117941</v>
      </c>
      <c r="H2" t="n">
        <v>161632</v>
      </c>
      <c r="I2" t="n">
        <v>-1</v>
      </c>
      <c r="J2" t="n">
        <v>38.9544</v>
      </c>
      <c r="K2" t="n">
        <v>22.2791</v>
      </c>
      <c r="L2" t="n">
        <v>23.1245</v>
      </c>
      <c r="M2" t="n">
        <v>-1</v>
      </c>
      <c r="N2" t="n">
        <v>-339284</v>
      </c>
      <c r="O2" t="n">
        <v>-210703</v>
      </c>
      <c r="P2" t="n">
        <v>-217716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3.03</v>
      </c>
      <c r="AD2" t="n">
        <v>44.75</v>
      </c>
      <c r="AE2" t="n">
        <v>862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1291910</v>
      </c>
      <c r="G3" t="n">
        <v>252707</v>
      </c>
      <c r="H3" t="n">
        <v>360788</v>
      </c>
      <c r="I3" t="n">
        <v>-1</v>
      </c>
      <c r="J3" t="n">
        <v>54.482</v>
      </c>
      <c r="K3" t="n">
        <v>19.3888</v>
      </c>
      <c r="L3" t="n">
        <v>19.6734</v>
      </c>
      <c r="M3" t="n">
        <v>-1</v>
      </c>
      <c r="N3" t="n">
        <v>-56083</v>
      </c>
      <c r="O3" t="n">
        <v>-25529.2</v>
      </c>
      <c r="P3" t="n">
        <v>-26010.7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8.550000000000001</v>
      </c>
      <c r="AD3" t="n">
        <v>145.13</v>
      </c>
      <c r="AE3" t="n">
        <v>2799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144854</v>
      </c>
      <c r="G4" t="n">
        <v>39651</v>
      </c>
      <c r="H4" t="n">
        <v>54897</v>
      </c>
      <c r="I4" t="n">
        <v>-1</v>
      </c>
      <c r="J4" t="n">
        <v>7.78789</v>
      </c>
      <c r="K4" t="n">
        <v>3.50846</v>
      </c>
      <c r="L4" t="n">
        <v>3.67778</v>
      </c>
      <c r="M4" t="n">
        <v>-1</v>
      </c>
      <c r="N4" t="n">
        <v>-18801.8</v>
      </c>
      <c r="O4" t="n">
        <v>-13691.2</v>
      </c>
      <c r="P4" t="n">
        <v>-14790.9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1.25</v>
      </c>
      <c r="AD4" t="n">
        <v>17.78</v>
      </c>
      <c r="AE4" t="n">
        <v>712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231708</v>
      </c>
      <c r="G5" t="n">
        <v>79935</v>
      </c>
      <c r="H5" t="n">
        <v>117598</v>
      </c>
      <c r="I5" t="n">
        <v>-1</v>
      </c>
      <c r="J5" t="n">
        <v>7.69617</v>
      </c>
      <c r="K5" t="n">
        <v>5.42144</v>
      </c>
      <c r="L5" t="n">
        <v>5.56846</v>
      </c>
      <c r="M5" t="n">
        <v>-1</v>
      </c>
      <c r="N5" t="n">
        <v>-29502.3</v>
      </c>
      <c r="O5" t="n">
        <v>-22856</v>
      </c>
      <c r="P5" t="n">
        <v>-25409.3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2.26</v>
      </c>
      <c r="AD5" t="n">
        <v>20.47</v>
      </c>
      <c r="AE5" t="n">
        <v>765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1175050</v>
      </c>
      <c r="G6" t="n">
        <v>286881</v>
      </c>
      <c r="H6" t="n">
        <v>377576</v>
      </c>
      <c r="I6" t="n">
        <v>-1</v>
      </c>
      <c r="J6" t="n">
        <v>34.3964</v>
      </c>
      <c r="K6" t="n">
        <v>14.1361</v>
      </c>
      <c r="L6" t="n">
        <v>15.2064</v>
      </c>
      <c r="M6" t="n">
        <v>-1</v>
      </c>
      <c r="N6" t="n">
        <v>-79240.89999999999</v>
      </c>
      <c r="O6" t="n">
        <v>-52693.9</v>
      </c>
      <c r="P6" t="n">
        <v>-58055.9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6.22</v>
      </c>
      <c r="AD6" t="n">
        <v>83.25</v>
      </c>
      <c r="AE6" t="n">
        <v>1683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1020460</v>
      </c>
      <c r="G7" t="n">
        <v>213606</v>
      </c>
      <c r="H7" t="n">
        <v>298974</v>
      </c>
      <c r="I7" t="n">
        <v>-1</v>
      </c>
      <c r="J7" t="n">
        <v>224.083</v>
      </c>
      <c r="K7" t="n">
        <v>73.01649999999999</v>
      </c>
      <c r="L7" t="n">
        <v>73.7166</v>
      </c>
      <c r="M7" t="n">
        <v>-1</v>
      </c>
      <c r="N7" t="n">
        <v>-81874.89999999999</v>
      </c>
      <c r="O7" t="n">
        <v>-56645</v>
      </c>
      <c r="P7" t="n">
        <v>-69511.60000000001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7.46</v>
      </c>
      <c r="AD7" t="n">
        <v>116.39</v>
      </c>
      <c r="AE7" t="n">
        <v>2139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5936290</v>
      </c>
      <c r="G8" t="n">
        <v>929428</v>
      </c>
      <c r="H8" t="n">
        <v>1203285</v>
      </c>
      <c r="I8" t="n">
        <v>-1</v>
      </c>
      <c r="J8" t="n">
        <v>155.638</v>
      </c>
      <c r="K8" t="n">
        <v>74.98260000000001</v>
      </c>
      <c r="L8" t="n">
        <v>75.61920000000001</v>
      </c>
      <c r="M8" t="n">
        <v>-1</v>
      </c>
      <c r="N8" t="n">
        <v>-441642</v>
      </c>
      <c r="O8" t="n">
        <v>-348509</v>
      </c>
      <c r="P8" t="n">
        <v>-487412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31.44</v>
      </c>
      <c r="AD8" t="n">
        <v>658.9400000000001</v>
      </c>
      <c r="AE8" t="n">
        <v>7443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4661100</v>
      </c>
      <c r="G9" t="n">
        <v>702751</v>
      </c>
      <c r="H9" t="n">
        <v>897452</v>
      </c>
      <c r="I9" t="n">
        <v>-1</v>
      </c>
      <c r="J9" t="n">
        <v>145.923</v>
      </c>
      <c r="K9" t="n">
        <v>46.4284</v>
      </c>
      <c r="L9" t="n">
        <v>46.7428</v>
      </c>
      <c r="M9" t="n">
        <v>-1</v>
      </c>
      <c r="N9" t="n">
        <v>-627575</v>
      </c>
      <c r="O9" t="n">
        <v>-294636</v>
      </c>
      <c r="P9" t="n">
        <v>-345504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20.85</v>
      </c>
      <c r="AD9" t="n">
        <v>752.4400000000001</v>
      </c>
      <c r="AE9" t="n">
        <v>6659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136510</v>
      </c>
      <c r="F2" t="n">
        <v>154522</v>
      </c>
      <c r="G2" t="n">
        <v>133430</v>
      </c>
      <c r="H2" t="n">
        <v>164205</v>
      </c>
      <c r="I2" t="n">
        <v>21.66608</v>
      </c>
      <c r="J2" t="n">
        <v>21.0643</v>
      </c>
      <c r="K2" t="n">
        <v>18.9524</v>
      </c>
      <c r="L2" t="n">
        <v>22.6546</v>
      </c>
      <c r="M2" t="n">
        <v>-203496.53125</v>
      </c>
      <c r="N2" t="n">
        <v>-200886</v>
      </c>
      <c r="O2" t="n">
        <v>-179574</v>
      </c>
      <c r="P2" t="n">
        <v>-221606</v>
      </c>
      <c r="Q2" t="n">
        <v>3</v>
      </c>
      <c r="R2" t="n">
        <v>25941.333984</v>
      </c>
      <c r="S2" t="n">
        <v>0</v>
      </c>
      <c r="T2" t="n">
        <v>70.107964</v>
      </c>
      <c r="U2" t="n">
        <v>56.467484</v>
      </c>
      <c r="V2" t="n">
        <v>24221.564453</v>
      </c>
      <c r="W2" t="n">
        <v>1.727151</v>
      </c>
      <c r="X2" t="n">
        <v>34</v>
      </c>
      <c r="Y2" t="n">
        <v>509.44</v>
      </c>
      <c r="Z2" t="n">
        <v>9.98</v>
      </c>
      <c r="AA2" t="n">
        <v>41.39</v>
      </c>
      <c r="AB2" t="n">
        <v>9.210000000000001</v>
      </c>
      <c r="AC2" t="n">
        <v>10.74</v>
      </c>
      <c r="AD2" t="n">
        <v>526.64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289182</v>
      </c>
      <c r="F3" t="n">
        <v>336737</v>
      </c>
      <c r="G3" t="n">
        <v>280592</v>
      </c>
      <c r="H3" t="n">
        <v>409606</v>
      </c>
      <c r="I3" t="n">
        <v>25.865053</v>
      </c>
      <c r="J3" t="n">
        <v>25.7875</v>
      </c>
      <c r="K3" t="n">
        <v>23.1422</v>
      </c>
      <c r="L3" t="n">
        <v>23.2161</v>
      </c>
      <c r="M3" t="n">
        <v>-30569.429688</v>
      </c>
      <c r="N3" t="n">
        <v>-29016.6</v>
      </c>
      <c r="O3" t="n">
        <v>-28073.4</v>
      </c>
      <c r="P3" t="n">
        <v>-29542.9</v>
      </c>
      <c r="Q3" t="n">
        <v>5</v>
      </c>
      <c r="R3" t="n">
        <v>3</v>
      </c>
      <c r="S3" t="n">
        <v>0</v>
      </c>
      <c r="T3" t="n">
        <v>83.678963</v>
      </c>
      <c r="U3" t="n">
        <v>75.510201</v>
      </c>
      <c r="V3" t="n">
        <v>84305.875</v>
      </c>
      <c r="W3" t="n">
        <v>2.472023</v>
      </c>
      <c r="X3" t="n">
        <v>77.00009900000001</v>
      </c>
      <c r="Y3" t="n">
        <v>752.5</v>
      </c>
      <c r="Z3" t="n">
        <v>26.77</v>
      </c>
      <c r="AA3" t="n">
        <v>492.62</v>
      </c>
      <c r="AB3" t="n">
        <v>79.8</v>
      </c>
      <c r="AC3" t="n">
        <v>30.15</v>
      </c>
      <c r="AD3" t="n">
        <v>789.16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66361.5</v>
      </c>
      <c r="F4" t="n">
        <v>101581</v>
      </c>
      <c r="G4" t="n">
        <v>83219</v>
      </c>
      <c r="H4" t="n">
        <v>77402</v>
      </c>
      <c r="I4" t="n">
        <v>5.606674</v>
      </c>
      <c r="J4" t="n">
        <v>5.44261</v>
      </c>
      <c r="K4" t="n">
        <v>3.83667</v>
      </c>
      <c r="L4" t="n">
        <v>5.13375</v>
      </c>
      <c r="M4" t="n">
        <v>-16651.181641</v>
      </c>
      <c r="N4" t="n">
        <v>-18421.8</v>
      </c>
      <c r="O4" t="n">
        <v>-16307.5</v>
      </c>
      <c r="P4" t="n">
        <v>-21862.7</v>
      </c>
      <c r="Q4" t="n">
        <v>30</v>
      </c>
      <c r="R4" t="n">
        <v>9.9</v>
      </c>
      <c r="S4" t="n">
        <v>0</v>
      </c>
      <c r="T4" t="n">
        <v>59.425785</v>
      </c>
      <c r="U4" t="n">
        <v>65.966522</v>
      </c>
      <c r="V4" t="n">
        <v>56996.195312</v>
      </c>
      <c r="W4" t="n">
        <v>2.67224</v>
      </c>
      <c r="X4" t="n">
        <v>40.911156</v>
      </c>
      <c r="Y4" t="n">
        <v>792.1799999999999</v>
      </c>
      <c r="Z4" t="n">
        <v>5.28</v>
      </c>
      <c r="AA4" t="n">
        <v>312.29</v>
      </c>
      <c r="AB4" t="n">
        <v>12.07</v>
      </c>
      <c r="AC4" t="n">
        <v>4.06</v>
      </c>
      <c r="AD4" t="n">
        <v>802.5599999999999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131000</v>
      </c>
      <c r="F5" t="n">
        <v>171918</v>
      </c>
      <c r="G5" t="n">
        <v>128004</v>
      </c>
      <c r="H5" t="n">
        <v>122166</v>
      </c>
      <c r="I5" t="n">
        <v>6.962436</v>
      </c>
      <c r="J5" t="n">
        <v>4.97833</v>
      </c>
      <c r="K5" t="n">
        <v>4.75964</v>
      </c>
      <c r="L5" t="n">
        <v>4.83822</v>
      </c>
      <c r="M5" t="n">
        <v>-21805.085938</v>
      </c>
      <c r="N5" t="n">
        <v>-22862.3</v>
      </c>
      <c r="O5" t="n">
        <v>-21515.7</v>
      </c>
      <c r="P5" t="n">
        <v>-26758.9</v>
      </c>
      <c r="Q5" t="n">
        <v>29</v>
      </c>
      <c r="R5" t="n">
        <v>47.137932</v>
      </c>
      <c r="S5" t="n">
        <v>0</v>
      </c>
      <c r="T5" t="n">
        <v>68.424316</v>
      </c>
      <c r="U5" t="n">
        <v>79.994812</v>
      </c>
      <c r="V5" t="n">
        <v>59824.902344</v>
      </c>
      <c r="W5" t="n">
        <v>3.105367</v>
      </c>
      <c r="X5" t="n">
        <v>60.000099</v>
      </c>
      <c r="Y5" t="n">
        <v>512.1799999999999</v>
      </c>
      <c r="Z5" t="n">
        <v>5.4</v>
      </c>
      <c r="AA5" t="n">
        <v>346.87</v>
      </c>
      <c r="AB5" t="n">
        <v>12.95</v>
      </c>
      <c r="AC5" t="n">
        <v>3.68</v>
      </c>
      <c r="AD5" t="n">
        <v>519.01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461085</v>
      </c>
      <c r="F6" t="n">
        <v>690524</v>
      </c>
      <c r="G6" t="n">
        <v>342458</v>
      </c>
      <c r="H6" t="n">
        <v>316767</v>
      </c>
      <c r="I6" t="n">
        <v>17.85026</v>
      </c>
      <c r="J6" t="n">
        <v>17.1373</v>
      </c>
      <c r="K6" t="n">
        <v>13.7987</v>
      </c>
      <c r="L6" t="n">
        <v>14.4569</v>
      </c>
      <c r="M6" t="n">
        <v>-42012.441406</v>
      </c>
      <c r="N6" t="n">
        <v>-56473.4</v>
      </c>
      <c r="O6" t="n">
        <v>-43188.7</v>
      </c>
      <c r="P6" t="n">
        <v>-58502.9</v>
      </c>
      <c r="Q6" t="n">
        <v>153</v>
      </c>
      <c r="R6" t="n">
        <v>52.725491</v>
      </c>
      <c r="S6" t="n">
        <v>0</v>
      </c>
      <c r="T6" t="n">
        <v>55.068043</v>
      </c>
      <c r="U6" t="n">
        <v>88.257141</v>
      </c>
      <c r="V6" t="n">
        <v>255034.71875</v>
      </c>
      <c r="W6" t="n">
        <v>6.914883</v>
      </c>
      <c r="X6" t="n">
        <v>89</v>
      </c>
      <c r="Y6" t="n">
        <v>1197.25</v>
      </c>
      <c r="Z6" t="n">
        <v>11.72</v>
      </c>
      <c r="AA6" t="n">
        <v>629.62</v>
      </c>
      <c r="AB6" t="n">
        <v>98.61</v>
      </c>
      <c r="AC6" t="n">
        <v>14.62</v>
      </c>
      <c r="AD6" t="n">
        <v>1220.28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337939</v>
      </c>
      <c r="F7" t="n">
        <v>425274</v>
      </c>
      <c r="G7" t="n">
        <v>287474</v>
      </c>
      <c r="H7" t="n">
        <v>351672</v>
      </c>
      <c r="I7" t="n">
        <v>155.217529</v>
      </c>
      <c r="J7" t="n">
        <v>119.974</v>
      </c>
      <c r="K7" t="n">
        <v>115.049</v>
      </c>
      <c r="L7" t="n">
        <v>98.6592</v>
      </c>
      <c r="M7" t="n">
        <v>-48844.90625</v>
      </c>
      <c r="N7" t="n">
        <v>-53019</v>
      </c>
      <c r="O7" t="n">
        <v>-51137.6</v>
      </c>
      <c r="P7" t="n">
        <v>-77251.60000000001</v>
      </c>
      <c r="Q7" t="n">
        <v>27</v>
      </c>
      <c r="R7" t="n">
        <v>16543.740234</v>
      </c>
      <c r="S7" t="n">
        <v>0</v>
      </c>
      <c r="T7" t="n">
        <v>77.263283</v>
      </c>
      <c r="U7" t="n">
        <v>78.14340199999999</v>
      </c>
      <c r="V7" t="n">
        <v>150283.984375</v>
      </c>
      <c r="W7" t="n">
        <v>4.683057</v>
      </c>
      <c r="X7" t="n">
        <v>49.000198</v>
      </c>
      <c r="Y7" t="n">
        <v>879.85</v>
      </c>
      <c r="Z7" t="n">
        <v>23.26</v>
      </c>
      <c r="AA7" t="n">
        <v>638.65</v>
      </c>
      <c r="AB7" t="n">
        <v>109.67</v>
      </c>
      <c r="AC7" t="n">
        <v>25.91</v>
      </c>
      <c r="AD7" t="n">
        <v>911.27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1576370</v>
      </c>
      <c r="F8" t="n">
        <v>1471430</v>
      </c>
      <c r="G8" t="n">
        <v>1092189</v>
      </c>
      <c r="H8" t="n">
        <v>1277489</v>
      </c>
      <c r="I8" t="n">
        <v>137.977478</v>
      </c>
      <c r="J8" t="n">
        <v>107.76</v>
      </c>
      <c r="K8" t="n">
        <v>104.623</v>
      </c>
      <c r="L8" t="n">
        <v>91.3918</v>
      </c>
      <c r="M8" t="n">
        <v>-199169.28125</v>
      </c>
      <c r="N8" t="n">
        <v>-265321</v>
      </c>
      <c r="O8" t="n">
        <v>-249837</v>
      </c>
      <c r="P8" t="n">
        <v>-515172</v>
      </c>
      <c r="Q8" t="n">
        <v>40</v>
      </c>
      <c r="R8" t="n">
        <v>31132.650391</v>
      </c>
      <c r="S8" t="n">
        <v>0</v>
      </c>
      <c r="T8" t="n">
        <v>81.210686</v>
      </c>
      <c r="U8" t="n">
        <v>67.50904800000001</v>
      </c>
      <c r="V8" t="n">
        <v>294786.5625</v>
      </c>
      <c r="W8" t="n">
        <v>2.708987</v>
      </c>
      <c r="X8" t="n">
        <v>50.164627</v>
      </c>
      <c r="Y8" t="n">
        <v>3718.11</v>
      </c>
      <c r="Z8" t="n">
        <v>101.91</v>
      </c>
      <c r="AA8" t="n">
        <v>2335.11</v>
      </c>
      <c r="AB8" t="n">
        <v>792.52</v>
      </c>
      <c r="AC8" t="n">
        <v>93.22</v>
      </c>
      <c r="AD8" t="n">
        <v>3834.46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1322450</v>
      </c>
      <c r="F9" t="n">
        <v>2690540</v>
      </c>
      <c r="G9" t="n">
        <v>1610451</v>
      </c>
      <c r="H9" t="n">
        <v>1071720</v>
      </c>
      <c r="I9" t="n">
        <v>89.605446</v>
      </c>
      <c r="J9" t="n">
        <v>86.8169</v>
      </c>
      <c r="K9" t="n">
        <v>68.37649999999999</v>
      </c>
      <c r="L9" t="n">
        <v>63.3484</v>
      </c>
      <c r="M9" t="n">
        <v>-444604.78125</v>
      </c>
      <c r="N9" t="n">
        <v>-441718</v>
      </c>
      <c r="O9" t="n">
        <v>-372818</v>
      </c>
      <c r="P9" t="n">
        <v>-643901</v>
      </c>
      <c r="Q9" t="n">
        <v>43</v>
      </c>
      <c r="R9" t="n">
        <v>35544</v>
      </c>
      <c r="S9" t="n">
        <v>0</v>
      </c>
      <c r="T9" t="n">
        <v>59.275028</v>
      </c>
      <c r="U9" t="n">
        <v>78.88816799999999</v>
      </c>
      <c r="V9" t="n">
        <v>2703658.75</v>
      </c>
      <c r="W9" t="n">
        <v>16.358349</v>
      </c>
      <c r="X9" t="n">
        <v>171.793747</v>
      </c>
      <c r="Y9" t="n">
        <v>6110.35</v>
      </c>
      <c r="Z9" t="n">
        <v>71.06</v>
      </c>
      <c r="AA9" t="n">
        <v>1711.08</v>
      </c>
      <c r="AB9" t="n">
        <v>3816.59</v>
      </c>
      <c r="AC9" t="n">
        <v>68.98999999999999</v>
      </c>
      <c r="AD9" t="n">
        <v>6303.45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667017</v>
      </c>
      <c r="G2" t="n">
        <v>147411</v>
      </c>
      <c r="H2" t="n">
        <v>184072</v>
      </c>
      <c r="I2" t="n">
        <v>-1</v>
      </c>
      <c r="J2" t="n">
        <v>29.4593</v>
      </c>
      <c r="K2" t="n">
        <v>19.2138</v>
      </c>
      <c r="L2" t="n">
        <v>24.3643</v>
      </c>
      <c r="M2" t="n">
        <v>-1</v>
      </c>
      <c r="N2" t="n">
        <v>-285030</v>
      </c>
      <c r="O2" t="n">
        <v>-181918</v>
      </c>
      <c r="P2" t="n">
        <v>-226408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14.01</v>
      </c>
      <c r="AD2" t="n">
        <v>617.36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1544410</v>
      </c>
      <c r="G3" t="n">
        <v>283234</v>
      </c>
      <c r="H3" t="n">
        <v>422082</v>
      </c>
      <c r="I3" t="n">
        <v>-1</v>
      </c>
      <c r="J3" t="n">
        <v>38.2952</v>
      </c>
      <c r="K3" t="n">
        <v>22.3794</v>
      </c>
      <c r="L3" t="n">
        <v>22.1908</v>
      </c>
      <c r="M3" t="n">
        <v>-1</v>
      </c>
      <c r="N3" t="n">
        <v>-40408.9</v>
      </c>
      <c r="O3" t="n">
        <v>-27556.9</v>
      </c>
      <c r="P3" t="n">
        <v>-28898.4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34.36</v>
      </c>
      <c r="AD3" t="n">
        <v>1036.4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370210</v>
      </c>
      <c r="G4" t="n">
        <v>85903</v>
      </c>
      <c r="H4" t="n">
        <v>82743</v>
      </c>
      <c r="I4" t="n">
        <v>-1</v>
      </c>
      <c r="J4" t="n">
        <v>11.8677</v>
      </c>
      <c r="K4" t="n">
        <v>4.08325</v>
      </c>
      <c r="L4" t="n">
        <v>4.42846</v>
      </c>
      <c r="M4" t="n">
        <v>-1</v>
      </c>
      <c r="N4" t="n">
        <v>-21466.8</v>
      </c>
      <c r="O4" t="n">
        <v>-15699.1</v>
      </c>
      <c r="P4" t="n">
        <v>-20840.2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3.87</v>
      </c>
      <c r="AD4" t="n">
        <v>832.9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369058</v>
      </c>
      <c r="G5" t="n">
        <v>126888</v>
      </c>
      <c r="H5" t="n">
        <v>122050</v>
      </c>
      <c r="I5" t="n">
        <v>-1</v>
      </c>
      <c r="J5" t="n">
        <v>6.29051</v>
      </c>
      <c r="K5" t="n">
        <v>5.08409</v>
      </c>
      <c r="L5" t="n">
        <v>4.80067</v>
      </c>
      <c r="M5" t="n">
        <v>-1</v>
      </c>
      <c r="N5" t="n">
        <v>-25592.7</v>
      </c>
      <c r="O5" t="n">
        <v>-21438.7</v>
      </c>
      <c r="P5" t="n">
        <v>-27546.9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3.6</v>
      </c>
      <c r="AD5" t="n">
        <v>483.39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2099980</v>
      </c>
      <c r="G6" t="n">
        <v>458203</v>
      </c>
      <c r="H6" t="n">
        <v>432738</v>
      </c>
      <c r="I6" t="n">
        <v>-1</v>
      </c>
      <c r="J6" t="n">
        <v>24.0106</v>
      </c>
      <c r="K6" t="n">
        <v>15.0153</v>
      </c>
      <c r="L6" t="n">
        <v>15.6736</v>
      </c>
      <c r="M6" t="n">
        <v>-1</v>
      </c>
      <c r="N6" t="n">
        <v>-67956.8</v>
      </c>
      <c r="O6" t="n">
        <v>-47106.1</v>
      </c>
      <c r="P6" t="n">
        <v>-70288.3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14.97</v>
      </c>
      <c r="AD6" t="n">
        <v>1640.89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1289310</v>
      </c>
      <c r="G7" t="n">
        <v>305015</v>
      </c>
      <c r="H7" t="n">
        <v>373353</v>
      </c>
      <c r="I7" t="n">
        <v>-1</v>
      </c>
      <c r="J7" t="n">
        <v>127.068</v>
      </c>
      <c r="K7" t="n">
        <v>108.513</v>
      </c>
      <c r="L7" t="n">
        <v>91.1665</v>
      </c>
      <c r="M7" t="n">
        <v>-1</v>
      </c>
      <c r="N7" t="n">
        <v>-61110.3</v>
      </c>
      <c r="O7" t="n">
        <v>-50296.4</v>
      </c>
      <c r="P7" t="n">
        <v>-74487.60000000001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27.01</v>
      </c>
      <c r="AD7" t="n">
        <v>1067.63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8724910</v>
      </c>
      <c r="G8" t="n">
        <v>1284326</v>
      </c>
      <c r="H8" t="n">
        <v>1504764</v>
      </c>
      <c r="I8" t="n">
        <v>-1</v>
      </c>
      <c r="J8" t="n">
        <v>158.597</v>
      </c>
      <c r="K8" t="n">
        <v>103.123</v>
      </c>
      <c r="L8" t="n">
        <v>90.78189999999999</v>
      </c>
      <c r="M8" t="n">
        <v>-1</v>
      </c>
      <c r="N8" t="n">
        <v>-316343</v>
      </c>
      <c r="O8" t="n">
        <v>-237763</v>
      </c>
      <c r="P8" t="n">
        <v>-504583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153.49</v>
      </c>
      <c r="AD8" t="n">
        <v>5110.5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7895820</v>
      </c>
      <c r="G9" t="n">
        <v>1485333</v>
      </c>
      <c r="H9" t="n">
        <v>1022252</v>
      </c>
      <c r="I9" t="n">
        <v>-1</v>
      </c>
      <c r="J9" t="n">
        <v>108.905</v>
      </c>
      <c r="K9" t="n">
        <v>69.14060000000001</v>
      </c>
      <c r="L9" t="n">
        <v>62.9823</v>
      </c>
      <c r="M9" t="n">
        <v>-1</v>
      </c>
      <c r="N9" t="n">
        <v>-480353</v>
      </c>
      <c r="O9" t="n">
        <v>-352290</v>
      </c>
      <c r="P9" t="n">
        <v>-640323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68.19</v>
      </c>
      <c r="AD9" t="n">
        <v>7072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18195100</v>
      </c>
      <c r="F2" t="n">
        <v>23833600</v>
      </c>
      <c r="G2" t="n">
        <v>12364108</v>
      </c>
      <c r="H2" t="n">
        <v>13031262</v>
      </c>
      <c r="I2" t="n">
        <v>33.817028</v>
      </c>
      <c r="J2" t="n">
        <v>29.4174</v>
      </c>
      <c r="K2" t="n">
        <v>26.8387</v>
      </c>
      <c r="L2" t="n">
        <v>24.5392</v>
      </c>
      <c r="M2" t="n">
        <v>-2530588.25</v>
      </c>
      <c r="N2" t="n">
        <v>-3675480</v>
      </c>
      <c r="O2" t="n">
        <v>-3140050</v>
      </c>
      <c r="P2" t="n">
        <v>-5275430</v>
      </c>
      <c r="Q2" t="n">
        <v>2414</v>
      </c>
      <c r="R2" t="n">
        <v>238.976807</v>
      </c>
      <c r="S2" t="n">
        <v>0</v>
      </c>
      <c r="T2" t="n">
        <v>70.164253</v>
      </c>
      <c r="U2" t="n">
        <v>62.279469</v>
      </c>
      <c r="V2" t="n">
        <v>8612898</v>
      </c>
      <c r="W2" t="n">
        <v>15.163527</v>
      </c>
      <c r="X2" t="n">
        <v>307</v>
      </c>
      <c r="Y2" t="n">
        <v>4800.17</v>
      </c>
      <c r="Z2" t="n">
        <v>577.92</v>
      </c>
      <c r="AA2" t="n">
        <v>724.37</v>
      </c>
      <c r="AB2" t="n">
        <v>2525.06</v>
      </c>
      <c r="AC2" t="n">
        <v>366.96</v>
      </c>
      <c r="AD2" t="n">
        <v>5320.69</v>
      </c>
      <c r="AE2" t="n">
        <v>-1</v>
      </c>
      <c r="AF2" t="n">
        <v>17765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7132670</v>
      </c>
      <c r="F3" t="n">
        <v>13522900</v>
      </c>
      <c r="G3" t="n">
        <v>4727963</v>
      </c>
      <c r="H3" t="n">
        <v>5776701</v>
      </c>
      <c r="I3" t="n">
        <v>9.786438</v>
      </c>
      <c r="J3" t="n">
        <v>19.9168</v>
      </c>
      <c r="K3" t="n">
        <v>6.61634</v>
      </c>
      <c r="L3" t="n">
        <v>7.57347</v>
      </c>
      <c r="M3" t="n">
        <v>-464972.5</v>
      </c>
      <c r="N3" t="n">
        <v>-1326800</v>
      </c>
      <c r="O3" t="n">
        <v>-646298</v>
      </c>
      <c r="P3" t="n">
        <v>-844211</v>
      </c>
      <c r="Q3" t="n">
        <v>3594</v>
      </c>
      <c r="R3" t="n">
        <v>339.822754</v>
      </c>
      <c r="S3" t="n">
        <v>0</v>
      </c>
      <c r="T3" t="n">
        <v>64.30574799999999</v>
      </c>
      <c r="U3" t="n">
        <v>66.95700100000001</v>
      </c>
      <c r="V3" t="n">
        <v>10619197</v>
      </c>
      <c r="W3" t="n">
        <v>16.853754</v>
      </c>
      <c r="X3" t="n">
        <v>249.387497</v>
      </c>
      <c r="Y3" t="n">
        <v>6265.12</v>
      </c>
      <c r="Z3" t="n">
        <v>894.4299999999999</v>
      </c>
      <c r="AA3" t="n">
        <v>1811.87</v>
      </c>
      <c r="AB3" t="n">
        <v>3306.01</v>
      </c>
      <c r="AC3" t="n">
        <v>276.49</v>
      </c>
      <c r="AD3" t="n">
        <v>6731.11</v>
      </c>
      <c r="AE3" t="n">
        <v>-1</v>
      </c>
      <c r="AF3" t="n">
        <v>31087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916507</v>
      </c>
      <c r="F4" t="n">
        <v>2829460</v>
      </c>
      <c r="G4" t="n">
        <v>1121030</v>
      </c>
      <c r="H4" t="n">
        <v>1461994</v>
      </c>
      <c r="I4" t="n">
        <v>105.680069</v>
      </c>
      <c r="J4" t="n">
        <v>90.5446</v>
      </c>
      <c r="K4" t="n">
        <v>83.7561</v>
      </c>
      <c r="L4" t="n">
        <v>74.0033</v>
      </c>
      <c r="M4" t="n">
        <v>-325064.75</v>
      </c>
      <c r="N4" t="n">
        <v>-540355</v>
      </c>
      <c r="O4" t="n">
        <v>-400527</v>
      </c>
      <c r="P4" t="n">
        <v>-401258</v>
      </c>
      <c r="Q4" t="n">
        <v>455</v>
      </c>
      <c r="R4" t="n">
        <v>1092.270386</v>
      </c>
      <c r="S4" t="n">
        <v>0</v>
      </c>
      <c r="T4" t="n">
        <v>65.434082</v>
      </c>
      <c r="U4" t="n">
        <v>70.14656100000001</v>
      </c>
      <c r="V4" t="n">
        <v>1600912.5</v>
      </c>
      <c r="W4" t="n">
        <v>14.376785</v>
      </c>
      <c r="X4" t="n">
        <v>102.002831</v>
      </c>
      <c r="Y4" t="n">
        <v>875.21</v>
      </c>
      <c r="Z4" t="n">
        <v>151.6</v>
      </c>
      <c r="AA4" t="n">
        <v>375.63</v>
      </c>
      <c r="AB4" t="n">
        <v>303.49</v>
      </c>
      <c r="AC4" t="n">
        <v>100.6</v>
      </c>
      <c r="AD4" t="n">
        <v>1014.97</v>
      </c>
      <c r="AE4" t="n">
        <v>-1</v>
      </c>
      <c r="AF4" t="n">
        <v>5704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success</t>
        </is>
      </c>
      <c r="E5" t="n">
        <v>11544000</v>
      </c>
      <c r="F5" t="n">
        <v>33225800</v>
      </c>
      <c r="G5" t="n">
        <v>7777679</v>
      </c>
      <c r="H5" t="n">
        <v>9142528</v>
      </c>
      <c r="I5" t="n">
        <v>12.601167</v>
      </c>
      <c r="J5" t="n">
        <v>18.2439</v>
      </c>
      <c r="K5" t="n">
        <v>6.5971</v>
      </c>
      <c r="L5" t="n">
        <v>8.518330000000001</v>
      </c>
      <c r="M5" t="n">
        <v>-1493683.5</v>
      </c>
      <c r="N5" t="n">
        <v>-1608490</v>
      </c>
      <c r="O5" t="n">
        <v>-924832</v>
      </c>
      <c r="P5" t="n">
        <v>-1273210</v>
      </c>
      <c r="Q5" t="n">
        <v>10730</v>
      </c>
      <c r="R5" t="n">
        <v>512.589355</v>
      </c>
      <c r="S5" t="n">
        <v>0</v>
      </c>
      <c r="T5" t="n">
        <v>63.84795</v>
      </c>
      <c r="U5" t="n">
        <v>81.375809</v>
      </c>
      <c r="V5" t="n">
        <v>29032264</v>
      </c>
      <c r="W5" t="n">
        <v>26.695427</v>
      </c>
      <c r="X5" t="n">
        <v>205</v>
      </c>
      <c r="Y5" t="n">
        <v>11576.24</v>
      </c>
      <c r="Z5" t="n">
        <v>934.0700000000001</v>
      </c>
      <c r="AA5" t="n">
        <v>4395.76</v>
      </c>
      <c r="AB5" t="n">
        <v>5968.29</v>
      </c>
      <c r="AC5" t="n">
        <v>920.17</v>
      </c>
      <c r="AD5" t="n">
        <v>12689.31</v>
      </c>
      <c r="AE5" t="n">
        <v>-1</v>
      </c>
      <c r="AF5" t="n">
        <v>30851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4638380</v>
      </c>
      <c r="F6" t="n">
        <v>6024330</v>
      </c>
      <c r="G6" t="n">
        <v>2786156</v>
      </c>
      <c r="H6" t="n">
        <v>3793054</v>
      </c>
      <c r="I6" t="n">
        <v>12.975953</v>
      </c>
      <c r="J6" t="n">
        <v>17.1846</v>
      </c>
      <c r="K6" t="n">
        <v>12.0674</v>
      </c>
      <c r="L6" t="n">
        <v>12.0606</v>
      </c>
      <c r="M6" t="n">
        <v>-1009382.3125</v>
      </c>
      <c r="N6" t="n">
        <v>-2097650</v>
      </c>
      <c r="O6" t="n">
        <v>-1616860</v>
      </c>
      <c r="P6" t="n">
        <v>-1788370</v>
      </c>
      <c r="Q6" t="n">
        <v>499</v>
      </c>
      <c r="R6" t="n">
        <v>117.551102</v>
      </c>
      <c r="S6" t="n">
        <v>0</v>
      </c>
      <c r="T6" t="n">
        <v>74.30748699999999</v>
      </c>
      <c r="U6" t="n">
        <v>66.015541</v>
      </c>
      <c r="V6" t="n">
        <v>1601173.75</v>
      </c>
      <c r="W6" t="n">
        <v>8.394272000000001</v>
      </c>
      <c r="X6" t="n">
        <v>155.999893</v>
      </c>
      <c r="Y6" t="n">
        <v>1686.89</v>
      </c>
      <c r="Z6" t="n">
        <v>256.33</v>
      </c>
      <c r="AA6" t="n">
        <v>388.49</v>
      </c>
      <c r="AB6" t="n">
        <v>654.4</v>
      </c>
      <c r="AC6" t="n">
        <v>222.06</v>
      </c>
      <c r="AD6" t="n">
        <v>1979.21</v>
      </c>
      <c r="AE6" t="n">
        <v>-1</v>
      </c>
      <c r="AF6" t="n">
        <v>7804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4242630</v>
      </c>
      <c r="F7" t="n">
        <v>2343940</v>
      </c>
      <c r="G7" t="n">
        <v>1592178</v>
      </c>
      <c r="H7" t="n">
        <v>2054269</v>
      </c>
      <c r="I7" t="n">
        <v>13.590054</v>
      </c>
      <c r="J7" t="n">
        <v>11.6156</v>
      </c>
      <c r="K7" t="n">
        <v>7.9194</v>
      </c>
      <c r="L7" t="n">
        <v>8.52983</v>
      </c>
      <c r="M7" t="n">
        <v>-298553.875</v>
      </c>
      <c r="N7" t="n">
        <v>-754115</v>
      </c>
      <c r="O7" t="n">
        <v>-632086</v>
      </c>
      <c r="P7" t="n">
        <v>-844390</v>
      </c>
      <c r="Q7" t="n">
        <v>931</v>
      </c>
      <c r="R7" t="n">
        <v>3784.742188</v>
      </c>
      <c r="S7" t="n">
        <v>0</v>
      </c>
      <c r="T7" t="n">
        <v>87.818466</v>
      </c>
      <c r="U7" t="n">
        <v>56.954414</v>
      </c>
      <c r="V7" t="n">
        <v>475127.375</v>
      </c>
      <c r="W7" t="n">
        <v>1.859758</v>
      </c>
      <c r="X7" t="n">
        <v>86.00000799999999</v>
      </c>
      <c r="Y7" t="n">
        <v>1285.86</v>
      </c>
      <c r="Z7" t="n">
        <v>240.9</v>
      </c>
      <c r="AA7" t="n">
        <v>337.43</v>
      </c>
      <c r="AB7" t="n">
        <v>488.37</v>
      </c>
      <c r="AC7" t="n">
        <v>184.14</v>
      </c>
      <c r="AD7" t="n">
        <v>1534.2</v>
      </c>
      <c r="AE7" t="n">
        <v>-1</v>
      </c>
      <c r="AF7" t="n">
        <v>10500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1493640</v>
      </c>
      <c r="F8" t="n">
        <v>1044310</v>
      </c>
      <c r="G8" t="n">
        <v>721856</v>
      </c>
      <c r="H8" t="n">
        <v>998849</v>
      </c>
      <c r="I8" t="n">
        <v>9.062994</v>
      </c>
      <c r="J8" t="n">
        <v>8.369820000000001</v>
      </c>
      <c r="K8" t="n">
        <v>6.68706</v>
      </c>
      <c r="L8" t="n">
        <v>7.12</v>
      </c>
      <c r="M8" t="n">
        <v>-62537.226562</v>
      </c>
      <c r="N8" t="n">
        <v>-319481</v>
      </c>
      <c r="O8" t="n">
        <v>-206563</v>
      </c>
      <c r="P8" t="n">
        <v>-286152</v>
      </c>
      <c r="Q8" t="n">
        <v>348</v>
      </c>
      <c r="R8" t="n">
        <v>4157.911133</v>
      </c>
      <c r="S8" t="n">
        <v>0</v>
      </c>
      <c r="T8" t="n">
        <v>68.75528</v>
      </c>
      <c r="U8" t="n">
        <v>58.074261</v>
      </c>
      <c r="V8" t="n">
        <v>245639.4375</v>
      </c>
      <c r="W8" t="n">
        <v>2.26204</v>
      </c>
      <c r="X8" t="n">
        <v>124.634109</v>
      </c>
      <c r="Y8" t="n">
        <v>510.3</v>
      </c>
      <c r="Z8" t="n">
        <v>97.48999999999999</v>
      </c>
      <c r="AA8" t="n">
        <v>139.03</v>
      </c>
      <c r="AB8" t="n">
        <v>184.33</v>
      </c>
      <c r="AC8" t="n">
        <v>90.47</v>
      </c>
      <c r="AD8" t="n">
        <v>636.3200000000001</v>
      </c>
      <c r="AE8" t="n">
        <v>-1</v>
      </c>
      <c r="AF8" t="n">
        <v>5290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2619140</v>
      </c>
      <c r="F9" t="n">
        <v>1818370</v>
      </c>
      <c r="G9" t="n">
        <v>1409463</v>
      </c>
      <c r="H9" t="n">
        <v>1639232</v>
      </c>
      <c r="I9" t="n">
        <v>15.334746</v>
      </c>
      <c r="J9" t="n">
        <v>18.1841</v>
      </c>
      <c r="K9" t="n">
        <v>15.229</v>
      </c>
      <c r="L9" t="n">
        <v>16.1553</v>
      </c>
      <c r="M9" t="n">
        <v>-1132856.75</v>
      </c>
      <c r="N9" t="n">
        <v>-1886450</v>
      </c>
      <c r="O9" t="n">
        <v>-1659320</v>
      </c>
      <c r="P9" t="n">
        <v>-1853010</v>
      </c>
      <c r="Q9" t="n">
        <v>437</v>
      </c>
      <c r="R9" t="n">
        <v>58.972542</v>
      </c>
      <c r="S9" t="n">
        <v>0</v>
      </c>
      <c r="T9" t="n">
        <v>82.084267</v>
      </c>
      <c r="U9" t="n">
        <v>47.010143</v>
      </c>
      <c r="V9" t="n">
        <v>273263.84375</v>
      </c>
      <c r="W9" t="n">
        <v>1.350111</v>
      </c>
      <c r="X9" t="n">
        <v>129.000107</v>
      </c>
      <c r="Y9" t="n">
        <v>966.2</v>
      </c>
      <c r="Z9" t="n">
        <v>244.26</v>
      </c>
      <c r="AA9" t="n">
        <v>373.66</v>
      </c>
      <c r="AB9" t="n">
        <v>251.09</v>
      </c>
      <c r="AC9" t="n">
        <v>80.95999999999999</v>
      </c>
      <c r="AD9" t="n">
        <v>1100.23</v>
      </c>
      <c r="AE9" t="n">
        <v>-1</v>
      </c>
      <c r="AF9" t="n">
        <v>7874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2136730</v>
      </c>
      <c r="F10" t="n">
        <v>10054900</v>
      </c>
      <c r="G10" t="n">
        <v>2153680</v>
      </c>
      <c r="H10" t="n">
        <v>2808838</v>
      </c>
      <c r="I10" t="n">
        <v>1154.181641</v>
      </c>
      <c r="J10" t="n">
        <v>1871.46</v>
      </c>
      <c r="K10" t="n">
        <v>940.802</v>
      </c>
      <c r="L10" t="n">
        <v>850.024</v>
      </c>
      <c r="M10" t="n">
        <v>-738173.25</v>
      </c>
      <c r="N10" t="n">
        <v>-1635760</v>
      </c>
      <c r="O10" t="n">
        <v>-995660</v>
      </c>
      <c r="P10" t="n">
        <v>-1174690</v>
      </c>
      <c r="Q10" t="n">
        <v>1985</v>
      </c>
      <c r="R10" t="n">
        <v>860.6604610000001</v>
      </c>
      <c r="S10" t="n">
        <v>0</v>
      </c>
      <c r="T10" t="n">
        <v>45.854397</v>
      </c>
      <c r="U10" t="n">
        <v>80.66604599999999</v>
      </c>
      <c r="V10" t="n">
        <v>6939936</v>
      </c>
      <c r="W10" t="n">
        <v>25.255785</v>
      </c>
      <c r="X10" t="n">
        <v>151.728149</v>
      </c>
      <c r="Y10" t="n">
        <v>2838.36</v>
      </c>
      <c r="Z10" t="n">
        <v>353.65</v>
      </c>
      <c r="AA10" t="n">
        <v>769.42</v>
      </c>
      <c r="AB10" t="n">
        <v>1605.18</v>
      </c>
      <c r="AC10" t="n">
        <v>200.02</v>
      </c>
      <c r="AD10" t="n">
        <v>3125</v>
      </c>
      <c r="AE10" t="n">
        <v>-1</v>
      </c>
      <c r="AF10" t="n">
        <v>13986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2136800</v>
      </c>
      <c r="F11" t="n">
        <v>2633700</v>
      </c>
      <c r="G11" t="n">
        <v>1378122</v>
      </c>
      <c r="H11" t="n">
        <v>1990550</v>
      </c>
      <c r="I11" t="n">
        <v>11.721272</v>
      </c>
      <c r="J11" t="n">
        <v>14.7737</v>
      </c>
      <c r="K11" t="n">
        <v>11.0654</v>
      </c>
      <c r="L11" t="n">
        <v>11.1021</v>
      </c>
      <c r="M11" t="n">
        <v>-541573.0625</v>
      </c>
      <c r="N11" t="n">
        <v>-1046760</v>
      </c>
      <c r="O11" t="n">
        <v>-840115</v>
      </c>
      <c r="P11" t="n">
        <v>-913329</v>
      </c>
      <c r="Q11" t="n">
        <v>551</v>
      </c>
      <c r="R11" t="n">
        <v>113.577133</v>
      </c>
      <c r="S11" t="n">
        <v>0</v>
      </c>
      <c r="T11" t="n">
        <v>75.094269</v>
      </c>
      <c r="U11" t="n">
        <v>72.49906900000001</v>
      </c>
      <c r="V11" t="n">
        <v>720839.4375</v>
      </c>
      <c r="W11" t="n">
        <v>6.520542</v>
      </c>
      <c r="X11" t="n">
        <v>99.63273599999999</v>
      </c>
      <c r="Y11" t="n">
        <v>873.5700000000001</v>
      </c>
      <c r="Z11" t="n">
        <v>143.6</v>
      </c>
      <c r="AA11" t="n">
        <v>229.95</v>
      </c>
      <c r="AB11" t="n">
        <v>277.97</v>
      </c>
      <c r="AC11" t="n">
        <v>130.89</v>
      </c>
      <c r="AD11" t="n">
        <v>1048.35</v>
      </c>
      <c r="AE11" t="n">
        <v>-1</v>
      </c>
      <c r="AF11" t="n">
        <v>4535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17002400</v>
      </c>
      <c r="F12" t="n">
        <v>33922100</v>
      </c>
      <c r="G12" t="n">
        <v>11845584</v>
      </c>
      <c r="H12" t="n">
        <v>12640194</v>
      </c>
      <c r="I12" t="n">
        <v>9.865313</v>
      </c>
      <c r="J12" t="n">
        <v>29.8123</v>
      </c>
      <c r="K12" t="n">
        <v>11.9448</v>
      </c>
      <c r="L12" t="n">
        <v>12.0653</v>
      </c>
      <c r="M12" t="n">
        <v>-330306.59375</v>
      </c>
      <c r="N12" t="n">
        <v>-2649600</v>
      </c>
      <c r="O12" t="n">
        <v>-1839670</v>
      </c>
      <c r="P12" t="n">
        <v>-2422690</v>
      </c>
      <c r="Q12" t="n">
        <v>21513</v>
      </c>
      <c r="R12" t="n">
        <v>406.422241</v>
      </c>
      <c r="S12" t="n">
        <v>0</v>
      </c>
      <c r="T12" t="n">
        <v>47.718811</v>
      </c>
      <c r="U12" t="n">
        <v>81.27851099999999</v>
      </c>
      <c r="V12" t="n">
        <v>26173680</v>
      </c>
      <c r="W12" t="n">
        <v>28.113844</v>
      </c>
      <c r="X12" t="n">
        <v>446.930481</v>
      </c>
      <c r="Y12" t="n">
        <v>13186.21</v>
      </c>
      <c r="Z12" t="n">
        <v>863.25</v>
      </c>
      <c r="AA12" t="n">
        <v>3948.58</v>
      </c>
      <c r="AB12" t="n">
        <v>7929.52</v>
      </c>
      <c r="AC12" t="n">
        <v>1929.56</v>
      </c>
      <c r="AD12" t="n">
        <v>15375.29</v>
      </c>
      <c r="AE12" t="n">
        <v>-1</v>
      </c>
      <c r="AF12" t="n">
        <v>58622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9508970</v>
      </c>
      <c r="F13" t="n">
        <v>9227590</v>
      </c>
      <c r="G13" t="n">
        <v>4220323</v>
      </c>
      <c r="H13" t="n">
        <v>4954009</v>
      </c>
      <c r="I13" t="n">
        <v>13.827102</v>
      </c>
      <c r="J13" t="n">
        <v>16.4144</v>
      </c>
      <c r="K13" t="n">
        <v>8.20876</v>
      </c>
      <c r="L13" t="n">
        <v>8.382059999999999</v>
      </c>
      <c r="M13" t="n">
        <v>-740222.125</v>
      </c>
      <c r="N13" t="n">
        <v>-2057490</v>
      </c>
      <c r="O13" t="n">
        <v>-1261640</v>
      </c>
      <c r="P13" t="n">
        <v>-1595110</v>
      </c>
      <c r="Q13" t="n">
        <v>212</v>
      </c>
      <c r="R13" t="n">
        <v>561.35376</v>
      </c>
      <c r="S13" t="n">
        <v>0</v>
      </c>
      <c r="T13" t="n">
        <v>51.873867</v>
      </c>
      <c r="U13" t="n">
        <v>48.686508</v>
      </c>
      <c r="V13" t="n">
        <v>3233684.5</v>
      </c>
      <c r="W13" t="n">
        <v>6.598441</v>
      </c>
      <c r="X13" t="n">
        <v>238.906296</v>
      </c>
      <c r="Y13" t="n">
        <v>3635.61</v>
      </c>
      <c r="Z13" t="n">
        <v>580.95</v>
      </c>
      <c r="AA13" t="n">
        <v>623.33</v>
      </c>
      <c r="AB13" t="n">
        <v>2033.45</v>
      </c>
      <c r="AC13" t="n">
        <v>175.63</v>
      </c>
      <c r="AD13" t="n">
        <v>3933.73</v>
      </c>
      <c r="AE13" t="n">
        <v>-1</v>
      </c>
      <c r="AF13" t="n">
        <v>35024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7623080</v>
      </c>
      <c r="F14" t="n">
        <v>4776300</v>
      </c>
      <c r="G14" t="n">
        <v>3475779</v>
      </c>
      <c r="H14" t="n">
        <v>4376095</v>
      </c>
      <c r="I14" t="n">
        <v>13.776034</v>
      </c>
      <c r="J14" t="n">
        <v>13.8602</v>
      </c>
      <c r="K14" t="n">
        <v>9.145910000000001</v>
      </c>
      <c r="L14" t="n">
        <v>9.21411</v>
      </c>
      <c r="M14" t="n">
        <v>-2764166.5</v>
      </c>
      <c r="N14" t="n">
        <v>-3829120</v>
      </c>
      <c r="O14" t="n">
        <v>-3138010</v>
      </c>
      <c r="P14" t="n">
        <v>-3342560</v>
      </c>
      <c r="Q14" t="n">
        <v>1756</v>
      </c>
      <c r="R14" t="n">
        <v>65.05068199999999</v>
      </c>
      <c r="S14" t="n">
        <v>0</v>
      </c>
      <c r="T14" t="n">
        <v>89.043594</v>
      </c>
      <c r="U14" t="n">
        <v>54.326038</v>
      </c>
      <c r="V14" t="n">
        <v>785187.8125</v>
      </c>
      <c r="W14" t="n">
        <v>1.433955</v>
      </c>
      <c r="X14" t="n">
        <v>50.000107</v>
      </c>
      <c r="Y14" t="n">
        <v>4804.57</v>
      </c>
      <c r="Z14" t="n">
        <v>867.3099999999999</v>
      </c>
      <c r="AA14" t="n">
        <v>1634.94</v>
      </c>
      <c r="AB14" t="n">
        <v>2053.91</v>
      </c>
      <c r="AC14" t="n">
        <v>331.31</v>
      </c>
      <c r="AD14" t="n">
        <v>5324.61</v>
      </c>
      <c r="AE14" t="n">
        <v>-1</v>
      </c>
      <c r="AF14" t="n">
        <v>24971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3042040</v>
      </c>
      <c r="F15" t="n">
        <v>2433280</v>
      </c>
      <c r="G15" t="n">
        <v>1648946</v>
      </c>
      <c r="H15" t="n">
        <v>2187207</v>
      </c>
      <c r="I15" t="n">
        <v>5.932503</v>
      </c>
      <c r="J15" t="n">
        <v>7.09658</v>
      </c>
      <c r="K15" t="n">
        <v>6.38213</v>
      </c>
      <c r="L15" t="n">
        <v>7.34406</v>
      </c>
      <c r="M15" t="n">
        <v>-240804.484375</v>
      </c>
      <c r="N15" t="n">
        <v>-466876</v>
      </c>
      <c r="O15" t="n">
        <v>-350578</v>
      </c>
      <c r="P15" t="n">
        <v>-469363</v>
      </c>
      <c r="Q15" t="n">
        <v>1553</v>
      </c>
      <c r="R15" t="n">
        <v>1706.381836</v>
      </c>
      <c r="S15" t="n">
        <v>0</v>
      </c>
      <c r="T15" t="n">
        <v>82.038994</v>
      </c>
      <c r="U15" t="n">
        <v>47.549713</v>
      </c>
      <c r="V15" t="n">
        <v>495928.125</v>
      </c>
      <c r="W15" t="n">
        <v>1.926084</v>
      </c>
      <c r="X15" t="n">
        <v>168.000198</v>
      </c>
      <c r="Y15" t="n">
        <v>1274.71</v>
      </c>
      <c r="Z15" t="n">
        <v>257.64</v>
      </c>
      <c r="AA15" t="n">
        <v>380.05</v>
      </c>
      <c r="AB15" t="n">
        <v>421.42</v>
      </c>
      <c r="AC15" t="n">
        <v>147.31</v>
      </c>
      <c r="AD15" t="n">
        <v>1492.84</v>
      </c>
      <c r="AE15" t="n">
        <v>-1</v>
      </c>
      <c r="AF15" t="n">
        <v>8307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996681</v>
      </c>
      <c r="F16" t="n">
        <v>793908</v>
      </c>
      <c r="G16" t="n">
        <v>544386</v>
      </c>
      <c r="H16" t="n">
        <v>708897</v>
      </c>
      <c r="I16" t="n">
        <v>6.448141</v>
      </c>
      <c r="J16" t="n">
        <v>9.06729</v>
      </c>
      <c r="K16" t="n">
        <v>8.36586</v>
      </c>
      <c r="L16" t="n">
        <v>8.55062</v>
      </c>
      <c r="M16" t="n">
        <v>-45179.203125</v>
      </c>
      <c r="N16" t="n">
        <v>-135337</v>
      </c>
      <c r="O16" t="n">
        <v>-82781.3</v>
      </c>
      <c r="P16" t="n">
        <v>-120630</v>
      </c>
      <c r="Q16" t="n">
        <v>373</v>
      </c>
      <c r="R16" t="n">
        <v>74.605896</v>
      </c>
      <c r="S16" t="n">
        <v>0</v>
      </c>
      <c r="T16" t="n">
        <v>85.44899700000001</v>
      </c>
      <c r="U16" t="n">
        <v>49.399712</v>
      </c>
      <c r="V16" t="n">
        <v>122950.648438</v>
      </c>
      <c r="W16" t="n">
        <v>1.415259</v>
      </c>
      <c r="X16" t="n">
        <v>171.000198</v>
      </c>
      <c r="Y16" t="n">
        <v>493.23</v>
      </c>
      <c r="Z16" t="n">
        <v>72.98</v>
      </c>
      <c r="AA16" t="n">
        <v>253.08</v>
      </c>
      <c r="AB16" t="n">
        <v>80.38</v>
      </c>
      <c r="AC16" t="n">
        <v>36.65</v>
      </c>
      <c r="AD16" t="n">
        <v>559.12</v>
      </c>
      <c r="AE16" t="n">
        <v>-1</v>
      </c>
      <c r="AF16" t="n">
        <v>3629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3178560</v>
      </c>
      <c r="F17" t="n">
        <v>3345310</v>
      </c>
      <c r="G17" t="n">
        <v>2423240</v>
      </c>
      <c r="H17" t="n">
        <v>3011522</v>
      </c>
      <c r="I17" t="n">
        <v>15.929359</v>
      </c>
      <c r="J17" t="n">
        <v>14.7806</v>
      </c>
      <c r="K17" t="n">
        <v>10.2982</v>
      </c>
      <c r="L17" t="n">
        <v>10.6498</v>
      </c>
      <c r="M17" t="n">
        <v>-656989.3125</v>
      </c>
      <c r="N17" t="n">
        <v>-868119</v>
      </c>
      <c r="O17" t="n">
        <v>-608989</v>
      </c>
      <c r="P17" t="n">
        <v>-766028</v>
      </c>
      <c r="Q17" t="n">
        <v>1744</v>
      </c>
      <c r="R17" t="n">
        <v>829.013184</v>
      </c>
      <c r="S17" t="n">
        <v>0</v>
      </c>
      <c r="T17" t="n">
        <v>79.561043</v>
      </c>
      <c r="U17" t="n">
        <v>47.131996</v>
      </c>
      <c r="V17" t="n">
        <v>328687.5</v>
      </c>
      <c r="W17" t="n">
        <v>1.546386</v>
      </c>
      <c r="X17" t="n">
        <v>220</v>
      </c>
      <c r="Y17" t="n">
        <v>1479.65</v>
      </c>
      <c r="Z17" t="n">
        <v>235.16</v>
      </c>
      <c r="AA17" t="n">
        <v>646.55</v>
      </c>
      <c r="AB17" t="n">
        <v>378.73</v>
      </c>
      <c r="AC17" t="n">
        <v>163.07</v>
      </c>
      <c r="AD17" t="n">
        <v>1705.67</v>
      </c>
      <c r="AE17" t="n">
        <v>-1</v>
      </c>
      <c r="AF17" t="n">
        <v>7756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1640210</v>
      </c>
      <c r="F18" t="n">
        <v>1680840</v>
      </c>
      <c r="G18" t="n">
        <v>1111323</v>
      </c>
      <c r="H18" t="n">
        <v>1474282</v>
      </c>
      <c r="I18" t="n">
        <v>1257.798096</v>
      </c>
      <c r="J18" t="n">
        <v>977.581</v>
      </c>
      <c r="K18" t="n">
        <v>908.235</v>
      </c>
      <c r="L18" t="n">
        <v>804.6950000000001</v>
      </c>
      <c r="M18" t="n">
        <v>-382136.90625</v>
      </c>
      <c r="N18" t="n">
        <v>-486850</v>
      </c>
      <c r="O18" t="n">
        <v>-414443</v>
      </c>
      <c r="P18" t="n">
        <v>-485818</v>
      </c>
      <c r="Q18" t="n">
        <v>2019</v>
      </c>
      <c r="R18" t="n">
        <v>100.346214</v>
      </c>
      <c r="S18" t="n">
        <v>0</v>
      </c>
      <c r="T18" t="n">
        <v>68.813438</v>
      </c>
      <c r="U18" t="n">
        <v>59.737217</v>
      </c>
      <c r="V18" t="n">
        <v>320873.4375</v>
      </c>
      <c r="W18" t="n">
        <v>2.328004</v>
      </c>
      <c r="X18" t="n">
        <v>129.999893</v>
      </c>
      <c r="Y18" t="n">
        <v>897.09</v>
      </c>
      <c r="Z18" t="n">
        <v>180.73</v>
      </c>
      <c r="AA18" t="n">
        <v>190.32</v>
      </c>
      <c r="AB18" t="n">
        <v>422.63</v>
      </c>
      <c r="AC18" t="n">
        <v>103.35</v>
      </c>
      <c r="AD18" t="n">
        <v>1051.24</v>
      </c>
      <c r="AE18" t="n">
        <v>-1</v>
      </c>
      <c r="AF18" t="n">
        <v>7333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12620000</v>
      </c>
      <c r="F19" t="n">
        <v>9917450</v>
      </c>
      <c r="G19" t="n">
        <v>5012589</v>
      </c>
      <c r="H19" t="n">
        <v>5975344</v>
      </c>
      <c r="I19" t="n">
        <v>25.108023</v>
      </c>
      <c r="J19" t="n">
        <v>32.4888</v>
      </c>
      <c r="K19" t="n">
        <v>18.2419</v>
      </c>
      <c r="L19" t="n">
        <v>18.454</v>
      </c>
      <c r="M19" t="n">
        <v>-5511109.5</v>
      </c>
      <c r="N19" t="n">
        <v>-7951530</v>
      </c>
      <c r="O19" t="n">
        <v>-4486740</v>
      </c>
      <c r="P19" t="n">
        <v>-4978120</v>
      </c>
      <c r="Q19" t="n">
        <v>238</v>
      </c>
      <c r="R19" t="n">
        <v>114.869751</v>
      </c>
      <c r="S19" t="n">
        <v>0</v>
      </c>
      <c r="T19" t="n">
        <v>80.55025500000001</v>
      </c>
      <c r="U19" t="n">
        <v>68.102158</v>
      </c>
      <c r="V19" t="n">
        <v>2907290</v>
      </c>
      <c r="W19" t="n">
        <v>3.823309</v>
      </c>
      <c r="X19" t="n">
        <v>444.000183</v>
      </c>
      <c r="Y19" t="n">
        <v>7728.66</v>
      </c>
      <c r="Z19" t="n">
        <v>909.62</v>
      </c>
      <c r="AA19" t="n">
        <v>2493.44</v>
      </c>
      <c r="AB19" t="n">
        <v>3902.61</v>
      </c>
      <c r="AC19" t="n">
        <v>282.91</v>
      </c>
      <c r="AD19" t="n">
        <v>8348.68</v>
      </c>
      <c r="AE19" t="n">
        <v>-1</v>
      </c>
      <c r="AF19" t="n">
        <v>42127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916339</v>
      </c>
      <c r="F20" t="n">
        <v>838191</v>
      </c>
      <c r="G20" t="n">
        <v>685219</v>
      </c>
      <c r="H20" t="n">
        <v>934869</v>
      </c>
      <c r="I20" t="n">
        <v>10.275757</v>
      </c>
      <c r="J20" t="n">
        <v>9.58358</v>
      </c>
      <c r="K20" t="n">
        <v>8.12636</v>
      </c>
      <c r="L20" t="n">
        <v>8.287419999999999</v>
      </c>
      <c r="M20" t="n">
        <v>-412563.96875</v>
      </c>
      <c r="N20" t="n">
        <v>-684855</v>
      </c>
      <c r="O20" t="n">
        <v>-543705</v>
      </c>
      <c r="P20" t="n">
        <v>-598514</v>
      </c>
      <c r="Q20" t="n">
        <v>32</v>
      </c>
      <c r="R20" t="n">
        <v>88.6875</v>
      </c>
      <c r="S20" t="n">
        <v>0</v>
      </c>
      <c r="T20" t="n">
        <v>81.852951</v>
      </c>
      <c r="U20" t="n">
        <v>52.317478</v>
      </c>
      <c r="V20" t="n">
        <v>145779.515625</v>
      </c>
      <c r="W20" t="n">
        <v>1.584991</v>
      </c>
      <c r="X20" t="n">
        <v>30.000198</v>
      </c>
      <c r="Y20" t="n">
        <v>507.37</v>
      </c>
      <c r="Z20" t="n">
        <v>112.59</v>
      </c>
      <c r="AA20" t="n">
        <v>242.86</v>
      </c>
      <c r="AB20" t="n">
        <v>110.01</v>
      </c>
      <c r="AC20" t="n">
        <v>50.06</v>
      </c>
      <c r="AD20" t="n">
        <v>588.53</v>
      </c>
      <c r="AE20" t="n">
        <v>-1</v>
      </c>
      <c r="AF20" t="n">
        <v>4268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3798750</v>
      </c>
      <c r="F21" t="n">
        <v>7886070</v>
      </c>
      <c r="G21" t="n">
        <v>3987228</v>
      </c>
      <c r="H21" t="n">
        <v>5008695</v>
      </c>
      <c r="I21" t="n">
        <v>12.748837</v>
      </c>
      <c r="J21" t="n">
        <v>19.0451</v>
      </c>
      <c r="K21" t="n">
        <v>12.2086</v>
      </c>
      <c r="L21" t="n">
        <v>12.6172</v>
      </c>
      <c r="M21" t="n">
        <v>-520722.3125</v>
      </c>
      <c r="N21" t="n">
        <v>-1038540</v>
      </c>
      <c r="O21" t="n">
        <v>-743203</v>
      </c>
      <c r="P21" t="n">
        <v>-1040900</v>
      </c>
      <c r="Q21" t="n">
        <v>936</v>
      </c>
      <c r="R21" t="n">
        <v>590.8910519999999</v>
      </c>
      <c r="S21" t="n">
        <v>0</v>
      </c>
      <c r="T21" t="n">
        <v>94.127075</v>
      </c>
      <c r="U21" t="n">
        <v>73.94010900000001</v>
      </c>
      <c r="V21" t="n">
        <v>3721715.5</v>
      </c>
      <c r="W21" t="n">
        <v>12.396627</v>
      </c>
      <c r="X21" t="n">
        <v>192.912689</v>
      </c>
      <c r="Y21" t="n">
        <v>6605.82</v>
      </c>
      <c r="Z21" t="n">
        <v>419.16</v>
      </c>
      <c r="AA21" t="n">
        <v>4629.35</v>
      </c>
      <c r="AB21" t="n">
        <v>1449.47</v>
      </c>
      <c r="AC21" t="n">
        <v>566.28</v>
      </c>
      <c r="AD21" t="n">
        <v>7252.89</v>
      </c>
      <c r="AE21" t="n">
        <v>-1</v>
      </c>
      <c r="AF21" t="n">
        <v>13643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3240650</v>
      </c>
      <c r="F22" t="n">
        <v>2583860</v>
      </c>
      <c r="G22" t="n">
        <v>1565315</v>
      </c>
      <c r="H22" t="n">
        <v>1879570</v>
      </c>
      <c r="I22" t="n">
        <v>10.170014</v>
      </c>
      <c r="J22" t="n">
        <v>10.2336</v>
      </c>
      <c r="K22" t="n">
        <v>7.76216</v>
      </c>
      <c r="L22" t="n">
        <v>7.90906</v>
      </c>
      <c r="M22" t="n">
        <v>-150517.65625</v>
      </c>
      <c r="N22" t="n">
        <v>-655919</v>
      </c>
      <c r="O22" t="n">
        <v>-471235</v>
      </c>
      <c r="P22" t="n">
        <v>-590765</v>
      </c>
      <c r="Q22" t="n">
        <v>751</v>
      </c>
      <c r="R22" t="n">
        <v>863.243652</v>
      </c>
      <c r="S22" t="n">
        <v>0</v>
      </c>
      <c r="T22" t="n">
        <v>48.449062</v>
      </c>
      <c r="U22" t="n">
        <v>61.353592</v>
      </c>
      <c r="V22" t="n">
        <v>1134625</v>
      </c>
      <c r="W22" t="n">
        <v>4.84516</v>
      </c>
      <c r="X22" t="n">
        <v>86.908142</v>
      </c>
      <c r="Y22" t="n">
        <v>1784.97</v>
      </c>
      <c r="Z22" t="n">
        <v>223.65</v>
      </c>
      <c r="AA22" t="n">
        <v>317.16</v>
      </c>
      <c r="AB22" t="n">
        <v>1028.52</v>
      </c>
      <c r="AC22" t="n">
        <v>100.01</v>
      </c>
      <c r="AD22" t="n">
        <v>1945.15</v>
      </c>
      <c r="AE22" t="n">
        <v>-1</v>
      </c>
      <c r="AF22" t="n">
        <v>18788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664798</v>
      </c>
      <c r="F23" t="n">
        <v>660736</v>
      </c>
      <c r="G23" t="n">
        <v>500819</v>
      </c>
      <c r="H23" t="n">
        <v>567771</v>
      </c>
      <c r="I23" t="n">
        <v>9.875654000000001</v>
      </c>
      <c r="J23" t="n">
        <v>8.976990000000001</v>
      </c>
      <c r="K23" t="n">
        <v>7.98823</v>
      </c>
      <c r="L23" t="n">
        <v>7.77264</v>
      </c>
      <c r="M23" t="n">
        <v>-50727.007812</v>
      </c>
      <c r="N23" t="n">
        <v>-71031.8</v>
      </c>
      <c r="O23" t="n">
        <v>-59405.3</v>
      </c>
      <c r="P23" t="n">
        <v>-70865.5</v>
      </c>
      <c r="Q23" t="n">
        <v>1321</v>
      </c>
      <c r="R23" t="n">
        <v>52.816807</v>
      </c>
      <c r="S23" t="n">
        <v>0</v>
      </c>
      <c r="T23" t="n">
        <v>78.497894</v>
      </c>
      <c r="U23" t="n">
        <v>42.666595</v>
      </c>
      <c r="V23" t="n">
        <v>124426.890625</v>
      </c>
      <c r="W23" t="n">
        <v>1.322424</v>
      </c>
      <c r="X23" t="n">
        <v>135.988312</v>
      </c>
      <c r="Y23" t="n">
        <v>288.56</v>
      </c>
      <c r="Z23" t="n">
        <v>58.87</v>
      </c>
      <c r="AA23" t="n">
        <v>73.56999999999999</v>
      </c>
      <c r="AB23" t="n">
        <v>65.27</v>
      </c>
      <c r="AC23" t="n">
        <v>24.09</v>
      </c>
      <c r="AD23" t="n">
        <v>341.84</v>
      </c>
      <c r="AE23" t="n">
        <v>-1</v>
      </c>
      <c r="AF23" t="n">
        <v>3574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57550900</v>
      </c>
      <c r="F24" t="n">
        <v>41271300</v>
      </c>
      <c r="G24" t="n">
        <v>30902973</v>
      </c>
      <c r="H24" t="n">
        <v>22494136</v>
      </c>
      <c r="I24" t="n">
        <v>1221.938965</v>
      </c>
      <c r="J24" t="n">
        <v>1003.19</v>
      </c>
      <c r="K24" t="n">
        <v>903.6180000000001</v>
      </c>
      <c r="L24" t="n">
        <v>804.72</v>
      </c>
      <c r="M24" t="n">
        <v>-59497436</v>
      </c>
      <c r="N24" t="n">
        <v>-93677900</v>
      </c>
      <c r="O24" t="n">
        <v>-78340900</v>
      </c>
      <c r="P24" t="n">
        <v>-97673700</v>
      </c>
      <c r="Q24" t="n">
        <v>739</v>
      </c>
      <c r="R24" t="n">
        <v>73.52368199999999</v>
      </c>
      <c r="S24" t="n">
        <v>0</v>
      </c>
      <c r="T24" t="n">
        <v>93.599251</v>
      </c>
      <c r="U24" t="n">
        <v>58.270943</v>
      </c>
      <c r="V24" t="n">
        <v>4351164.5</v>
      </c>
      <c r="W24" t="n">
        <v>2.340576</v>
      </c>
      <c r="X24" t="n">
        <v>73.741013</v>
      </c>
      <c r="Y24" t="n">
        <v>31981.02</v>
      </c>
      <c r="Z24" t="n">
        <v>2336.12</v>
      </c>
      <c r="AA24" t="n">
        <v>6338.16</v>
      </c>
      <c r="AB24" t="n">
        <v>22264.52</v>
      </c>
      <c r="AC24" t="n">
        <v>1144.56</v>
      </c>
      <c r="AD24" t="n">
        <v>33582.57</v>
      </c>
      <c r="AE24" t="n">
        <v>-1</v>
      </c>
      <c r="AF24" t="n">
        <v>108384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63994300</v>
      </c>
      <c r="G2" t="n">
        <v>15279694</v>
      </c>
      <c r="H2" t="n">
        <v>16160245</v>
      </c>
      <c r="I2" t="n">
        <v>-1</v>
      </c>
      <c r="J2" t="n">
        <v>64.99079999999999</v>
      </c>
      <c r="K2" t="n">
        <v>26.5788</v>
      </c>
      <c r="L2" t="n">
        <v>24.0673</v>
      </c>
      <c r="M2" t="n">
        <v>-1</v>
      </c>
      <c r="N2" t="n">
        <v>-4766050</v>
      </c>
      <c r="O2" t="n">
        <v>-3127390</v>
      </c>
      <c r="P2" t="n">
        <v>-5480430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586.34</v>
      </c>
      <c r="AD2" t="n">
        <v>5791.57</v>
      </c>
      <c r="AE2" t="n">
        <v>-1</v>
      </c>
      <c r="AF2" t="n">
        <v>16697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48895300</v>
      </c>
      <c r="G3" t="n">
        <v>5021229</v>
      </c>
      <c r="H3" t="n">
        <v>6083269</v>
      </c>
      <c r="I3" t="n">
        <v>-1</v>
      </c>
      <c r="J3" t="n">
        <v>25.1093</v>
      </c>
      <c r="K3" t="n">
        <v>8.670540000000001</v>
      </c>
      <c r="L3" t="n">
        <v>9.53715</v>
      </c>
      <c r="M3" t="n">
        <v>-1</v>
      </c>
      <c r="N3" t="n">
        <v>-3162640</v>
      </c>
      <c r="O3" t="n">
        <v>-632600</v>
      </c>
      <c r="P3" t="n">
        <v>-838320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285.95</v>
      </c>
      <c r="AD3" t="n">
        <v>5477.55</v>
      </c>
      <c r="AE3" t="n">
        <v>-1</v>
      </c>
      <c r="AF3" t="n">
        <v>31242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5716870</v>
      </c>
      <c r="G4" t="n">
        <v>1227474</v>
      </c>
      <c r="H4" t="n">
        <v>1598636</v>
      </c>
      <c r="I4" t="n">
        <v>-1</v>
      </c>
      <c r="J4" t="n">
        <v>142.51</v>
      </c>
      <c r="K4" t="n">
        <v>89.3686</v>
      </c>
      <c r="L4" t="n">
        <v>79.5483</v>
      </c>
      <c r="M4" t="n">
        <v>-1</v>
      </c>
      <c r="N4" t="n">
        <v>-726032</v>
      </c>
      <c r="O4" t="n">
        <v>-408825</v>
      </c>
      <c r="P4" t="n">
        <v>-421989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107.21</v>
      </c>
      <c r="AD4" t="n">
        <v>829.09</v>
      </c>
      <c r="AE4" t="n">
        <v>-1</v>
      </c>
      <c r="AF4" t="n">
        <v>5345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exited with return code 143</t>
        </is>
      </c>
      <c r="E5" t="n">
        <v>-1</v>
      </c>
      <c r="F5" t="n">
        <v>102847000</v>
      </c>
      <c r="G5" t="n">
        <v>10591943</v>
      </c>
      <c r="H5" t="n">
        <v>-1</v>
      </c>
      <c r="I5" t="n">
        <v>-1</v>
      </c>
      <c r="J5" t="n">
        <v>26.5792</v>
      </c>
      <c r="K5" t="n">
        <v>8.590299999999999</v>
      </c>
      <c r="L5" t="n">
        <v>-1</v>
      </c>
      <c r="M5" t="n">
        <v>-1</v>
      </c>
      <c r="N5" t="n">
        <v>-2649950</v>
      </c>
      <c r="O5" t="n">
        <v>-948121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29836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20647200</v>
      </c>
      <c r="G6" t="n">
        <v>3182016</v>
      </c>
      <c r="H6" t="n">
        <v>4258600</v>
      </c>
      <c r="I6" t="n">
        <v>-1</v>
      </c>
      <c r="J6" t="n">
        <v>56.2368</v>
      </c>
      <c r="K6" t="n">
        <v>13.5779</v>
      </c>
      <c r="L6" t="n">
        <v>13.8583</v>
      </c>
      <c r="M6" t="n">
        <v>-1</v>
      </c>
      <c r="N6" t="n">
        <v>-4067080</v>
      </c>
      <c r="O6" t="n">
        <v>-1698110</v>
      </c>
      <c r="P6" t="n">
        <v>-1900180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221.25</v>
      </c>
      <c r="AD6" t="n">
        <v>2132.83</v>
      </c>
      <c r="AE6" t="n">
        <v>-1</v>
      </c>
      <c r="AF6" t="n">
        <v>7303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12852400</v>
      </c>
      <c r="G7" t="n">
        <v>2155643</v>
      </c>
      <c r="H7" t="n">
        <v>2777059</v>
      </c>
      <c r="I7" t="n">
        <v>-1</v>
      </c>
      <c r="J7" t="n">
        <v>21.9492</v>
      </c>
      <c r="K7" t="n">
        <v>9.080019999999999</v>
      </c>
      <c r="L7" t="n">
        <v>9.663959999999999</v>
      </c>
      <c r="M7" t="n">
        <v>-1</v>
      </c>
      <c r="N7" t="n">
        <v>-1144950</v>
      </c>
      <c r="O7" t="n">
        <v>-541245</v>
      </c>
      <c r="P7" t="n">
        <v>-759245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217.35</v>
      </c>
      <c r="AD7" t="n">
        <v>1578.76</v>
      </c>
      <c r="AE7" t="n">
        <v>-1</v>
      </c>
      <c r="AF7" t="n">
        <v>9665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3852080</v>
      </c>
      <c r="G8" t="n">
        <v>827272</v>
      </c>
      <c r="H8" t="n">
        <v>1143463</v>
      </c>
      <c r="I8" t="n">
        <v>-1</v>
      </c>
      <c r="J8" t="n">
        <v>14.0141</v>
      </c>
      <c r="K8" t="n">
        <v>6.82701</v>
      </c>
      <c r="L8" t="n">
        <v>7.4065</v>
      </c>
      <c r="M8" t="n">
        <v>-1</v>
      </c>
      <c r="N8" t="n">
        <v>-360075</v>
      </c>
      <c r="O8" t="n">
        <v>-228899</v>
      </c>
      <c r="P8" t="n">
        <v>-313800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64.72</v>
      </c>
      <c r="AD8" t="n">
        <v>549.29</v>
      </c>
      <c r="AE8" t="n">
        <v>-1</v>
      </c>
      <c r="AF8" t="n">
        <v>4733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10215200</v>
      </c>
      <c r="G9" t="n">
        <v>1797332</v>
      </c>
      <c r="H9" t="n">
        <v>2136694</v>
      </c>
      <c r="I9" t="n">
        <v>-1</v>
      </c>
      <c r="J9" t="n">
        <v>35.6338</v>
      </c>
      <c r="K9" t="n">
        <v>13.1513</v>
      </c>
      <c r="L9" t="n">
        <v>13.8892</v>
      </c>
      <c r="M9" t="n">
        <v>-1</v>
      </c>
      <c r="N9" t="n">
        <v>-3403570</v>
      </c>
      <c r="O9" t="n">
        <v>-1597270</v>
      </c>
      <c r="P9" t="n">
        <v>-1774530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100.12</v>
      </c>
      <c r="AD9" t="n">
        <v>1202.02</v>
      </c>
      <c r="AE9" t="n">
        <v>-1</v>
      </c>
      <c r="AF9" t="n">
        <v>6942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23632100</v>
      </c>
      <c r="G10" t="n">
        <v>2329626</v>
      </c>
      <c r="H10" t="n">
        <v>2989139</v>
      </c>
      <c r="I10" t="n">
        <v>-1</v>
      </c>
      <c r="J10" t="n">
        <v>2191.24</v>
      </c>
      <c r="K10" t="n">
        <v>949.1799999999999</v>
      </c>
      <c r="L10" t="n">
        <v>859.872</v>
      </c>
      <c r="M10" t="n">
        <v>-1</v>
      </c>
      <c r="N10" t="n">
        <v>-2071070</v>
      </c>
      <c r="O10" t="n">
        <v>-946416</v>
      </c>
      <c r="P10" t="n">
        <v>-1083440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191.61</v>
      </c>
      <c r="AD10" t="n">
        <v>3240.94</v>
      </c>
      <c r="AE10" t="n">
        <v>-1</v>
      </c>
      <c r="AF10" t="n">
        <v>13983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8922920</v>
      </c>
      <c r="G11" t="n">
        <v>1407861</v>
      </c>
      <c r="H11" t="n">
        <v>2014347</v>
      </c>
      <c r="I11" t="n">
        <v>-1</v>
      </c>
      <c r="J11" t="n">
        <v>41.0256</v>
      </c>
      <c r="K11" t="n">
        <v>12.5479</v>
      </c>
      <c r="L11" t="n">
        <v>13.1925</v>
      </c>
      <c r="M11" t="n">
        <v>-1</v>
      </c>
      <c r="N11" t="n">
        <v>-1903660</v>
      </c>
      <c r="O11" t="n">
        <v>-834062</v>
      </c>
      <c r="P11" t="n">
        <v>-916858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105.99</v>
      </c>
      <c r="AD11" t="n">
        <v>1026.19</v>
      </c>
      <c r="AE11" t="n">
        <v>-1</v>
      </c>
      <c r="AF11" t="n">
        <v>4253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exited with return code 143</t>
        </is>
      </c>
      <c r="E12" t="n">
        <v>-1</v>
      </c>
      <c r="F12" t="n">
        <v>96503100</v>
      </c>
      <c r="G12" t="n">
        <v>15427510</v>
      </c>
      <c r="H12" t="n">
        <v>-1</v>
      </c>
      <c r="I12" t="n">
        <v>-1</v>
      </c>
      <c r="J12" t="n">
        <v>34.6787</v>
      </c>
      <c r="K12" t="n">
        <v>12.232</v>
      </c>
      <c r="L12" t="n">
        <v>-1</v>
      </c>
      <c r="M12" t="n">
        <v>-1</v>
      </c>
      <c r="N12" t="n">
        <v>-3512790</v>
      </c>
      <c r="O12" t="n">
        <v>-2152430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57279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30991700</v>
      </c>
      <c r="G13" t="n">
        <v>4864631</v>
      </c>
      <c r="H13" t="n">
        <v>5826904</v>
      </c>
      <c r="I13" t="n">
        <v>-1</v>
      </c>
      <c r="J13" t="n">
        <v>34.4745</v>
      </c>
      <c r="K13" t="n">
        <v>9.67536</v>
      </c>
      <c r="L13" t="n">
        <v>9.91405</v>
      </c>
      <c r="M13" t="n">
        <v>-1</v>
      </c>
      <c r="N13" t="n">
        <v>-4444950</v>
      </c>
      <c r="O13" t="n">
        <v>-1470310</v>
      </c>
      <c r="P13" t="n">
        <v>-1936430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608.08</v>
      </c>
      <c r="AD13" t="n">
        <v>3686</v>
      </c>
      <c r="AE13" t="n">
        <v>-1</v>
      </c>
      <c r="AF13" t="n">
        <v>21658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50697500</v>
      </c>
      <c r="G14" t="n">
        <v>3968059</v>
      </c>
      <c r="H14" t="n">
        <v>4955826</v>
      </c>
      <c r="I14" t="n">
        <v>-1</v>
      </c>
      <c r="J14" t="n">
        <v>45.7433</v>
      </c>
      <c r="K14" t="n">
        <v>11.7957</v>
      </c>
      <c r="L14" t="n">
        <v>11.985</v>
      </c>
      <c r="M14" t="n">
        <v>-1</v>
      </c>
      <c r="N14" t="n">
        <v>-8181230</v>
      </c>
      <c r="O14" t="n">
        <v>-3325900</v>
      </c>
      <c r="P14" t="n">
        <v>-3680340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300.16</v>
      </c>
      <c r="AD14" t="n">
        <v>5772.66</v>
      </c>
      <c r="AE14" t="n">
        <v>-1</v>
      </c>
      <c r="AF14" t="n">
        <v>23953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13658800</v>
      </c>
      <c r="G15" t="n">
        <v>1975511</v>
      </c>
      <c r="H15" t="n">
        <v>2619875</v>
      </c>
      <c r="I15" t="n">
        <v>-1</v>
      </c>
      <c r="J15" t="n">
        <v>20.9039</v>
      </c>
      <c r="K15" t="n">
        <v>8.0746</v>
      </c>
      <c r="L15" t="n">
        <v>10.6055</v>
      </c>
      <c r="M15" t="n">
        <v>-1</v>
      </c>
      <c r="N15" t="n">
        <v>-794040</v>
      </c>
      <c r="O15" t="n">
        <v>-360415</v>
      </c>
      <c r="P15" t="n">
        <v>-533496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110.29</v>
      </c>
      <c r="AD15" t="n">
        <v>1507.1</v>
      </c>
      <c r="AE15" t="n">
        <v>-1</v>
      </c>
      <c r="AF15" t="n">
        <v>7903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2217510</v>
      </c>
      <c r="G16" t="n">
        <v>551409</v>
      </c>
      <c r="H16" t="n">
        <v>719716</v>
      </c>
      <c r="I16" t="n">
        <v>-1</v>
      </c>
      <c r="J16" t="n">
        <v>14.1841</v>
      </c>
      <c r="K16" t="n">
        <v>8.435040000000001</v>
      </c>
      <c r="L16" t="n">
        <v>8.69191</v>
      </c>
      <c r="M16" t="n">
        <v>-1</v>
      </c>
      <c r="N16" t="n">
        <v>-150400</v>
      </c>
      <c r="O16" t="n">
        <v>-85838.89999999999</v>
      </c>
      <c r="P16" t="n">
        <v>-114645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35.57</v>
      </c>
      <c r="AD16" t="n">
        <v>349.72</v>
      </c>
      <c r="AE16" t="n">
        <v>-1</v>
      </c>
      <c r="AF16" t="n">
        <v>3128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11894800</v>
      </c>
      <c r="G17" t="n">
        <v>2432259</v>
      </c>
      <c r="H17" t="n">
        <v>3087479</v>
      </c>
      <c r="I17" t="n">
        <v>-1</v>
      </c>
      <c r="J17" t="n">
        <v>28.6126</v>
      </c>
      <c r="K17" t="n">
        <v>10.6671</v>
      </c>
      <c r="L17" t="n">
        <v>11.5661</v>
      </c>
      <c r="M17" t="n">
        <v>-1</v>
      </c>
      <c r="N17" t="n">
        <v>-1177960</v>
      </c>
      <c r="O17" t="n">
        <v>-647398</v>
      </c>
      <c r="P17" t="n">
        <v>-859676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163.24</v>
      </c>
      <c r="AD17" t="n">
        <v>1481.88</v>
      </c>
      <c r="AE17" t="n">
        <v>-1</v>
      </c>
      <c r="AF17" t="n">
        <v>7149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9037660</v>
      </c>
      <c r="G18" t="n">
        <v>1301841</v>
      </c>
      <c r="H18" t="n">
        <v>1719559</v>
      </c>
      <c r="I18" t="n">
        <v>-1</v>
      </c>
      <c r="J18" t="n">
        <v>2311.51</v>
      </c>
      <c r="K18" t="n">
        <v>939.487</v>
      </c>
      <c r="L18" t="n">
        <v>845.7190000000001</v>
      </c>
      <c r="M18" t="n">
        <v>-1</v>
      </c>
      <c r="N18" t="n">
        <v>-833945</v>
      </c>
      <c r="O18" t="n">
        <v>-444473</v>
      </c>
      <c r="P18" t="n">
        <v>-566237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106.95</v>
      </c>
      <c r="AD18" t="n">
        <v>1210.45</v>
      </c>
      <c r="AE18" t="n">
        <v>-1</v>
      </c>
      <c r="AF18" t="n">
        <v>6905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65716600</v>
      </c>
      <c r="G19" t="n">
        <v>6348468</v>
      </c>
      <c r="H19" t="n">
        <v>7552138</v>
      </c>
      <c r="I19" t="n">
        <v>-1</v>
      </c>
      <c r="J19" t="n">
        <v>102.741</v>
      </c>
      <c r="K19" t="n">
        <v>17.4026</v>
      </c>
      <c r="L19" t="n">
        <v>16.9979</v>
      </c>
      <c r="M19" t="n">
        <v>-1</v>
      </c>
      <c r="N19" t="n">
        <v>-10594900</v>
      </c>
      <c r="O19" t="n">
        <v>-4189240</v>
      </c>
      <c r="P19" t="n">
        <v>-4676760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497.38</v>
      </c>
      <c r="AD19" t="n">
        <v>7585.21</v>
      </c>
      <c r="AE19" t="n">
        <v>-1</v>
      </c>
      <c r="AF19" t="n">
        <v>33827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3833170</v>
      </c>
      <c r="G20" t="n">
        <v>887566</v>
      </c>
      <c r="H20" t="n">
        <v>1202257</v>
      </c>
      <c r="I20" t="n">
        <v>-1</v>
      </c>
      <c r="J20" t="n">
        <v>21.2933</v>
      </c>
      <c r="K20" t="n">
        <v>8.31386</v>
      </c>
      <c r="L20" t="n">
        <v>8.56054</v>
      </c>
      <c r="M20" t="n">
        <v>-1</v>
      </c>
      <c r="N20" t="n">
        <v>-1024930</v>
      </c>
      <c r="O20" t="n">
        <v>-590396</v>
      </c>
      <c r="P20" t="n">
        <v>-658305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63.25</v>
      </c>
      <c r="AD20" t="n">
        <v>564.62</v>
      </c>
      <c r="AE20" t="n">
        <v>-1</v>
      </c>
      <c r="AF20" t="n">
        <v>3983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20203100</v>
      </c>
      <c r="G21" t="n">
        <v>4024039</v>
      </c>
      <c r="H21" t="n">
        <v>5003587</v>
      </c>
      <c r="I21" t="n">
        <v>-1</v>
      </c>
      <c r="J21" t="n">
        <v>36.0289</v>
      </c>
      <c r="K21" t="n">
        <v>11.1645</v>
      </c>
      <c r="L21" t="n">
        <v>11.5654</v>
      </c>
      <c r="M21" t="n">
        <v>-1</v>
      </c>
      <c r="N21" t="n">
        <v>-1518730</v>
      </c>
      <c r="O21" t="n">
        <v>-800029</v>
      </c>
      <c r="P21" t="n">
        <v>-1058570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632.11</v>
      </c>
      <c r="AD21" t="n">
        <v>3919.23</v>
      </c>
      <c r="AE21" t="n">
        <v>-1</v>
      </c>
      <c r="AF21" t="n">
        <v>14136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12786000</v>
      </c>
      <c r="G22" t="n">
        <v>2048079</v>
      </c>
      <c r="H22" t="n">
        <v>2443661</v>
      </c>
      <c r="I22" t="n">
        <v>-1</v>
      </c>
      <c r="J22" t="n">
        <v>18.0052</v>
      </c>
      <c r="K22" t="n">
        <v>7.24816</v>
      </c>
      <c r="L22" t="n">
        <v>7.82095</v>
      </c>
      <c r="M22" t="n">
        <v>-1</v>
      </c>
      <c r="N22" t="n">
        <v>-916041</v>
      </c>
      <c r="O22" t="n">
        <v>-414240</v>
      </c>
      <c r="P22" t="n">
        <v>-557885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97.79000000000001</v>
      </c>
      <c r="AD22" t="n">
        <v>1774.41</v>
      </c>
      <c r="AE22" t="n">
        <v>-1</v>
      </c>
      <c r="AF22" t="n">
        <v>15837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2405090</v>
      </c>
      <c r="G23" t="n">
        <v>487669</v>
      </c>
      <c r="H23" t="n">
        <v>563134</v>
      </c>
      <c r="I23" t="n">
        <v>-1</v>
      </c>
      <c r="J23" t="n">
        <v>19.5477</v>
      </c>
      <c r="K23" t="n">
        <v>7.77414</v>
      </c>
      <c r="L23" t="n">
        <v>7.58173</v>
      </c>
      <c r="M23" t="n">
        <v>-1</v>
      </c>
      <c r="N23" t="n">
        <v>-137035</v>
      </c>
      <c r="O23" t="n">
        <v>-61068.6</v>
      </c>
      <c r="P23" t="n">
        <v>-74097.5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22.21</v>
      </c>
      <c r="AD23" t="n">
        <v>310.49</v>
      </c>
      <c r="AE23" t="n">
        <v>-1</v>
      </c>
      <c r="AF23" t="n">
        <v>3316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409895000</v>
      </c>
      <c r="G24" t="n">
        <v>39854798</v>
      </c>
      <c r="H24" t="n">
        <v>29604313</v>
      </c>
      <c r="I24" t="n">
        <v>-1</v>
      </c>
      <c r="J24" t="n">
        <v>3134.92</v>
      </c>
      <c r="K24" t="n">
        <v>929.328</v>
      </c>
      <c r="L24" t="n">
        <v>834.875</v>
      </c>
      <c r="M24" t="n">
        <v>-1</v>
      </c>
      <c r="N24" t="n">
        <v>-275230000</v>
      </c>
      <c r="O24" t="n">
        <v>-98428200</v>
      </c>
      <c r="P24" t="n">
        <v>-130203000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2134.19</v>
      </c>
      <c r="AD24" t="n">
        <v>39179.77</v>
      </c>
      <c r="AE24" t="n">
        <v>-1</v>
      </c>
      <c r="AF24" t="n">
        <v>101607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success</t>
        </is>
      </c>
      <c r="E2" t="n">
        <v>564881</v>
      </c>
      <c r="F2" t="n">
        <v>443522</v>
      </c>
      <c r="G2" t="n">
        <v>256995</v>
      </c>
      <c r="H2" t="n">
        <v>400280</v>
      </c>
      <c r="I2" t="n">
        <v>14.788621</v>
      </c>
      <c r="J2" t="n">
        <v>6.97227</v>
      </c>
      <c r="K2" t="n">
        <v>5.94357</v>
      </c>
      <c r="L2" t="n">
        <v>6.42582</v>
      </c>
      <c r="M2" t="n">
        <v>-56797.125</v>
      </c>
      <c r="N2" t="n">
        <v>-133311</v>
      </c>
      <c r="O2" t="n">
        <v>-101340</v>
      </c>
      <c r="P2" t="n">
        <v>-134579</v>
      </c>
      <c r="Q2" t="n">
        <v>63</v>
      </c>
      <c r="R2" t="n">
        <v>11082.047852</v>
      </c>
      <c r="S2" t="n">
        <v>0</v>
      </c>
      <c r="T2" t="n">
        <v>36.766518</v>
      </c>
      <c r="U2" t="n">
        <v>37.819389</v>
      </c>
      <c r="V2" t="n">
        <v>31931.380859</v>
      </c>
      <c r="W2" t="n">
        <v>0.875408</v>
      </c>
      <c r="X2" t="n">
        <v>47.000099</v>
      </c>
      <c r="Y2" t="n">
        <v>452.42</v>
      </c>
      <c r="Z2" t="n">
        <v>16.22</v>
      </c>
      <c r="AA2" t="n">
        <v>309.23</v>
      </c>
      <c r="AB2" t="n">
        <v>17.41</v>
      </c>
      <c r="AC2" t="n">
        <v>8.82</v>
      </c>
      <c r="AD2" t="n">
        <v>467.27</v>
      </c>
      <c r="AE2" t="n">
        <v>1063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916892</v>
      </c>
      <c r="F3" t="n">
        <v>2263730</v>
      </c>
      <c r="G3" t="n">
        <v>868449</v>
      </c>
      <c r="H3" t="n">
        <v>1181580</v>
      </c>
      <c r="I3" t="n">
        <v>12.337447</v>
      </c>
      <c r="J3" t="n">
        <v>16.1859</v>
      </c>
      <c r="K3" t="n">
        <v>7.6965</v>
      </c>
      <c r="L3" t="n">
        <v>8.0816</v>
      </c>
      <c r="M3" t="n">
        <v>-201148.890625</v>
      </c>
      <c r="N3" t="n">
        <v>-214089</v>
      </c>
      <c r="O3" t="n">
        <v>-166599</v>
      </c>
      <c r="P3" t="n">
        <v>-192744</v>
      </c>
      <c r="Q3" t="n">
        <v>11</v>
      </c>
      <c r="R3" t="n">
        <v>55.363636</v>
      </c>
      <c r="S3" t="n">
        <v>0</v>
      </c>
      <c r="T3" t="n">
        <v>76.017067</v>
      </c>
      <c r="U3" t="n">
        <v>76.774765</v>
      </c>
      <c r="V3" t="n">
        <v>2539537</v>
      </c>
      <c r="W3" t="n">
        <v>16.447672</v>
      </c>
      <c r="X3" t="n">
        <v>124</v>
      </c>
      <c r="Y3" t="n">
        <v>634.11</v>
      </c>
      <c r="Z3" t="n">
        <v>55.67</v>
      </c>
      <c r="AA3" t="n">
        <v>354.72</v>
      </c>
      <c r="AB3" t="n">
        <v>175.67</v>
      </c>
      <c r="AC3" t="n">
        <v>28.08</v>
      </c>
      <c r="AD3" t="n">
        <v>678.73</v>
      </c>
      <c r="AE3" t="n">
        <v>6080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3457710</v>
      </c>
      <c r="F4" t="n">
        <v>2376340</v>
      </c>
      <c r="G4" t="n">
        <v>1744191</v>
      </c>
      <c r="H4" t="n">
        <v>2095340</v>
      </c>
      <c r="I4" t="n">
        <v>9.987928</v>
      </c>
      <c r="J4" t="n">
        <v>13.8713</v>
      </c>
      <c r="K4" t="n">
        <v>9.392620000000001</v>
      </c>
      <c r="L4" t="n">
        <v>10.3505</v>
      </c>
      <c r="M4" t="n">
        <v>-514524.53125</v>
      </c>
      <c r="N4" t="n">
        <v>-597272</v>
      </c>
      <c r="O4" t="n">
        <v>-569713</v>
      </c>
      <c r="P4" t="n">
        <v>-861914</v>
      </c>
      <c r="Q4" t="n">
        <v>211</v>
      </c>
      <c r="R4" t="n">
        <v>8648.772461</v>
      </c>
      <c r="S4" t="n">
        <v>0</v>
      </c>
      <c r="T4" t="n">
        <v>44.485664</v>
      </c>
      <c r="U4" t="n">
        <v>50.234913</v>
      </c>
      <c r="V4" t="n">
        <v>103387.945312</v>
      </c>
      <c r="W4" t="n">
        <v>2.357979</v>
      </c>
      <c r="X4" t="n">
        <v>235</v>
      </c>
      <c r="Y4" t="n">
        <v>618.14</v>
      </c>
      <c r="Z4" t="n">
        <v>53.1</v>
      </c>
      <c r="AA4" t="n">
        <v>32.37</v>
      </c>
      <c r="AB4" t="n">
        <v>215.76</v>
      </c>
      <c r="AC4" t="n">
        <v>154.75</v>
      </c>
      <c r="AD4" t="n">
        <v>787.62</v>
      </c>
      <c r="AE4" t="n">
        <v>1574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542251</v>
      </c>
      <c r="F5" t="n">
        <v>424503</v>
      </c>
      <c r="G5" t="n">
        <v>318320</v>
      </c>
      <c r="H5" t="n">
        <v>424122</v>
      </c>
      <c r="I5" t="n">
        <v>11.905106</v>
      </c>
      <c r="J5" t="n">
        <v>10.1926</v>
      </c>
      <c r="K5" t="n">
        <v>8.711410000000001</v>
      </c>
      <c r="L5" t="n">
        <v>9.36223</v>
      </c>
      <c r="M5" t="n">
        <v>-89627.804688</v>
      </c>
      <c r="N5" t="n">
        <v>-137354</v>
      </c>
      <c r="O5" t="n">
        <v>-125126</v>
      </c>
      <c r="P5" t="n">
        <v>-177821</v>
      </c>
      <c r="Q5" t="n">
        <v>56</v>
      </c>
      <c r="R5" t="n">
        <v>9503.838867</v>
      </c>
      <c r="S5" t="n">
        <v>0</v>
      </c>
      <c r="T5" t="n">
        <v>37.829613</v>
      </c>
      <c r="U5" t="n">
        <v>44.309757</v>
      </c>
      <c r="V5" t="n">
        <v>23901.294922</v>
      </c>
      <c r="W5" t="n">
        <v>1.845375</v>
      </c>
      <c r="X5" t="n">
        <v>67.000198</v>
      </c>
      <c r="Y5" t="n">
        <v>153.68</v>
      </c>
      <c r="Z5" t="n">
        <v>14.63</v>
      </c>
      <c r="AA5" t="n">
        <v>10.56</v>
      </c>
      <c r="AB5" t="n">
        <v>19.42</v>
      </c>
      <c r="AC5" t="n">
        <v>9.199999999999999</v>
      </c>
      <c r="AD5" t="n">
        <v>167.27</v>
      </c>
      <c r="AE5" t="n">
        <v>474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success</t>
        </is>
      </c>
      <c r="E6" t="n">
        <v>8988410</v>
      </c>
      <c r="F6" t="n">
        <v>6558210</v>
      </c>
      <c r="G6" t="n">
        <v>4552374</v>
      </c>
      <c r="H6" t="n">
        <v>5412143</v>
      </c>
      <c r="I6" t="n">
        <v>17.022255</v>
      </c>
      <c r="J6" t="n">
        <v>18.6579</v>
      </c>
      <c r="K6" t="n">
        <v>11.9157</v>
      </c>
      <c r="L6" t="n">
        <v>13.7624</v>
      </c>
      <c r="M6" t="n">
        <v>-1538097.75</v>
      </c>
      <c r="N6" t="n">
        <v>-1709380</v>
      </c>
      <c r="O6" t="n">
        <v>-1571750</v>
      </c>
      <c r="P6" t="n">
        <v>-2628150</v>
      </c>
      <c r="Q6" t="n">
        <v>299</v>
      </c>
      <c r="R6" t="n">
        <v>10842.508789</v>
      </c>
      <c r="S6" t="n">
        <v>0</v>
      </c>
      <c r="T6" t="n">
        <v>55.514198</v>
      </c>
      <c r="U6" t="n">
        <v>41.749493</v>
      </c>
      <c r="V6" t="n">
        <v>485104.03125</v>
      </c>
      <c r="W6" t="n">
        <v>2.082769</v>
      </c>
      <c r="X6" t="n">
        <v>191.000107</v>
      </c>
      <c r="Y6" t="n">
        <v>1423.48</v>
      </c>
      <c r="Z6" t="n">
        <v>167.91</v>
      </c>
      <c r="AA6" t="n">
        <v>134.57</v>
      </c>
      <c r="AB6" t="n">
        <v>816.15</v>
      </c>
      <c r="AC6" t="n">
        <v>4883.86</v>
      </c>
      <c r="AD6" t="n">
        <v>6346.27</v>
      </c>
      <c r="AE6" t="n">
        <v>9444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1617520</v>
      </c>
      <c r="F7" t="n">
        <v>1170610</v>
      </c>
      <c r="G7" t="n">
        <v>846699</v>
      </c>
      <c r="H7" t="n">
        <v>1137233</v>
      </c>
      <c r="I7" t="n">
        <v>15.830483</v>
      </c>
      <c r="J7" t="n">
        <v>9.85469</v>
      </c>
      <c r="K7" t="n">
        <v>7.06111</v>
      </c>
      <c r="L7" t="n">
        <v>8.184430000000001</v>
      </c>
      <c r="M7" t="n">
        <v>-253313.65625</v>
      </c>
      <c r="N7" t="n">
        <v>-374022</v>
      </c>
      <c r="O7" t="n">
        <v>-323096</v>
      </c>
      <c r="P7" t="n">
        <v>-483462</v>
      </c>
      <c r="Q7" t="n">
        <v>131</v>
      </c>
      <c r="R7" t="n">
        <v>13433.328125</v>
      </c>
      <c r="S7" t="n">
        <v>0</v>
      </c>
      <c r="T7" t="n">
        <v>64.641243</v>
      </c>
      <c r="U7" t="n">
        <v>47.62524</v>
      </c>
      <c r="V7" t="n">
        <v>107042.445312</v>
      </c>
      <c r="W7" t="n">
        <v>1.657106</v>
      </c>
      <c r="X7" t="n">
        <v>63.959755</v>
      </c>
      <c r="Y7" t="n">
        <v>256.46</v>
      </c>
      <c r="Z7" t="n">
        <v>38.95</v>
      </c>
      <c r="AA7" t="n">
        <v>40.88</v>
      </c>
      <c r="AB7" t="n">
        <v>64.95999999999999</v>
      </c>
      <c r="AC7" t="n">
        <v>35.83</v>
      </c>
      <c r="AD7" t="n">
        <v>302.1</v>
      </c>
      <c r="AE7" t="n">
        <v>2394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10278100</v>
      </c>
      <c r="F8" t="n">
        <v>9062680</v>
      </c>
      <c r="G8" t="n">
        <v>4130292</v>
      </c>
      <c r="H8" t="n">
        <v>4296700</v>
      </c>
      <c r="I8" t="n">
        <v>11.766675</v>
      </c>
      <c r="J8" t="n">
        <v>15.4241</v>
      </c>
      <c r="K8" t="n">
        <v>8.308260000000001</v>
      </c>
      <c r="L8" t="n">
        <v>8.79771</v>
      </c>
      <c r="M8" t="n">
        <v>-1021274.25</v>
      </c>
      <c r="N8" t="n">
        <v>-2138520</v>
      </c>
      <c r="O8" t="n">
        <v>-1712750</v>
      </c>
      <c r="P8" t="n">
        <v>-2208530</v>
      </c>
      <c r="Q8" t="n">
        <v>276</v>
      </c>
      <c r="R8" t="n">
        <v>6343.790039</v>
      </c>
      <c r="S8" t="n">
        <v>0</v>
      </c>
      <c r="T8" t="n">
        <v>70.19297</v>
      </c>
      <c r="U8" t="n">
        <v>61.612202</v>
      </c>
      <c r="V8" t="n">
        <v>9489628</v>
      </c>
      <c r="W8" t="n">
        <v>11.811129</v>
      </c>
      <c r="X8" t="n">
        <v>219</v>
      </c>
      <c r="Y8" t="n">
        <v>3162.6</v>
      </c>
      <c r="Z8" t="n">
        <v>301.99</v>
      </c>
      <c r="AA8" t="n">
        <v>682.52</v>
      </c>
      <c r="AB8" t="n">
        <v>1837.93</v>
      </c>
      <c r="AC8" t="n">
        <v>131.48</v>
      </c>
      <c r="AD8" t="n">
        <v>3374.88</v>
      </c>
      <c r="AE8" t="n">
        <v>31886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6208760</v>
      </c>
      <c r="F9" t="n">
        <v>4742910</v>
      </c>
      <c r="G9" t="n">
        <v>2579950</v>
      </c>
      <c r="H9" t="n">
        <v>2764141</v>
      </c>
      <c r="I9" t="n">
        <v>11.34878</v>
      </c>
      <c r="J9" t="n">
        <v>14.7258</v>
      </c>
      <c r="K9" t="n">
        <v>7.26456</v>
      </c>
      <c r="L9" t="n">
        <v>9.031940000000001</v>
      </c>
      <c r="M9" t="n">
        <v>-781470.125</v>
      </c>
      <c r="N9" t="n">
        <v>-1475220</v>
      </c>
      <c r="O9" t="n">
        <v>-1233280</v>
      </c>
      <c r="P9" t="n">
        <v>-1569560</v>
      </c>
      <c r="Q9" t="n">
        <v>201</v>
      </c>
      <c r="R9" t="n">
        <v>5409.791016</v>
      </c>
      <c r="S9" t="n">
        <v>0</v>
      </c>
      <c r="T9" t="n">
        <v>71.870651</v>
      </c>
      <c r="U9" t="n">
        <v>61.097046</v>
      </c>
      <c r="V9" t="n">
        <v>4423040.5</v>
      </c>
      <c r="W9" t="n">
        <v>8.209455</v>
      </c>
      <c r="X9" t="n">
        <v>119.000008</v>
      </c>
      <c r="Y9" t="n">
        <v>1930.37</v>
      </c>
      <c r="Z9" t="n">
        <v>184.41</v>
      </c>
      <c r="AA9" t="n">
        <v>543.71</v>
      </c>
      <c r="AB9" t="n">
        <v>875.29</v>
      </c>
      <c r="AC9" t="n">
        <v>71.94</v>
      </c>
      <c r="AD9" t="n">
        <v>2052.85</v>
      </c>
      <c r="AE9" t="n">
        <v>20849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2416040</v>
      </c>
      <c r="F10" t="n">
        <v>1617690</v>
      </c>
      <c r="G10" t="n">
        <v>979866</v>
      </c>
      <c r="H10" t="n">
        <v>1187488</v>
      </c>
      <c r="I10" t="n">
        <v>13.69973</v>
      </c>
      <c r="J10" t="n">
        <v>10.9044</v>
      </c>
      <c r="K10" t="n">
        <v>6.04857</v>
      </c>
      <c r="L10" t="n">
        <v>6.72242</v>
      </c>
      <c r="M10" t="n">
        <v>-360484.375</v>
      </c>
      <c r="N10" t="n">
        <v>-573466</v>
      </c>
      <c r="O10" t="n">
        <v>-467643</v>
      </c>
      <c r="P10" t="n">
        <v>-573070</v>
      </c>
      <c r="Q10" t="n">
        <v>130</v>
      </c>
      <c r="R10" t="n">
        <v>2817.138428</v>
      </c>
      <c r="S10" t="n">
        <v>0</v>
      </c>
      <c r="T10" t="n">
        <v>74.773872</v>
      </c>
      <c r="U10" t="n">
        <v>61.763065</v>
      </c>
      <c r="V10" t="n">
        <v>948023</v>
      </c>
      <c r="W10" t="n">
        <v>3.458789</v>
      </c>
      <c r="X10" t="n">
        <v>87.571777</v>
      </c>
      <c r="Y10" t="n">
        <v>845.6</v>
      </c>
      <c r="Z10" t="n">
        <v>87.62</v>
      </c>
      <c r="AA10" t="n">
        <v>344.88</v>
      </c>
      <c r="AB10" t="n">
        <v>294.27</v>
      </c>
      <c r="AC10" t="n">
        <v>32.51</v>
      </c>
      <c r="AD10" t="n">
        <v>902.01</v>
      </c>
      <c r="AE10" t="n">
        <v>9514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204454</v>
      </c>
      <c r="F11" t="n">
        <v>206791</v>
      </c>
      <c r="G11" t="n">
        <v>156302</v>
      </c>
      <c r="H11" t="n">
        <v>231068</v>
      </c>
      <c r="I11" t="n">
        <v>13.81854</v>
      </c>
      <c r="J11" t="n">
        <v>6.18881</v>
      </c>
      <c r="K11" t="n">
        <v>5.22693</v>
      </c>
      <c r="L11" t="n">
        <v>5.56997</v>
      </c>
      <c r="M11" t="n">
        <v>-62346.632812</v>
      </c>
      <c r="N11" t="n">
        <v>-61582.2</v>
      </c>
      <c r="O11" t="n">
        <v>-58938.6</v>
      </c>
      <c r="P11" t="n">
        <v>-56910.8</v>
      </c>
      <c r="Q11" t="n">
        <v>14</v>
      </c>
      <c r="R11" t="n">
        <v>11412.428711</v>
      </c>
      <c r="S11" t="n">
        <v>0</v>
      </c>
      <c r="T11" t="n">
        <v>71.596031</v>
      </c>
      <c r="U11" t="n">
        <v>69.729805</v>
      </c>
      <c r="V11" t="n">
        <v>73022.695312</v>
      </c>
      <c r="W11" t="n">
        <v>2.602933</v>
      </c>
      <c r="X11" t="n">
        <v>32</v>
      </c>
      <c r="Y11" t="n">
        <v>75.47</v>
      </c>
      <c r="Z11" t="n">
        <v>11.41</v>
      </c>
      <c r="AA11" t="n">
        <v>11.48</v>
      </c>
      <c r="AB11" t="n">
        <v>9.06</v>
      </c>
      <c r="AC11" t="n">
        <v>4.4</v>
      </c>
      <c r="AD11" t="n">
        <v>83.12</v>
      </c>
      <c r="AE11" t="n">
        <v>849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71176.2</v>
      </c>
      <c r="F12" t="n">
        <v>73268.7</v>
      </c>
      <c r="G12" t="n">
        <v>59440</v>
      </c>
      <c r="H12" t="n">
        <v>83365</v>
      </c>
      <c r="I12" t="n">
        <v>9.745362999999999</v>
      </c>
      <c r="J12" t="n">
        <v>8.81775</v>
      </c>
      <c r="K12" t="n">
        <v>5.79376</v>
      </c>
      <c r="L12" t="n">
        <v>6.32159</v>
      </c>
      <c r="M12" t="n">
        <v>-23074.255859</v>
      </c>
      <c r="N12" t="n">
        <v>-21306.4</v>
      </c>
      <c r="O12" t="n">
        <v>-18939.1</v>
      </c>
      <c r="P12" t="n">
        <v>-20655.9</v>
      </c>
      <c r="Q12" t="n">
        <v>5</v>
      </c>
      <c r="R12" t="n">
        <v>7373.600098</v>
      </c>
      <c r="S12" t="n">
        <v>0</v>
      </c>
      <c r="T12" t="n">
        <v>6.484036</v>
      </c>
      <c r="U12" t="n">
        <v>41.916416</v>
      </c>
      <c r="V12" t="n">
        <v>17776.923828</v>
      </c>
      <c r="W12" t="n">
        <v>1.23614</v>
      </c>
      <c r="X12" t="n">
        <v>112.999893</v>
      </c>
      <c r="Y12" t="n">
        <v>184.94</v>
      </c>
      <c r="Z12" t="n">
        <v>9.289999999999999</v>
      </c>
      <c r="AA12" t="n">
        <v>47.09</v>
      </c>
      <c r="AB12" t="n">
        <v>16.23</v>
      </c>
      <c r="AC12" t="n">
        <v>3</v>
      </c>
      <c r="AD12" t="n">
        <v>190.85</v>
      </c>
      <c r="AE12" t="n">
        <v>1781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12294000</v>
      </c>
      <c r="F13" t="n">
        <v>12835500</v>
      </c>
      <c r="G13" t="n">
        <v>5647527</v>
      </c>
      <c r="H13" t="n">
        <v>7241607</v>
      </c>
      <c r="I13" t="n">
        <v>14.060788</v>
      </c>
      <c r="J13" t="n">
        <v>12.398</v>
      </c>
      <c r="K13" t="n">
        <v>7.64239</v>
      </c>
      <c r="L13" t="n">
        <v>8.496919999999999</v>
      </c>
      <c r="M13" t="n">
        <v>-2212106.25</v>
      </c>
      <c r="N13" t="n">
        <v>-2084010</v>
      </c>
      <c r="O13" t="n">
        <v>-1389590</v>
      </c>
      <c r="P13" t="n">
        <v>-1845850</v>
      </c>
      <c r="Q13" t="n">
        <v>1299</v>
      </c>
      <c r="R13" t="n">
        <v>1860.460327</v>
      </c>
      <c r="S13" t="n">
        <v>0</v>
      </c>
      <c r="T13" t="n">
        <v>77.023636</v>
      </c>
      <c r="U13" t="n">
        <v>70.39299800000001</v>
      </c>
      <c r="V13" t="n">
        <v>6094892.5</v>
      </c>
      <c r="W13" t="n">
        <v>6.300021</v>
      </c>
      <c r="X13" t="n">
        <v>163.625671</v>
      </c>
      <c r="Y13" t="n">
        <v>12817.98</v>
      </c>
      <c r="Z13" t="n">
        <v>420.36</v>
      </c>
      <c r="AA13" t="n">
        <v>7153.95</v>
      </c>
      <c r="AB13" t="n">
        <v>4415.02</v>
      </c>
      <c r="AC13" t="n">
        <v>165.65</v>
      </c>
      <c r="AD13" t="n">
        <v>13088.99</v>
      </c>
      <c r="AE13" t="n">
        <v>27630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2471320</v>
      </c>
      <c r="F14" t="n">
        <v>2997690</v>
      </c>
      <c r="G14" t="n">
        <v>1711375</v>
      </c>
      <c r="H14" t="n">
        <v>2327436</v>
      </c>
      <c r="I14" t="n">
        <v>12.341349</v>
      </c>
      <c r="J14" t="n">
        <v>9.56345</v>
      </c>
      <c r="K14" t="n">
        <v>6.21131</v>
      </c>
      <c r="L14" t="n">
        <v>6.44591</v>
      </c>
      <c r="M14" t="n">
        <v>-601266.1875</v>
      </c>
      <c r="N14" t="n">
        <v>-536902</v>
      </c>
      <c r="O14" t="n">
        <v>-462870</v>
      </c>
      <c r="P14" t="n">
        <v>-549691</v>
      </c>
      <c r="Q14" t="n">
        <v>419</v>
      </c>
      <c r="R14" t="n">
        <v>649.446289</v>
      </c>
      <c r="S14" t="n">
        <v>0</v>
      </c>
      <c r="T14" t="n">
        <v>77.917328</v>
      </c>
      <c r="U14" t="n">
        <v>69.99648999999999</v>
      </c>
      <c r="V14" t="n">
        <v>1340958.875</v>
      </c>
      <c r="W14" t="n">
        <v>4.025682</v>
      </c>
      <c r="X14" t="n">
        <v>123.549988</v>
      </c>
      <c r="Y14" t="n">
        <v>4410.53</v>
      </c>
      <c r="Z14" t="n">
        <v>143.12</v>
      </c>
      <c r="AA14" t="n">
        <v>3447.37</v>
      </c>
      <c r="AB14" t="n">
        <v>499.12</v>
      </c>
      <c r="AC14" t="n">
        <v>53.55</v>
      </c>
      <c r="AD14" t="n">
        <v>4503.12</v>
      </c>
      <c r="AE14" t="n">
        <v>9551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586514</v>
      </c>
      <c r="F15" t="n">
        <v>879132</v>
      </c>
      <c r="G15" t="n">
        <v>519779</v>
      </c>
      <c r="H15" t="n">
        <v>793648</v>
      </c>
      <c r="I15" t="n">
        <v>13.223175</v>
      </c>
      <c r="J15" t="n">
        <v>8.05931</v>
      </c>
      <c r="K15" t="n">
        <v>6.6588</v>
      </c>
      <c r="L15" t="n">
        <v>6.02086</v>
      </c>
      <c r="M15" t="n">
        <v>-271529.6875</v>
      </c>
      <c r="N15" t="n">
        <v>-197248</v>
      </c>
      <c r="O15" t="n">
        <v>-176150</v>
      </c>
      <c r="P15" t="n">
        <v>-185778</v>
      </c>
      <c r="Q15" t="n">
        <v>224</v>
      </c>
      <c r="R15" t="n">
        <v>1284.290161</v>
      </c>
      <c r="S15" t="n">
        <v>0</v>
      </c>
      <c r="T15" t="n">
        <v>75.64387499999999</v>
      </c>
      <c r="U15" t="n">
        <v>69.32379899999999</v>
      </c>
      <c r="V15" t="n">
        <v>498718.6875</v>
      </c>
      <c r="W15" t="n">
        <v>3.573149</v>
      </c>
      <c r="X15" t="n">
        <v>111.000198</v>
      </c>
      <c r="Y15" t="n">
        <v>1893.06</v>
      </c>
      <c r="Z15" t="n">
        <v>56.25</v>
      </c>
      <c r="AA15" t="n">
        <v>1680.51</v>
      </c>
      <c r="AB15" t="n">
        <v>106.56</v>
      </c>
      <c r="AC15" t="n">
        <v>19.44</v>
      </c>
      <c r="AD15" t="n">
        <v>1926.49</v>
      </c>
      <c r="AE15" t="n">
        <v>4036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5337520</v>
      </c>
      <c r="F16" t="n">
        <v>3784150</v>
      </c>
      <c r="G16" t="n">
        <v>2144409</v>
      </c>
      <c r="H16" t="n">
        <v>2861632</v>
      </c>
      <c r="I16" t="n">
        <v>18.095005</v>
      </c>
      <c r="J16" t="n">
        <v>13.9859</v>
      </c>
      <c r="K16" t="n">
        <v>12.1547</v>
      </c>
      <c r="L16" t="n">
        <v>13.8477</v>
      </c>
      <c r="M16" t="n">
        <v>-2009357.75</v>
      </c>
      <c r="N16" t="n">
        <v>-1680920</v>
      </c>
      <c r="O16" t="n">
        <v>-1544710</v>
      </c>
      <c r="P16" t="n">
        <v>-2055510</v>
      </c>
      <c r="Q16" t="n">
        <v>243</v>
      </c>
      <c r="R16" t="n">
        <v>16390.962891</v>
      </c>
      <c r="S16" t="n">
        <v>0</v>
      </c>
      <c r="T16" t="n">
        <v>35.517807</v>
      </c>
      <c r="U16" t="n">
        <v>55.212551</v>
      </c>
      <c r="V16" t="n">
        <v>293669.65625</v>
      </c>
      <c r="W16" t="n">
        <v>2.281833</v>
      </c>
      <c r="X16" t="n">
        <v>142.89119</v>
      </c>
      <c r="Y16" t="n">
        <v>972.64</v>
      </c>
      <c r="Z16" t="n">
        <v>87.47</v>
      </c>
      <c r="AA16" t="n">
        <v>167.61</v>
      </c>
      <c r="AB16" t="n">
        <v>407.11</v>
      </c>
      <c r="AC16" t="n">
        <v>66.98</v>
      </c>
      <c r="AD16" t="n">
        <v>1062.49</v>
      </c>
      <c r="AE16" t="n">
        <v>6634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138059</v>
      </c>
      <c r="F17" t="n">
        <v>172672</v>
      </c>
      <c r="G17" t="n">
        <v>120641</v>
      </c>
      <c r="H17" t="n">
        <v>180738</v>
      </c>
      <c r="I17" t="n">
        <v>12.89185</v>
      </c>
      <c r="J17" t="n">
        <v>5.77365</v>
      </c>
      <c r="K17" t="n">
        <v>4.41641</v>
      </c>
      <c r="L17" t="n">
        <v>4.8676</v>
      </c>
      <c r="M17" t="n">
        <v>-21389.208984</v>
      </c>
      <c r="N17" t="n">
        <v>-27131</v>
      </c>
      <c r="O17" t="n">
        <v>-25327.5</v>
      </c>
      <c r="P17" t="n">
        <v>-27119.7</v>
      </c>
      <c r="Q17" t="n">
        <v>23</v>
      </c>
      <c r="R17" t="n">
        <v>8035.217285</v>
      </c>
      <c r="S17" t="n">
        <v>0</v>
      </c>
      <c r="T17" t="n">
        <v>44.710327</v>
      </c>
      <c r="U17" t="n">
        <v>49.331486</v>
      </c>
      <c r="V17" t="n">
        <v>24496.863281</v>
      </c>
      <c r="W17" t="n">
        <v>1.997135</v>
      </c>
      <c r="X17" t="n">
        <v>39.013081</v>
      </c>
      <c r="Y17" t="n">
        <v>64.13</v>
      </c>
      <c r="Z17" t="n">
        <v>7.07</v>
      </c>
      <c r="AA17" t="n">
        <v>5.54</v>
      </c>
      <c r="AB17" t="n">
        <v>6.16</v>
      </c>
      <c r="AC17" t="n">
        <v>3.36</v>
      </c>
      <c r="AD17" t="n">
        <v>69.63</v>
      </c>
      <c r="AE17" t="n">
        <v>422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812354</v>
      </c>
      <c r="F18" t="n">
        <v>1102520</v>
      </c>
      <c r="G18" t="n">
        <v>647093</v>
      </c>
      <c r="H18" t="n">
        <v>797747</v>
      </c>
      <c r="I18" t="n">
        <v>12.160886</v>
      </c>
      <c r="J18" t="n">
        <v>6.47018</v>
      </c>
      <c r="K18" t="n">
        <v>5.97668</v>
      </c>
      <c r="L18" t="n">
        <v>6.81531</v>
      </c>
      <c r="M18" t="n">
        <v>-84462.414062</v>
      </c>
      <c r="N18" t="n">
        <v>-151134</v>
      </c>
      <c r="O18" t="n">
        <v>-125991</v>
      </c>
      <c r="P18" t="n">
        <v>-149450</v>
      </c>
      <c r="Q18" t="n">
        <v>69</v>
      </c>
      <c r="R18" t="n">
        <v>76.08696</v>
      </c>
      <c r="S18" t="n">
        <v>0</v>
      </c>
      <c r="T18" t="n">
        <v>34.621731</v>
      </c>
      <c r="U18" t="n">
        <v>77.240852</v>
      </c>
      <c r="V18" t="n">
        <v>158400.09375</v>
      </c>
      <c r="W18" t="n">
        <v>2.954234</v>
      </c>
      <c r="X18" t="n">
        <v>158.439316</v>
      </c>
      <c r="Y18" t="n">
        <v>180.85</v>
      </c>
      <c r="Z18" t="n">
        <v>13.39</v>
      </c>
      <c r="AA18" t="n">
        <v>18.28</v>
      </c>
      <c r="AB18" t="n">
        <v>40.23</v>
      </c>
      <c r="AC18" t="n">
        <v>7.76</v>
      </c>
      <c r="AD18" t="n">
        <v>194.15</v>
      </c>
      <c r="AE18" t="n">
        <v>2151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86869.2</v>
      </c>
      <c r="F19" t="n">
        <v>146608</v>
      </c>
      <c r="G19" t="n">
        <v>109380</v>
      </c>
      <c r="H19" t="n">
        <v>190599</v>
      </c>
      <c r="I19" t="n">
        <v>19.017973</v>
      </c>
      <c r="J19" t="n">
        <v>10.8236</v>
      </c>
      <c r="K19" t="n">
        <v>9.779920000000001</v>
      </c>
      <c r="L19" t="n">
        <v>9.156790000000001</v>
      </c>
      <c r="M19" t="n">
        <v>-28335.09375</v>
      </c>
      <c r="N19" t="n">
        <v>-19224</v>
      </c>
      <c r="O19" t="n">
        <v>-18047.9</v>
      </c>
      <c r="P19" t="n">
        <v>-18027.2</v>
      </c>
      <c r="Q19" t="n">
        <v>10</v>
      </c>
      <c r="R19" t="n">
        <v>15.5</v>
      </c>
      <c r="S19" t="n">
        <v>0</v>
      </c>
      <c r="T19" t="n">
        <v>59.922779</v>
      </c>
      <c r="U19" t="n">
        <v>58.944256</v>
      </c>
      <c r="V19" t="n">
        <v>42948.589844</v>
      </c>
      <c r="W19" t="n">
        <v>1.867492</v>
      </c>
      <c r="X19" t="n">
        <v>22.253414</v>
      </c>
      <c r="Y19" t="n">
        <v>91.58</v>
      </c>
      <c r="Z19" t="n">
        <v>12.42</v>
      </c>
      <c r="AA19" t="n">
        <v>23.9</v>
      </c>
      <c r="AB19" t="n">
        <v>11.85</v>
      </c>
      <c r="AC19" t="n">
        <v>5.65</v>
      </c>
      <c r="AD19" t="n">
        <v>100.57</v>
      </c>
      <c r="AE19" t="n">
        <v>1218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2555490</v>
      </c>
      <c r="F20" t="n">
        <v>2042640</v>
      </c>
      <c r="G20" t="n">
        <v>1191318</v>
      </c>
      <c r="H20" t="n">
        <v>1658917</v>
      </c>
      <c r="I20" t="n">
        <v>15.364466</v>
      </c>
      <c r="J20" t="n">
        <v>16.5067</v>
      </c>
      <c r="K20" t="n">
        <v>8.174289999999999</v>
      </c>
      <c r="L20" t="n">
        <v>10.5818</v>
      </c>
      <c r="M20" t="n">
        <v>-523794.03125</v>
      </c>
      <c r="N20" t="n">
        <v>-516374</v>
      </c>
      <c r="O20" t="n">
        <v>-419672</v>
      </c>
      <c r="P20" t="n">
        <v>-614235</v>
      </c>
      <c r="Q20" t="n">
        <v>162</v>
      </c>
      <c r="R20" t="n">
        <v>7446.376465</v>
      </c>
      <c r="S20" t="n">
        <v>0</v>
      </c>
      <c r="T20" t="n">
        <v>48.52071</v>
      </c>
      <c r="U20" t="n">
        <v>31.708229</v>
      </c>
      <c r="V20" t="n">
        <v>147874.140625</v>
      </c>
      <c r="W20" t="n">
        <v>0.863599</v>
      </c>
      <c r="X20" t="n">
        <v>91.00020600000001</v>
      </c>
      <c r="Y20" t="n">
        <v>2263.69</v>
      </c>
      <c r="Z20" t="n">
        <v>72.5</v>
      </c>
      <c r="AA20" t="n">
        <v>1701.71</v>
      </c>
      <c r="AB20" t="n">
        <v>171.44</v>
      </c>
      <c r="AC20" t="n">
        <v>35.84</v>
      </c>
      <c r="AD20" t="n">
        <v>2319.31</v>
      </c>
      <c r="AE20" t="n">
        <v>4482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98176.39999999999</v>
      </c>
      <c r="F21" t="n">
        <v>95644.2</v>
      </c>
      <c r="G21" t="n">
        <v>81096</v>
      </c>
      <c r="H21" t="n">
        <v>148014</v>
      </c>
      <c r="I21" t="n">
        <v>11.382466</v>
      </c>
      <c r="J21" t="n">
        <v>7.13395</v>
      </c>
      <c r="K21" t="n">
        <v>6.10046</v>
      </c>
      <c r="L21" t="n">
        <v>6.30636</v>
      </c>
      <c r="M21" t="n">
        <v>-29501.390625</v>
      </c>
      <c r="N21" t="n">
        <v>-49642.2</v>
      </c>
      <c r="O21" t="n">
        <v>-47912.2</v>
      </c>
      <c r="P21" t="n">
        <v>-56114</v>
      </c>
      <c r="Q21" t="n">
        <v>12</v>
      </c>
      <c r="R21" t="n">
        <v>17067.916016</v>
      </c>
      <c r="S21" t="n">
        <v>0</v>
      </c>
      <c r="T21" t="n">
        <v>64.36314400000001</v>
      </c>
      <c r="U21" t="n">
        <v>49.072823</v>
      </c>
      <c r="V21" t="n">
        <v>17270.070312</v>
      </c>
      <c r="W21" t="n">
        <v>1.227003</v>
      </c>
      <c r="X21" t="n">
        <v>15.999901</v>
      </c>
      <c r="Y21" t="n">
        <v>72.31999999999999</v>
      </c>
      <c r="Z21" t="n">
        <v>7.57</v>
      </c>
      <c r="AA21" t="n">
        <v>15.96</v>
      </c>
      <c r="AB21" t="n">
        <v>5.35</v>
      </c>
      <c r="AC21" t="n">
        <v>4.05</v>
      </c>
      <c r="AD21" t="n">
        <v>78.86</v>
      </c>
      <c r="AE21" t="n">
        <v>632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132030</v>
      </c>
      <c r="F22" t="n">
        <v>136470</v>
      </c>
      <c r="G22" t="n">
        <v>102455</v>
      </c>
      <c r="H22" t="n">
        <v>169608</v>
      </c>
      <c r="I22" t="n">
        <v>14.835243</v>
      </c>
      <c r="J22" t="n">
        <v>6.46148</v>
      </c>
      <c r="K22" t="n">
        <v>6.25358</v>
      </c>
      <c r="L22" t="n">
        <v>6.5764</v>
      </c>
      <c r="M22" t="n">
        <v>-45087.386719</v>
      </c>
      <c r="N22" t="n">
        <v>-47310.7</v>
      </c>
      <c r="O22" t="n">
        <v>-43535.1</v>
      </c>
      <c r="P22" t="n">
        <v>-49884</v>
      </c>
      <c r="Q22" t="n">
        <v>16</v>
      </c>
      <c r="R22" t="n">
        <v>9222.5625</v>
      </c>
      <c r="S22" t="n">
        <v>0</v>
      </c>
      <c r="T22" t="n">
        <v>51.841747</v>
      </c>
      <c r="U22" t="n">
        <v>51.638023</v>
      </c>
      <c r="V22" t="n">
        <v>28734.917969</v>
      </c>
      <c r="W22" t="n">
        <v>1.25016</v>
      </c>
      <c r="X22" t="n">
        <v>17.999901</v>
      </c>
      <c r="Y22" t="n">
        <v>87.77</v>
      </c>
      <c r="Z22" t="n">
        <v>11</v>
      </c>
      <c r="AA22" t="n">
        <v>20.9</v>
      </c>
      <c r="AB22" t="n">
        <v>11.4</v>
      </c>
      <c r="AC22" t="n">
        <v>3.99</v>
      </c>
      <c r="AD22" t="n">
        <v>94.8</v>
      </c>
      <c r="AE22" t="n">
        <v>976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82655.5</v>
      </c>
      <c r="F23" t="n">
        <v>111757</v>
      </c>
      <c r="G23" t="n">
        <v>84879</v>
      </c>
      <c r="H23" t="n">
        <v>131760</v>
      </c>
      <c r="I23" t="n">
        <v>15.566805</v>
      </c>
      <c r="J23" t="n">
        <v>11.58</v>
      </c>
      <c r="K23" t="n">
        <v>10.6466</v>
      </c>
      <c r="L23" t="n">
        <v>9.438750000000001</v>
      </c>
      <c r="M23" t="n">
        <v>-16483.837891</v>
      </c>
      <c r="N23" t="n">
        <v>-16295.7</v>
      </c>
      <c r="O23" t="n">
        <v>-14951.9</v>
      </c>
      <c r="P23" t="n">
        <v>-16196.3</v>
      </c>
      <c r="Q23" t="n">
        <v>6</v>
      </c>
      <c r="R23" t="n">
        <v>57.166668</v>
      </c>
      <c r="S23" t="n">
        <v>0</v>
      </c>
      <c r="T23" t="n">
        <v>45.380436</v>
      </c>
      <c r="U23" t="n">
        <v>37.908607</v>
      </c>
      <c r="V23" t="n">
        <v>9188.859375</v>
      </c>
      <c r="W23" t="n">
        <v>0.776152</v>
      </c>
      <c r="X23" t="n">
        <v>33.405327</v>
      </c>
      <c r="Y23" t="n">
        <v>65.67</v>
      </c>
      <c r="Z23" t="n">
        <v>6.4</v>
      </c>
      <c r="AA23" t="n">
        <v>11.51</v>
      </c>
      <c r="AB23" t="n">
        <v>5.25</v>
      </c>
      <c r="AC23" t="n">
        <v>2.77</v>
      </c>
      <c r="AD23" t="n">
        <v>70.41</v>
      </c>
      <c r="AE23" t="n">
        <v>515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147698</v>
      </c>
      <c r="F24" t="n">
        <v>227765</v>
      </c>
      <c r="G24" t="n">
        <v>138452</v>
      </c>
      <c r="H24" t="n">
        <v>197371</v>
      </c>
      <c r="I24" t="n">
        <v>8.392478000000001</v>
      </c>
      <c r="J24" t="n">
        <v>7.91522</v>
      </c>
      <c r="K24" t="n">
        <v>6.23798</v>
      </c>
      <c r="L24" t="n">
        <v>6.52544</v>
      </c>
      <c r="M24" t="n">
        <v>-33120.332031</v>
      </c>
      <c r="N24" t="n">
        <v>-46410.1</v>
      </c>
      <c r="O24" t="n">
        <v>-40194.6</v>
      </c>
      <c r="P24" t="n">
        <v>-47249.7</v>
      </c>
      <c r="Q24" t="n">
        <v>58</v>
      </c>
      <c r="R24" t="n">
        <v>4943.620605</v>
      </c>
      <c r="S24" t="n">
        <v>0</v>
      </c>
      <c r="T24" t="n">
        <v>39.264992</v>
      </c>
      <c r="U24" t="n">
        <v>54.379032</v>
      </c>
      <c r="V24" t="n">
        <v>50419.863281</v>
      </c>
      <c r="W24" t="n">
        <v>3.496281</v>
      </c>
      <c r="X24" t="n">
        <v>87.000198</v>
      </c>
      <c r="Y24" t="n">
        <v>71.31999999999999</v>
      </c>
      <c r="Z24" t="n">
        <v>6.69</v>
      </c>
      <c r="AA24" t="n">
        <v>12.41</v>
      </c>
      <c r="AB24" t="n">
        <v>6.74</v>
      </c>
      <c r="AC24" t="n">
        <v>3.24</v>
      </c>
      <c r="AD24" t="n">
        <v>76.97</v>
      </c>
      <c r="AE24" t="n">
        <v>671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9203300</v>
      </c>
      <c r="F25" t="n">
        <v>5468430</v>
      </c>
      <c r="G25" t="n">
        <v>2322361</v>
      </c>
      <c r="H25" t="n">
        <v>3559482</v>
      </c>
      <c r="I25" t="n">
        <v>19.184509</v>
      </c>
      <c r="J25" t="n">
        <v>19.2598</v>
      </c>
      <c r="K25" t="n">
        <v>10.6603</v>
      </c>
      <c r="L25" t="n">
        <v>12.3658</v>
      </c>
      <c r="M25" t="n">
        <v>-3930323.25</v>
      </c>
      <c r="N25" t="n">
        <v>-5100740</v>
      </c>
      <c r="O25" t="n">
        <v>-3256600</v>
      </c>
      <c r="P25" t="n">
        <v>-4187160</v>
      </c>
      <c r="Q25" t="n">
        <v>699</v>
      </c>
      <c r="R25" t="n">
        <v>15549.397461</v>
      </c>
      <c r="S25" t="n">
        <v>0</v>
      </c>
      <c r="T25" t="n">
        <v>59.915813</v>
      </c>
      <c r="U25" t="n">
        <v>66.034721</v>
      </c>
      <c r="V25" t="n">
        <v>960181.375</v>
      </c>
      <c r="W25" t="n">
        <v>3.443041</v>
      </c>
      <c r="X25" t="n">
        <v>171.38858</v>
      </c>
      <c r="Y25" t="n">
        <v>5144.84</v>
      </c>
      <c r="Z25" t="n">
        <v>200.94</v>
      </c>
      <c r="AA25" t="n">
        <v>3417.4</v>
      </c>
      <c r="AB25" t="n">
        <v>683.14</v>
      </c>
      <c r="AC25" t="n">
        <v>91.28</v>
      </c>
      <c r="AD25" t="n">
        <v>5283.69</v>
      </c>
      <c r="AE25" t="n">
        <v>10965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15200400</v>
      </c>
      <c r="F26" t="n">
        <v>4942280</v>
      </c>
      <c r="G26" t="n">
        <v>2039439</v>
      </c>
      <c r="H26" t="n">
        <v>2906355</v>
      </c>
      <c r="I26" t="n">
        <v>17.225243</v>
      </c>
      <c r="J26" t="n">
        <v>17.9726</v>
      </c>
      <c r="K26" t="n">
        <v>10.568</v>
      </c>
      <c r="L26" t="n">
        <v>11.6669</v>
      </c>
      <c r="M26" t="n">
        <v>-1663844.625</v>
      </c>
      <c r="N26" t="n">
        <v>-2710520</v>
      </c>
      <c r="O26" t="n">
        <v>-1601140</v>
      </c>
      <c r="P26" t="n">
        <v>-2615540</v>
      </c>
      <c r="Q26" t="n">
        <v>653</v>
      </c>
      <c r="R26" t="n">
        <v>16435.865234</v>
      </c>
      <c r="S26" t="n">
        <v>0</v>
      </c>
      <c r="T26" t="n">
        <v>40.762295</v>
      </c>
      <c r="U26" t="n">
        <v>51.258694</v>
      </c>
      <c r="V26" t="n">
        <v>354978.4375</v>
      </c>
      <c r="W26" t="n">
        <v>2.789943</v>
      </c>
      <c r="X26" t="n">
        <v>129.60022</v>
      </c>
      <c r="Y26" t="n">
        <v>3554.26</v>
      </c>
      <c r="Z26" t="n">
        <v>91.05</v>
      </c>
      <c r="AA26" t="n">
        <v>1016.92</v>
      </c>
      <c r="AB26" t="n">
        <v>318.26</v>
      </c>
      <c r="AC26" t="n">
        <v>60.92</v>
      </c>
      <c r="AD26" t="n">
        <v>3661.81</v>
      </c>
      <c r="AE26" t="n">
        <v>4644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3184450</v>
      </c>
      <c r="F27" t="n">
        <v>2385550</v>
      </c>
      <c r="G27" t="n">
        <v>1414811</v>
      </c>
      <c r="H27" t="n">
        <v>1494150</v>
      </c>
      <c r="I27" t="n">
        <v>10.785014</v>
      </c>
      <c r="J27" t="n">
        <v>13.2784</v>
      </c>
      <c r="K27" t="n">
        <v>8.79279</v>
      </c>
      <c r="L27" t="n">
        <v>9.86774</v>
      </c>
      <c r="M27" t="n">
        <v>-326625.375</v>
      </c>
      <c r="N27" t="n">
        <v>-480933</v>
      </c>
      <c r="O27" t="n">
        <v>-371445</v>
      </c>
      <c r="P27" t="n">
        <v>-414437</v>
      </c>
      <c r="Q27" t="n">
        <v>302</v>
      </c>
      <c r="R27" t="n">
        <v>518.003296</v>
      </c>
      <c r="S27" t="n">
        <v>0</v>
      </c>
      <c r="T27" t="n">
        <v>40.835777</v>
      </c>
      <c r="U27" t="n">
        <v>73.27982299999999</v>
      </c>
      <c r="V27" t="n">
        <v>332559.9375</v>
      </c>
      <c r="W27" t="n">
        <v>5.537866</v>
      </c>
      <c r="X27" t="n">
        <v>379.000183</v>
      </c>
      <c r="Y27" t="n">
        <v>1784.76</v>
      </c>
      <c r="Z27" t="n">
        <v>42.1</v>
      </c>
      <c r="AA27" t="n">
        <v>34.21</v>
      </c>
      <c r="AB27" t="n">
        <v>911.08</v>
      </c>
      <c r="AC27" t="n">
        <v>23.01</v>
      </c>
      <c r="AD27" t="n">
        <v>1831.93</v>
      </c>
      <c r="AE27" t="n">
        <v>1799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2024070</v>
      </c>
      <c r="F28" t="n">
        <v>1483410</v>
      </c>
      <c r="G28" t="n">
        <v>841116</v>
      </c>
      <c r="H28" t="n">
        <v>1002053</v>
      </c>
      <c r="I28" t="n">
        <v>18.974909</v>
      </c>
      <c r="J28" t="n">
        <v>14.5608</v>
      </c>
      <c r="K28" t="n">
        <v>10.8393</v>
      </c>
      <c r="L28" t="n">
        <v>11.549</v>
      </c>
      <c r="M28" t="n">
        <v>-181141.96875</v>
      </c>
      <c r="N28" t="n">
        <v>-330386</v>
      </c>
      <c r="O28" t="n">
        <v>-311928</v>
      </c>
      <c r="P28" t="n">
        <v>-363955</v>
      </c>
      <c r="Q28" t="n">
        <v>273</v>
      </c>
      <c r="R28" t="n">
        <v>1356.593384</v>
      </c>
      <c r="S28" t="n">
        <v>0</v>
      </c>
      <c r="T28" t="n">
        <v>41.82793</v>
      </c>
      <c r="U28" t="n">
        <v>61.431068</v>
      </c>
      <c r="V28" t="n">
        <v>267375.40625</v>
      </c>
      <c r="W28" t="n">
        <v>4.671945</v>
      </c>
      <c r="X28" t="n">
        <v>475.000183</v>
      </c>
      <c r="Y28" t="n">
        <v>1592.21</v>
      </c>
      <c r="Z28" t="n">
        <v>40</v>
      </c>
      <c r="AA28" t="n">
        <v>191.6</v>
      </c>
      <c r="AB28" t="n">
        <v>557.38</v>
      </c>
      <c r="AC28" t="n">
        <v>26.47</v>
      </c>
      <c r="AD28" t="n">
        <v>1643.56</v>
      </c>
      <c r="AE28" t="n">
        <v>1941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405574</v>
      </c>
      <c r="F29" t="n">
        <v>463624</v>
      </c>
      <c r="G29" t="n">
        <v>290269</v>
      </c>
      <c r="H29" t="n">
        <v>327527</v>
      </c>
      <c r="I29" t="n">
        <v>12.008006</v>
      </c>
      <c r="J29" t="n">
        <v>7.69353</v>
      </c>
      <c r="K29" t="n">
        <v>5.17779</v>
      </c>
      <c r="L29" t="n">
        <v>6.20748</v>
      </c>
      <c r="M29" t="n">
        <v>-53554.742188</v>
      </c>
      <c r="N29" t="n">
        <v>-86982.8</v>
      </c>
      <c r="O29" t="n">
        <v>-81360.2</v>
      </c>
      <c r="P29" t="n">
        <v>-87321.10000000001</v>
      </c>
      <c r="Q29" t="n">
        <v>47</v>
      </c>
      <c r="R29" t="n">
        <v>719.978699</v>
      </c>
      <c r="S29" t="n">
        <v>0</v>
      </c>
      <c r="T29" t="n">
        <v>34.144691</v>
      </c>
      <c r="U29" t="n">
        <v>71.675545</v>
      </c>
      <c r="V29" t="n">
        <v>68761.679688</v>
      </c>
      <c r="W29" t="n">
        <v>3.738267</v>
      </c>
      <c r="X29" t="n">
        <v>167.747864</v>
      </c>
      <c r="Y29" t="n">
        <v>165.13</v>
      </c>
      <c r="Z29" t="n">
        <v>10.91</v>
      </c>
      <c r="AA29" t="n">
        <v>10.2</v>
      </c>
      <c r="AB29" t="n">
        <v>32.72</v>
      </c>
      <c r="AC29" t="n">
        <v>4.61</v>
      </c>
      <c r="AD29" t="n">
        <v>174.15</v>
      </c>
      <c r="AE29" t="n">
        <v>538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363936</v>
      </c>
      <c r="F30" t="n">
        <v>361806</v>
      </c>
      <c r="G30" t="n">
        <v>194453</v>
      </c>
      <c r="H30" t="n">
        <v>258763</v>
      </c>
      <c r="I30" t="n">
        <v>14.492358</v>
      </c>
      <c r="J30" t="n">
        <v>12.2249</v>
      </c>
      <c r="K30" t="n">
        <v>9.16309</v>
      </c>
      <c r="L30" t="n">
        <v>9.905860000000001</v>
      </c>
      <c r="M30" t="n">
        <v>-61456.90625</v>
      </c>
      <c r="N30" t="n">
        <v>-88235.5</v>
      </c>
      <c r="O30" t="n">
        <v>-77245.7</v>
      </c>
      <c r="P30" t="n">
        <v>-86688.3</v>
      </c>
      <c r="Q30" t="n">
        <v>83</v>
      </c>
      <c r="R30" t="n">
        <v>3525.2771</v>
      </c>
      <c r="S30" t="n">
        <v>0</v>
      </c>
      <c r="T30" t="n">
        <v>36.336517</v>
      </c>
      <c r="U30" t="n">
        <v>49.694099</v>
      </c>
      <c r="V30" t="n">
        <v>48343.175781</v>
      </c>
      <c r="W30" t="n">
        <v>2.385197</v>
      </c>
      <c r="X30" t="n">
        <v>187.000198</v>
      </c>
      <c r="Y30" t="n">
        <v>253.23</v>
      </c>
      <c r="Z30" t="n">
        <v>12.66</v>
      </c>
      <c r="AA30" t="n">
        <v>108.21</v>
      </c>
      <c r="AB30" t="n">
        <v>22.92</v>
      </c>
      <c r="AC30" t="n">
        <v>5.88</v>
      </c>
      <c r="AD30" t="n">
        <v>263.47</v>
      </c>
      <c r="AE30" t="n">
        <v>706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exited with return code 1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959.4400000000001</v>
      </c>
      <c r="AE2" t="n">
        <v>-1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4650360</v>
      </c>
      <c r="G3" t="n">
        <v>888870</v>
      </c>
      <c r="H3" t="n">
        <v>1193240</v>
      </c>
      <c r="I3" t="n">
        <v>-1</v>
      </c>
      <c r="J3" t="n">
        <v>20.0158</v>
      </c>
      <c r="K3" t="n">
        <v>8.4689</v>
      </c>
      <c r="L3" t="n">
        <v>8.735060000000001</v>
      </c>
      <c r="M3" t="n">
        <v>-1</v>
      </c>
      <c r="N3" t="n">
        <v>-259676</v>
      </c>
      <c r="O3" t="n">
        <v>-163089</v>
      </c>
      <c r="P3" t="n">
        <v>-185286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22.82</v>
      </c>
      <c r="AD3" t="n">
        <v>473.68</v>
      </c>
      <c r="AE3" t="n">
        <v>6196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4108190</v>
      </c>
      <c r="G4" t="n">
        <v>1773560</v>
      </c>
      <c r="H4" t="n">
        <v>2112082</v>
      </c>
      <c r="I4" t="n">
        <v>-1</v>
      </c>
      <c r="J4" t="n">
        <v>34.3987</v>
      </c>
      <c r="K4" t="n">
        <v>9.68946</v>
      </c>
      <c r="L4" t="n">
        <v>11.1675</v>
      </c>
      <c r="M4" t="n">
        <v>-1</v>
      </c>
      <c r="N4" t="n">
        <v>-829383</v>
      </c>
      <c r="O4" t="n">
        <v>-575580</v>
      </c>
      <c r="P4" t="n">
        <v>-899845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420.37</v>
      </c>
      <c r="AD4" t="n">
        <v>895.22</v>
      </c>
      <c r="AE4" t="n">
        <v>1322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843198</v>
      </c>
      <c r="G5" t="n">
        <v>334450</v>
      </c>
      <c r="H5" t="n">
        <v>436221</v>
      </c>
      <c r="I5" t="n">
        <v>-1</v>
      </c>
      <c r="J5" t="n">
        <v>17.5076</v>
      </c>
      <c r="K5" t="n">
        <v>8.77271</v>
      </c>
      <c r="L5" t="n">
        <v>9.547230000000001</v>
      </c>
      <c r="M5" t="n">
        <v>-1</v>
      </c>
      <c r="N5" t="n">
        <v>-189029</v>
      </c>
      <c r="O5" t="n">
        <v>-130153</v>
      </c>
      <c r="P5" t="n">
        <v>-183420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8.74</v>
      </c>
      <c r="AD5" t="n">
        <v>151.53</v>
      </c>
      <c r="AE5" t="n">
        <v>392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exited with return code 2</t>
        </is>
      </c>
      <c r="E6" t="n">
        <v>-1</v>
      </c>
      <c r="F6" t="n">
        <v>14474400</v>
      </c>
      <c r="G6" t="n">
        <v>4940641</v>
      </c>
      <c r="H6" t="n">
        <v>-1</v>
      </c>
      <c r="I6" t="n">
        <v>-1</v>
      </c>
      <c r="J6" t="n">
        <v>33.7306</v>
      </c>
      <c r="K6" t="n">
        <v>9.19018</v>
      </c>
      <c r="L6" t="n">
        <v>-1</v>
      </c>
      <c r="M6" t="n">
        <v>-1</v>
      </c>
      <c r="N6" t="n">
        <v>-2140980</v>
      </c>
      <c r="O6" t="n">
        <v>-1639160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34043.6</v>
      </c>
      <c r="AD6" t="n">
        <v>35157.89</v>
      </c>
      <c r="AE6" t="n">
        <v>7136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2361680</v>
      </c>
      <c r="G7" t="n">
        <v>845299</v>
      </c>
      <c r="H7" t="n">
        <v>1129823</v>
      </c>
      <c r="I7" t="n">
        <v>-1</v>
      </c>
      <c r="J7" t="n">
        <v>16.4702</v>
      </c>
      <c r="K7" t="n">
        <v>6.98095</v>
      </c>
      <c r="L7" t="n">
        <v>8.07733</v>
      </c>
      <c r="M7" t="n">
        <v>-1</v>
      </c>
      <c r="N7" t="n">
        <v>-443461</v>
      </c>
      <c r="O7" t="n">
        <v>-334700</v>
      </c>
      <c r="P7" t="n">
        <v>-496318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37.66</v>
      </c>
      <c r="AD7" t="n">
        <v>284.85</v>
      </c>
      <c r="AE7" t="n">
        <v>1992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25084600</v>
      </c>
      <c r="G8" t="n">
        <v>4115322</v>
      </c>
      <c r="H8" t="n">
        <v>4458126</v>
      </c>
      <c r="I8" t="n">
        <v>-1</v>
      </c>
      <c r="J8" t="n">
        <v>28.6605</v>
      </c>
      <c r="K8" t="n">
        <v>8.516159999999999</v>
      </c>
      <c r="L8" t="n">
        <v>9.21561</v>
      </c>
      <c r="M8" t="n">
        <v>-1</v>
      </c>
      <c r="N8" t="n">
        <v>-2506640</v>
      </c>
      <c r="O8" t="n">
        <v>-1546470</v>
      </c>
      <c r="P8" t="n">
        <v>-2107910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128.87</v>
      </c>
      <c r="AD8" t="n">
        <v>2808.2</v>
      </c>
      <c r="AE8" t="n">
        <v>22840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15288700</v>
      </c>
      <c r="G9" t="n">
        <v>2567691</v>
      </c>
      <c r="H9" t="n">
        <v>2901802</v>
      </c>
      <c r="I9" t="n">
        <v>-1</v>
      </c>
      <c r="J9" t="n">
        <v>33.5186</v>
      </c>
      <c r="K9" t="n">
        <v>7.26456</v>
      </c>
      <c r="L9" t="n">
        <v>8.69061</v>
      </c>
      <c r="M9" t="n">
        <v>-1</v>
      </c>
      <c r="N9" t="n">
        <v>-1569890</v>
      </c>
      <c r="O9" t="n">
        <v>-890804</v>
      </c>
      <c r="P9" t="n">
        <v>-1266800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67.03</v>
      </c>
      <c r="AD9" t="n">
        <v>1686.87</v>
      </c>
      <c r="AE9" t="n">
        <v>15288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5403570</v>
      </c>
      <c r="G10" t="n">
        <v>1009421</v>
      </c>
      <c r="H10" t="n">
        <v>1237480</v>
      </c>
      <c r="I10" t="n">
        <v>-1</v>
      </c>
      <c r="J10" t="n">
        <v>17.7016</v>
      </c>
      <c r="K10" t="n">
        <v>6.67437</v>
      </c>
      <c r="L10" t="n">
        <v>7.09996</v>
      </c>
      <c r="M10" t="n">
        <v>-1</v>
      </c>
      <c r="N10" t="n">
        <v>-551668</v>
      </c>
      <c r="O10" t="n">
        <v>-474711</v>
      </c>
      <c r="P10" t="n">
        <v>-595652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28.85</v>
      </c>
      <c r="AD10" t="n">
        <v>659.39</v>
      </c>
      <c r="AE10" t="n">
        <v>7731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570911</v>
      </c>
      <c r="G11" t="n">
        <v>155324</v>
      </c>
      <c r="H11" t="n">
        <v>228843</v>
      </c>
      <c r="I11" t="n">
        <v>-1</v>
      </c>
      <c r="J11" t="n">
        <v>7.83108</v>
      </c>
      <c r="K11" t="n">
        <v>5.30455</v>
      </c>
      <c r="L11" t="n">
        <v>5.75364</v>
      </c>
      <c r="M11" t="n">
        <v>-1</v>
      </c>
      <c r="N11" t="n">
        <v>-83804.39999999999</v>
      </c>
      <c r="O11" t="n">
        <v>-66455.7</v>
      </c>
      <c r="P11" t="n">
        <v>-68286.2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4.22</v>
      </c>
      <c r="AD11" t="n">
        <v>76.01000000000001</v>
      </c>
      <c r="AE11" t="n">
        <v>818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397025</v>
      </c>
      <c r="G12" t="n">
        <v>73865</v>
      </c>
      <c r="H12" t="n">
        <v>98786</v>
      </c>
      <c r="I12" t="n">
        <v>-1</v>
      </c>
      <c r="J12" t="n">
        <v>11.8094</v>
      </c>
      <c r="K12" t="n">
        <v>5.56346</v>
      </c>
      <c r="L12" t="n">
        <v>6.44005</v>
      </c>
      <c r="M12" t="n">
        <v>-1</v>
      </c>
      <c r="N12" t="n">
        <v>-34202.1</v>
      </c>
      <c r="O12" t="n">
        <v>-19838.5</v>
      </c>
      <c r="P12" t="n">
        <v>-22285.2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3.29</v>
      </c>
      <c r="AD12" t="n">
        <v>178.48</v>
      </c>
      <c r="AE12" t="n">
        <v>1737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50986800</v>
      </c>
      <c r="G13" t="n">
        <v>7699808</v>
      </c>
      <c r="H13" t="n">
        <v>9164908</v>
      </c>
      <c r="I13" t="n">
        <v>-1</v>
      </c>
      <c r="J13" t="n">
        <v>44.8717</v>
      </c>
      <c r="K13" t="n">
        <v>7.81426</v>
      </c>
      <c r="L13" t="n">
        <v>8.931139999999999</v>
      </c>
      <c r="M13" t="n">
        <v>-1</v>
      </c>
      <c r="N13" t="n">
        <v>-3827010</v>
      </c>
      <c r="O13" t="n">
        <v>-1498430</v>
      </c>
      <c r="P13" t="n">
        <v>-2057400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1960.49</v>
      </c>
      <c r="AD13" t="n">
        <v>13035.76</v>
      </c>
      <c r="AE13" t="n">
        <v>25061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12907400</v>
      </c>
      <c r="G14" t="n">
        <v>2084926</v>
      </c>
      <c r="H14" t="n">
        <v>2693376</v>
      </c>
      <c r="I14" t="n">
        <v>-1</v>
      </c>
      <c r="J14" t="n">
        <v>32.0364</v>
      </c>
      <c r="K14" t="n">
        <v>7.47622</v>
      </c>
      <c r="L14" t="n">
        <v>8.18402</v>
      </c>
      <c r="M14" t="n">
        <v>-1</v>
      </c>
      <c r="N14" t="n">
        <v>-964470</v>
      </c>
      <c r="O14" t="n">
        <v>-451126</v>
      </c>
      <c r="P14" t="n">
        <v>-556999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77.06</v>
      </c>
      <c r="AD14" t="n">
        <v>4450.37</v>
      </c>
      <c r="AE14" t="n">
        <v>8988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3060700</v>
      </c>
      <c r="G15" t="n">
        <v>576655</v>
      </c>
      <c r="H15" t="n">
        <v>854503</v>
      </c>
      <c r="I15" t="n">
        <v>-1</v>
      </c>
      <c r="J15" t="n">
        <v>17.2735</v>
      </c>
      <c r="K15" t="n">
        <v>6.10895</v>
      </c>
      <c r="L15" t="n">
        <v>6.09662</v>
      </c>
      <c r="M15" t="n">
        <v>-1</v>
      </c>
      <c r="N15" t="n">
        <v>-285874</v>
      </c>
      <c r="O15" t="n">
        <v>-176207</v>
      </c>
      <c r="P15" t="n">
        <v>-193202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17.5</v>
      </c>
      <c r="AD15" t="n">
        <v>1887.87</v>
      </c>
      <c r="AE15" t="n">
        <v>3858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10426300</v>
      </c>
      <c r="G16" t="n">
        <v>1912566</v>
      </c>
      <c r="H16" t="n">
        <v>2667161</v>
      </c>
      <c r="I16" t="n">
        <v>-1</v>
      </c>
      <c r="J16" t="n">
        <v>42.2734</v>
      </c>
      <c r="K16" t="n">
        <v>9.87715</v>
      </c>
      <c r="L16" t="n">
        <v>10.5473</v>
      </c>
      <c r="M16" t="n">
        <v>-1</v>
      </c>
      <c r="N16" t="n">
        <v>-2049630</v>
      </c>
      <c r="O16" t="n">
        <v>-1379650</v>
      </c>
      <c r="P16" t="n">
        <v>-1774960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64.29000000000001</v>
      </c>
      <c r="AD16" t="n">
        <v>1080.56</v>
      </c>
      <c r="AE16" t="n">
        <v>5969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352107</v>
      </c>
      <c r="G17" t="n">
        <v>132791</v>
      </c>
      <c r="H17" t="n">
        <v>194629</v>
      </c>
      <c r="I17" t="n">
        <v>-1</v>
      </c>
      <c r="J17" t="n">
        <v>7.75541</v>
      </c>
      <c r="K17" t="n">
        <v>4.52351</v>
      </c>
      <c r="L17" t="n">
        <v>4.7647</v>
      </c>
      <c r="M17" t="n">
        <v>-1</v>
      </c>
      <c r="N17" t="n">
        <v>-34112.8</v>
      </c>
      <c r="O17" t="n">
        <v>-26610.5</v>
      </c>
      <c r="P17" t="n">
        <v>-28589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3.8</v>
      </c>
      <c r="AD17" t="n">
        <v>62.7</v>
      </c>
      <c r="AE17" t="n">
        <v>356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1637190</v>
      </c>
      <c r="G18" t="n">
        <v>666642</v>
      </c>
      <c r="H18" t="n">
        <v>796865</v>
      </c>
      <c r="I18" t="n">
        <v>-1</v>
      </c>
      <c r="J18" t="n">
        <v>10.1007</v>
      </c>
      <c r="K18" t="n">
        <v>5.16931</v>
      </c>
      <c r="L18" t="n">
        <v>5.80004</v>
      </c>
      <c r="M18" t="n">
        <v>-1</v>
      </c>
      <c r="N18" t="n">
        <v>-159835</v>
      </c>
      <c r="O18" t="n">
        <v>-127863</v>
      </c>
      <c r="P18" t="n">
        <v>-146276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9.07</v>
      </c>
      <c r="AD18" t="n">
        <v>187.37</v>
      </c>
      <c r="AE18" t="n">
        <v>2056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569976</v>
      </c>
      <c r="G19" t="n">
        <v>125836</v>
      </c>
      <c r="H19" t="n">
        <v>214645</v>
      </c>
      <c r="I19" t="n">
        <v>-1</v>
      </c>
      <c r="J19" t="n">
        <v>18.0614</v>
      </c>
      <c r="K19" t="n">
        <v>9.68601</v>
      </c>
      <c r="L19" t="n">
        <v>9.80682</v>
      </c>
      <c r="M19" t="n">
        <v>-1</v>
      </c>
      <c r="N19" t="n">
        <v>-26559.7</v>
      </c>
      <c r="O19" t="n">
        <v>-18786.3</v>
      </c>
      <c r="P19" t="n">
        <v>-19588.9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5.76</v>
      </c>
      <c r="AD19" t="n">
        <v>97.56</v>
      </c>
      <c r="AE19" t="n">
        <v>1198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6825970</v>
      </c>
      <c r="G20" t="n">
        <v>1340928</v>
      </c>
      <c r="H20" t="n">
        <v>1825675</v>
      </c>
      <c r="I20" t="n">
        <v>-1</v>
      </c>
      <c r="J20" t="n">
        <v>17.0346</v>
      </c>
      <c r="K20" t="n">
        <v>7.86853</v>
      </c>
      <c r="L20" t="n">
        <v>8.005000000000001</v>
      </c>
      <c r="M20" t="n">
        <v>-1</v>
      </c>
      <c r="N20" t="n">
        <v>-568234</v>
      </c>
      <c r="O20" t="n">
        <v>-409031</v>
      </c>
      <c r="P20" t="n">
        <v>-578215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36.64</v>
      </c>
      <c r="AD20" t="n">
        <v>2982</v>
      </c>
      <c r="AE20" t="n">
        <v>4273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402595</v>
      </c>
      <c r="G21" t="n">
        <v>97360</v>
      </c>
      <c r="H21" t="n">
        <v>163725</v>
      </c>
      <c r="I21" t="n">
        <v>-1</v>
      </c>
      <c r="J21" t="n">
        <v>12.4746</v>
      </c>
      <c r="K21" t="n">
        <v>6.05889</v>
      </c>
      <c r="L21" t="n">
        <v>6.03361</v>
      </c>
      <c r="M21" t="n">
        <v>-1</v>
      </c>
      <c r="N21" t="n">
        <v>-67269</v>
      </c>
      <c r="O21" t="n">
        <v>-50967.4</v>
      </c>
      <c r="P21" t="n">
        <v>-56219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4.58</v>
      </c>
      <c r="AD21" t="n">
        <v>77.94</v>
      </c>
      <c r="AE21" t="n">
        <v>631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523170</v>
      </c>
      <c r="G22" t="n">
        <v>110593</v>
      </c>
      <c r="H22" t="n">
        <v>179904</v>
      </c>
      <c r="I22" t="n">
        <v>-1</v>
      </c>
      <c r="J22" t="n">
        <v>10.722</v>
      </c>
      <c r="K22" t="n">
        <v>6.35858</v>
      </c>
      <c r="L22" t="n">
        <v>6.63094</v>
      </c>
      <c r="M22" t="n">
        <v>-1</v>
      </c>
      <c r="N22" t="n">
        <v>-64080.2</v>
      </c>
      <c r="O22" t="n">
        <v>-43723.3</v>
      </c>
      <c r="P22" t="n">
        <v>-49136.9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4.14</v>
      </c>
      <c r="AD22" t="n">
        <v>90</v>
      </c>
      <c r="AE22" t="n">
        <v>890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269657</v>
      </c>
      <c r="G23" t="n">
        <v>88438</v>
      </c>
      <c r="H23" t="n">
        <v>137880</v>
      </c>
      <c r="I23" t="n">
        <v>-1</v>
      </c>
      <c r="J23" t="n">
        <v>15.1845</v>
      </c>
      <c r="K23" t="n">
        <v>9.372479999999999</v>
      </c>
      <c r="L23" t="n">
        <v>8.48864</v>
      </c>
      <c r="M23" t="n">
        <v>-1</v>
      </c>
      <c r="N23" t="n">
        <v>-18248.2</v>
      </c>
      <c r="O23" t="n">
        <v>-14954.3</v>
      </c>
      <c r="P23" t="n">
        <v>-16562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2.8</v>
      </c>
      <c r="AD23" t="n">
        <v>68.39</v>
      </c>
      <c r="AE23" t="n">
        <v>499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388650</v>
      </c>
      <c r="G24" t="n">
        <v>161912</v>
      </c>
      <c r="H24" t="n">
        <v>221301</v>
      </c>
      <c r="I24" t="n">
        <v>-1</v>
      </c>
      <c r="J24" t="n">
        <v>10.6003</v>
      </c>
      <c r="K24" t="n">
        <v>5.68748</v>
      </c>
      <c r="L24" t="n">
        <v>6.25612</v>
      </c>
      <c r="M24" t="n">
        <v>-1</v>
      </c>
      <c r="N24" t="n">
        <v>-55061.4</v>
      </c>
      <c r="O24" t="n">
        <v>-42990.3</v>
      </c>
      <c r="P24" t="n">
        <v>-50538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3.62</v>
      </c>
      <c r="AD24" t="n">
        <v>76.72</v>
      </c>
      <c r="AE24" t="n">
        <v>650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-1</v>
      </c>
      <c r="F25" t="n">
        <v>21634800</v>
      </c>
      <c r="G25" t="n">
        <v>2585389</v>
      </c>
      <c r="H25" t="n">
        <v>3829118</v>
      </c>
      <c r="I25" t="n">
        <v>-1</v>
      </c>
      <c r="J25" t="n">
        <v>41.4949</v>
      </c>
      <c r="K25" t="n">
        <v>9.420019999999999</v>
      </c>
      <c r="L25" t="n">
        <v>11.6966</v>
      </c>
      <c r="M25" t="n">
        <v>-1</v>
      </c>
      <c r="N25" t="n">
        <v>-6903290</v>
      </c>
      <c r="O25" t="n">
        <v>-2863970</v>
      </c>
      <c r="P25" t="n">
        <v>-3860760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79.52</v>
      </c>
      <c r="AD25" t="n">
        <v>5433.18</v>
      </c>
      <c r="AE25" t="n">
        <v>9683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-1</v>
      </c>
      <c r="F26" t="n">
        <v>19549500</v>
      </c>
      <c r="G26" t="n">
        <v>3361516</v>
      </c>
      <c r="H26" t="n">
        <v>3989604</v>
      </c>
      <c r="I26" t="n">
        <v>-1</v>
      </c>
      <c r="J26" t="n">
        <v>43.687</v>
      </c>
      <c r="K26" t="n">
        <v>14.0636</v>
      </c>
      <c r="L26" t="n">
        <v>18.293</v>
      </c>
      <c r="M26" t="n">
        <v>-1</v>
      </c>
      <c r="N26" t="n">
        <v>-4070490</v>
      </c>
      <c r="O26" t="n">
        <v>-1738350</v>
      </c>
      <c r="P26" t="n">
        <v>-3046410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74.13</v>
      </c>
      <c r="AD26" t="n">
        <v>3793.5</v>
      </c>
      <c r="AE26" t="n">
        <v>4033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-1</v>
      </c>
      <c r="F27" t="n">
        <v>3457190</v>
      </c>
      <c r="G27" t="n">
        <v>2006141</v>
      </c>
      <c r="H27" t="n">
        <v>2077923</v>
      </c>
      <c r="I27" t="n">
        <v>-1</v>
      </c>
      <c r="J27" t="n">
        <v>20.1584</v>
      </c>
      <c r="K27" t="n">
        <v>7.6782</v>
      </c>
      <c r="L27" t="n">
        <v>8.94022</v>
      </c>
      <c r="M27" t="n">
        <v>-1</v>
      </c>
      <c r="N27" t="n">
        <v>-573751</v>
      </c>
      <c r="O27" t="n">
        <v>-351563</v>
      </c>
      <c r="P27" t="n">
        <v>-394570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57.72</v>
      </c>
      <c r="AD27" t="n">
        <v>1477.4</v>
      </c>
      <c r="AE27" t="n">
        <v>1526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-1</v>
      </c>
      <c r="F28" t="n">
        <v>4077680</v>
      </c>
      <c r="G28" t="n">
        <v>847840</v>
      </c>
      <c r="H28" t="n">
        <v>1028945</v>
      </c>
      <c r="I28" t="n">
        <v>-1</v>
      </c>
      <c r="J28" t="n">
        <v>30.1209</v>
      </c>
      <c r="K28" t="n">
        <v>8.822789999999999</v>
      </c>
      <c r="L28" t="n">
        <v>10.2523</v>
      </c>
      <c r="M28" t="n">
        <v>-1</v>
      </c>
      <c r="N28" t="n">
        <v>-473382</v>
      </c>
      <c r="O28" t="n">
        <v>-261759</v>
      </c>
      <c r="P28" t="n">
        <v>-301603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21.56</v>
      </c>
      <c r="AD28" t="n">
        <v>1308.04</v>
      </c>
      <c r="AE28" t="n">
        <v>1888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-1</v>
      </c>
      <c r="F29" t="n">
        <v>581895</v>
      </c>
      <c r="G29" t="n">
        <v>355248</v>
      </c>
      <c r="H29" t="n">
        <v>385442</v>
      </c>
      <c r="I29" t="n">
        <v>-1</v>
      </c>
      <c r="J29" t="n">
        <v>11.8662</v>
      </c>
      <c r="K29" t="n">
        <v>5.85294</v>
      </c>
      <c r="L29" t="n">
        <v>6.38077</v>
      </c>
      <c r="M29" t="n">
        <v>-1</v>
      </c>
      <c r="N29" t="n">
        <v>-110126</v>
      </c>
      <c r="O29" t="n">
        <v>-86770.39999999999</v>
      </c>
      <c r="P29" t="n">
        <v>-91558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4.8</v>
      </c>
      <c r="AD29" t="n">
        <v>152.79</v>
      </c>
      <c r="AE29" t="n">
        <v>493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-1</v>
      </c>
      <c r="F30" t="n">
        <v>698641</v>
      </c>
      <c r="G30" t="n">
        <v>225409</v>
      </c>
      <c r="H30" t="n">
        <v>293764</v>
      </c>
      <c r="I30" t="n">
        <v>-1</v>
      </c>
      <c r="J30" t="n">
        <v>17.0546</v>
      </c>
      <c r="K30" t="n">
        <v>9.689360000000001</v>
      </c>
      <c r="L30" t="n">
        <v>10.5074</v>
      </c>
      <c r="M30" t="n">
        <v>-1</v>
      </c>
      <c r="N30" t="n">
        <v>-109149</v>
      </c>
      <c r="O30" t="n">
        <v>-78100</v>
      </c>
      <c r="P30" t="n">
        <v>-88575.10000000001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5.73</v>
      </c>
      <c r="AD30" t="n">
        <v>194.57</v>
      </c>
      <c r="AE30" t="n">
        <v>681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9384380</v>
      </c>
      <c r="F2" t="n">
        <v>26487800</v>
      </c>
      <c r="G2" t="n">
        <v>8668582</v>
      </c>
      <c r="H2" t="n">
        <v>8187546</v>
      </c>
      <c r="I2" t="n">
        <v>7.314635</v>
      </c>
      <c r="J2" t="n">
        <v>14.091</v>
      </c>
      <c r="K2" t="n">
        <v>5.284</v>
      </c>
      <c r="L2" t="n">
        <v>9.653</v>
      </c>
      <c r="M2" t="n">
        <v>-509235.71875</v>
      </c>
      <c r="N2" t="n">
        <v>-888381</v>
      </c>
      <c r="O2" t="n">
        <v>-518276</v>
      </c>
      <c r="P2" t="n">
        <v>-831907</v>
      </c>
      <c r="Q2" t="n">
        <v>15882</v>
      </c>
      <c r="R2" t="n">
        <v>38.070835</v>
      </c>
      <c r="S2" t="n">
        <v>0</v>
      </c>
      <c r="T2" t="n">
        <v>73.176941</v>
      </c>
      <c r="U2" t="n">
        <v>61.926548</v>
      </c>
      <c r="V2" t="n">
        <v>19751180</v>
      </c>
      <c r="W2" t="n">
        <v>20.673702</v>
      </c>
      <c r="X2" t="n">
        <v>245.000214</v>
      </c>
      <c r="Y2" t="n">
        <v>7745.84</v>
      </c>
      <c r="Z2" t="n">
        <v>1112.81</v>
      </c>
      <c r="AA2" t="n">
        <v>908.05</v>
      </c>
      <c r="AB2" t="n">
        <v>4969.91</v>
      </c>
      <c r="AC2" t="n">
        <v>482.55</v>
      </c>
      <c r="AD2" t="n">
        <v>8401.950000000001</v>
      </c>
      <c r="AE2" t="n">
        <v>-1</v>
      </c>
      <c r="AF2" t="n">
        <v>52930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12128800</v>
      </c>
      <c r="F3" t="n">
        <v>18315800</v>
      </c>
      <c r="G3" t="n">
        <v>6521442</v>
      </c>
      <c r="H3" t="n">
        <v>6031370</v>
      </c>
      <c r="I3" t="n">
        <v>8.173999999999999</v>
      </c>
      <c r="J3" t="n">
        <v>13.096</v>
      </c>
      <c r="K3" t="n">
        <v>6.34614</v>
      </c>
      <c r="L3" t="n">
        <v>7.521</v>
      </c>
      <c r="M3" t="n">
        <v>-1061685</v>
      </c>
      <c r="N3" t="n">
        <v>-1742030</v>
      </c>
      <c r="O3" t="n">
        <v>-941159</v>
      </c>
      <c r="P3" t="n">
        <v>-1567860</v>
      </c>
      <c r="Q3" t="n">
        <v>6412</v>
      </c>
      <c r="R3" t="n">
        <v>484.91983</v>
      </c>
      <c r="S3" t="n">
        <v>0</v>
      </c>
      <c r="T3" t="n">
        <v>53.769096</v>
      </c>
      <c r="U3" t="n">
        <v>46.915188</v>
      </c>
      <c r="V3" t="n">
        <v>10096221</v>
      </c>
      <c r="W3" t="n">
        <v>10.763206</v>
      </c>
      <c r="X3" t="n">
        <v>169.999893</v>
      </c>
      <c r="Y3" t="n">
        <v>5898.26</v>
      </c>
      <c r="Z3" t="n">
        <v>872.65</v>
      </c>
      <c r="AA3" t="n">
        <v>696.66</v>
      </c>
      <c r="AB3" t="n">
        <v>3118.51</v>
      </c>
      <c r="AC3" t="n">
        <v>305.35</v>
      </c>
      <c r="AD3" t="n">
        <v>6366.81</v>
      </c>
      <c r="AE3" t="n">
        <v>-1</v>
      </c>
      <c r="AF3" t="n">
        <v>38598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12360700</v>
      </c>
      <c r="F4" t="n">
        <v>23797700</v>
      </c>
      <c r="G4" t="n">
        <v>6978216</v>
      </c>
      <c r="H4" t="n">
        <v>6689730</v>
      </c>
      <c r="I4" t="n">
        <v>6.799299</v>
      </c>
      <c r="J4" t="n">
        <v>15.619</v>
      </c>
      <c r="K4" t="n">
        <v>6.234</v>
      </c>
      <c r="L4" t="n">
        <v>6.756</v>
      </c>
      <c r="M4" t="n">
        <v>-945955.625</v>
      </c>
      <c r="N4" t="n">
        <v>-1706900</v>
      </c>
      <c r="O4" t="n">
        <v>-882896</v>
      </c>
      <c r="P4" t="n">
        <v>-1497230</v>
      </c>
      <c r="Q4" t="n">
        <v>9262</v>
      </c>
      <c r="R4" t="n">
        <v>452.556244</v>
      </c>
      <c r="S4" t="n">
        <v>0</v>
      </c>
      <c r="T4" t="n">
        <v>52.796482</v>
      </c>
      <c r="U4" t="n">
        <v>48.004555</v>
      </c>
      <c r="V4" t="n">
        <v>14216288</v>
      </c>
      <c r="W4" t="n">
        <v>15.161841</v>
      </c>
      <c r="X4" t="n">
        <v>186.000107</v>
      </c>
      <c r="Y4" t="n">
        <v>6573.43</v>
      </c>
      <c r="Z4" t="n">
        <v>838.38</v>
      </c>
      <c r="AA4" t="n">
        <v>747.24</v>
      </c>
      <c r="AB4" t="n">
        <v>3773.42</v>
      </c>
      <c r="AC4" t="n">
        <v>397.51</v>
      </c>
      <c r="AD4" t="n">
        <v>7144.41</v>
      </c>
      <c r="AE4" t="n">
        <v>-1</v>
      </c>
      <c r="AF4" t="n">
        <v>39126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12281700</v>
      </c>
      <c r="F5" t="n">
        <v>17917600</v>
      </c>
      <c r="G5" t="n">
        <v>6484607</v>
      </c>
      <c r="H5" t="n">
        <v>6208521</v>
      </c>
      <c r="I5" t="n">
        <v>8.263659000000001</v>
      </c>
      <c r="J5" t="n">
        <v>11.92</v>
      </c>
      <c r="K5" t="n">
        <v>6.49014</v>
      </c>
      <c r="L5" t="n">
        <v>7.241</v>
      </c>
      <c r="M5" t="n">
        <v>-971598.75</v>
      </c>
      <c r="N5" t="n">
        <v>-1603670</v>
      </c>
      <c r="O5" t="n">
        <v>-860280</v>
      </c>
      <c r="P5" t="n">
        <v>-1543140</v>
      </c>
      <c r="Q5" t="n">
        <v>8114</v>
      </c>
      <c r="R5" t="n">
        <v>446.805756</v>
      </c>
      <c r="S5" t="n">
        <v>0</v>
      </c>
      <c r="T5" t="n">
        <v>52.027882</v>
      </c>
      <c r="U5" t="n">
        <v>46.212757</v>
      </c>
      <c r="V5" t="n">
        <v>9284101</v>
      </c>
      <c r="W5" t="n">
        <v>10.253757</v>
      </c>
      <c r="X5" t="n">
        <v>178.892609</v>
      </c>
      <c r="Y5" t="n">
        <v>5904.25</v>
      </c>
      <c r="Z5" t="n">
        <v>833.9400000000001</v>
      </c>
      <c r="AA5" t="n">
        <v>708.08</v>
      </c>
      <c r="AB5" t="n">
        <v>3129.01</v>
      </c>
      <c r="AC5" t="n">
        <v>375.57</v>
      </c>
      <c r="AD5" t="n">
        <v>6450.21</v>
      </c>
      <c r="AE5" t="n">
        <v>-1</v>
      </c>
      <c r="AF5" t="n">
        <v>37370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7256770</v>
      </c>
      <c r="F6" t="n">
        <v>25078500</v>
      </c>
      <c r="G6" t="n">
        <v>7888809</v>
      </c>
      <c r="H6" t="n">
        <v>9100177</v>
      </c>
      <c r="I6" t="n">
        <v>23.711472</v>
      </c>
      <c r="J6" t="n">
        <v>32.9217</v>
      </c>
      <c r="K6" t="n">
        <v>15.19</v>
      </c>
      <c r="L6" t="n">
        <v>14.838</v>
      </c>
      <c r="M6" t="n">
        <v>-3954171.75</v>
      </c>
      <c r="N6" t="n">
        <v>-7128980</v>
      </c>
      <c r="O6" t="n">
        <v>-4671690</v>
      </c>
      <c r="P6" t="n">
        <v>-4725980</v>
      </c>
      <c r="Q6" t="n">
        <v>17158</v>
      </c>
      <c r="R6" t="n">
        <v>14.005303</v>
      </c>
      <c r="S6" t="n">
        <v>0</v>
      </c>
      <c r="T6" t="n">
        <v>77.322205</v>
      </c>
      <c r="U6" t="n">
        <v>69.85672</v>
      </c>
      <c r="V6" t="n">
        <v>15634145</v>
      </c>
      <c r="W6" t="n">
        <v>19.47406</v>
      </c>
      <c r="X6" t="n">
        <v>297</v>
      </c>
      <c r="Y6" t="n">
        <v>10766.49</v>
      </c>
      <c r="Z6" t="n">
        <v>1124.52</v>
      </c>
      <c r="AA6" t="n">
        <v>1433.78</v>
      </c>
      <c r="AB6" t="n">
        <v>7093.28</v>
      </c>
      <c r="AC6" t="n">
        <v>661.04</v>
      </c>
      <c r="AD6" t="n">
        <v>11607.47</v>
      </c>
      <c r="AE6" t="n">
        <v>-1</v>
      </c>
      <c r="AF6" t="n">
        <v>47650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7543870</v>
      </c>
      <c r="F7" t="n">
        <v>14332800</v>
      </c>
      <c r="G7" t="n">
        <v>7061834</v>
      </c>
      <c r="H7" t="n">
        <v>6826215</v>
      </c>
      <c r="I7" t="n">
        <v>6.638738</v>
      </c>
      <c r="J7" t="n">
        <v>9.329000000000001</v>
      </c>
      <c r="K7" t="n">
        <v>4.291</v>
      </c>
      <c r="L7" t="n">
        <v>8.125</v>
      </c>
      <c r="M7" t="n">
        <v>-449592.875</v>
      </c>
      <c r="N7" t="n">
        <v>-621375</v>
      </c>
      <c r="O7" t="n">
        <v>-433474</v>
      </c>
      <c r="P7" t="n">
        <v>-739266</v>
      </c>
      <c r="Q7" t="n">
        <v>11749</v>
      </c>
      <c r="R7" t="n">
        <v>35.183079</v>
      </c>
      <c r="S7" t="n">
        <v>0</v>
      </c>
      <c r="T7" t="n">
        <v>74.282608</v>
      </c>
      <c r="U7" t="n">
        <v>55.384811</v>
      </c>
      <c r="V7" t="n">
        <v>7380779</v>
      </c>
      <c r="W7" t="n">
        <v>9.609538000000001</v>
      </c>
      <c r="X7" t="n">
        <v>152</v>
      </c>
      <c r="Y7" t="n">
        <v>5073.5</v>
      </c>
      <c r="Z7" t="n">
        <v>824.14</v>
      </c>
      <c r="AA7" t="n">
        <v>781.99</v>
      </c>
      <c r="AB7" t="n">
        <v>2674.21</v>
      </c>
      <c r="AC7" t="n">
        <v>1177.54</v>
      </c>
      <c r="AD7" t="n">
        <v>6380.61</v>
      </c>
      <c r="AE7" t="n">
        <v>-1</v>
      </c>
      <c r="AF7" t="n">
        <v>35944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7114010</v>
      </c>
      <c r="F8" t="n">
        <v>14649600</v>
      </c>
      <c r="G8" t="n">
        <v>6567408</v>
      </c>
      <c r="H8" t="n">
        <v>6194278</v>
      </c>
      <c r="I8" t="n">
        <v>5.431001</v>
      </c>
      <c r="J8" t="n">
        <v>13.371</v>
      </c>
      <c r="K8" t="n">
        <v>4.16414</v>
      </c>
      <c r="L8" t="n">
        <v>8.433999999999999</v>
      </c>
      <c r="M8" t="n">
        <v>-403910.625</v>
      </c>
      <c r="N8" t="n">
        <v>-611777</v>
      </c>
      <c r="O8" t="n">
        <v>-405570</v>
      </c>
      <c r="P8" t="n">
        <v>-658781</v>
      </c>
      <c r="Q8" t="n">
        <v>10660</v>
      </c>
      <c r="R8" t="n">
        <v>37.731895</v>
      </c>
      <c r="S8" t="n">
        <v>0</v>
      </c>
      <c r="T8" t="n">
        <v>74.446236</v>
      </c>
      <c r="U8" t="n">
        <v>55.138252</v>
      </c>
      <c r="V8" t="n">
        <v>8041481</v>
      </c>
      <c r="W8" t="n">
        <v>10.939094</v>
      </c>
      <c r="X8" t="n">
        <v>168.000214</v>
      </c>
      <c r="Y8" t="n">
        <v>4889.63</v>
      </c>
      <c r="Z8" t="n">
        <v>839.35</v>
      </c>
      <c r="AA8" t="n">
        <v>731.11</v>
      </c>
      <c r="AB8" t="n">
        <v>2557.22</v>
      </c>
      <c r="AC8" t="n">
        <v>271.43</v>
      </c>
      <c r="AD8" t="n">
        <v>5285.09</v>
      </c>
      <c r="AE8" t="n">
        <v>-1</v>
      </c>
      <c r="AF8" t="n">
        <v>34178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8516620</v>
      </c>
      <c r="F9" t="n">
        <v>12771800</v>
      </c>
      <c r="G9" t="n">
        <v>4796632</v>
      </c>
      <c r="H9" t="n">
        <v>4151255</v>
      </c>
      <c r="I9" t="n">
        <v>14.396694</v>
      </c>
      <c r="J9" t="n">
        <v>13.525</v>
      </c>
      <c r="K9" t="n">
        <v>5.942</v>
      </c>
      <c r="L9" t="n">
        <v>7.122</v>
      </c>
      <c r="M9" t="n">
        <v>-447850.28125</v>
      </c>
      <c r="N9" t="n">
        <v>-947472</v>
      </c>
      <c r="O9" t="n">
        <v>-633433</v>
      </c>
      <c r="P9" t="n">
        <v>-951094</v>
      </c>
      <c r="Q9" t="n">
        <v>10076</v>
      </c>
      <c r="R9" t="n">
        <v>16.014688</v>
      </c>
      <c r="S9" t="n">
        <v>0</v>
      </c>
      <c r="T9" t="n">
        <v>85.175194</v>
      </c>
      <c r="U9" t="n">
        <v>56.130165</v>
      </c>
      <c r="V9" t="n">
        <v>7718772.5</v>
      </c>
      <c r="W9" t="n">
        <v>10.922245</v>
      </c>
      <c r="X9" t="n">
        <v>136.317093</v>
      </c>
      <c r="Y9" t="n">
        <v>7590.95</v>
      </c>
      <c r="Z9" t="n">
        <v>783.72</v>
      </c>
      <c r="AA9" t="n">
        <v>1328.42</v>
      </c>
      <c r="AB9" t="n">
        <v>4948.31</v>
      </c>
      <c r="AC9" t="n">
        <v>419.12</v>
      </c>
      <c r="AD9" t="n">
        <v>8152.6</v>
      </c>
      <c r="AE9" t="n">
        <v>-1</v>
      </c>
      <c r="AF9" t="n">
        <v>30574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7961030</v>
      </c>
      <c r="F10" t="n">
        <v>12062700</v>
      </c>
      <c r="G10" t="n">
        <v>4297056</v>
      </c>
      <c r="H10" t="n">
        <v>3851189</v>
      </c>
      <c r="I10" t="n">
        <v>15.286007</v>
      </c>
      <c r="J10" t="n">
        <v>14.626</v>
      </c>
      <c r="K10" t="n">
        <v>6.155</v>
      </c>
      <c r="L10" t="n">
        <v>6.45</v>
      </c>
      <c r="M10" t="n">
        <v>-795871.9375</v>
      </c>
      <c r="N10" t="n">
        <v>-1190740</v>
      </c>
      <c r="O10" t="n">
        <v>-971143</v>
      </c>
      <c r="P10" t="n">
        <v>-1302110</v>
      </c>
      <c r="Q10" t="n">
        <v>10374</v>
      </c>
      <c r="R10" t="n">
        <v>25.298246</v>
      </c>
      <c r="S10" t="n">
        <v>0</v>
      </c>
      <c r="T10" t="n">
        <v>78.54084</v>
      </c>
      <c r="U10" t="n">
        <v>60.248676</v>
      </c>
      <c r="V10" t="n">
        <v>7819220.5</v>
      </c>
      <c r="W10" t="n">
        <v>11.691104</v>
      </c>
      <c r="X10" t="n">
        <v>173.991638</v>
      </c>
      <c r="Y10" t="n">
        <v>7579.38</v>
      </c>
      <c r="Z10" t="n">
        <v>848.9</v>
      </c>
      <c r="AA10" t="n">
        <v>1710.82</v>
      </c>
      <c r="AB10" t="n">
        <v>4455.48</v>
      </c>
      <c r="AC10" t="n">
        <v>374.65</v>
      </c>
      <c r="AD10" t="n">
        <v>8113.19</v>
      </c>
      <c r="AE10" t="n">
        <v>-1</v>
      </c>
      <c r="AF10" t="n">
        <v>29277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1515090</v>
      </c>
      <c r="F11" t="n">
        <v>8196200</v>
      </c>
      <c r="G11" t="n">
        <v>2266274</v>
      </c>
      <c r="H11" t="n">
        <v>1480845</v>
      </c>
      <c r="I11" t="n">
        <v>4.757</v>
      </c>
      <c r="J11" t="n">
        <v>8.792</v>
      </c>
      <c r="K11" t="n">
        <v>4.597</v>
      </c>
      <c r="L11" t="n">
        <v>5.759</v>
      </c>
      <c r="M11" t="n">
        <v>-81801.898438</v>
      </c>
      <c r="N11" t="n">
        <v>-414414</v>
      </c>
      <c r="O11" t="n">
        <v>-188822</v>
      </c>
      <c r="P11" t="n">
        <v>-178117</v>
      </c>
      <c r="Q11" t="n">
        <v>7172</v>
      </c>
      <c r="R11" t="n">
        <v>10.278165</v>
      </c>
      <c r="S11" t="n">
        <v>0</v>
      </c>
      <c r="T11" t="n">
        <v>75.346153</v>
      </c>
      <c r="U11" t="n">
        <v>52.571579</v>
      </c>
      <c r="V11" t="n">
        <v>6918373.5</v>
      </c>
      <c r="W11" t="n">
        <v>11.133724</v>
      </c>
      <c r="X11" t="n">
        <v>117.508232</v>
      </c>
      <c r="Y11" t="n">
        <v>5447.43</v>
      </c>
      <c r="Z11" t="n">
        <v>905.55</v>
      </c>
      <c r="AA11" t="n">
        <v>2011.85</v>
      </c>
      <c r="AB11" t="n">
        <v>1975.32</v>
      </c>
      <c r="AC11" t="n">
        <v>143.47</v>
      </c>
      <c r="AD11" t="n">
        <v>5714.3</v>
      </c>
      <c r="AE11" t="n">
        <v>-1</v>
      </c>
      <c r="AF11" t="n">
        <v>26601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6060750</v>
      </c>
      <c r="F12" t="n">
        <v>7579460</v>
      </c>
      <c r="G12" t="n">
        <v>3484589</v>
      </c>
      <c r="H12" t="n">
        <v>2953614</v>
      </c>
      <c r="I12" t="n">
        <v>14.856617</v>
      </c>
      <c r="J12" t="n">
        <v>13.012</v>
      </c>
      <c r="K12" t="n">
        <v>6.529</v>
      </c>
      <c r="L12" t="n">
        <v>5.983</v>
      </c>
      <c r="M12" t="n">
        <v>-412754.6875</v>
      </c>
      <c r="N12" t="n">
        <v>-722421</v>
      </c>
      <c r="O12" t="n">
        <v>-655174</v>
      </c>
      <c r="P12" t="n">
        <v>-943003</v>
      </c>
      <c r="Q12" t="n">
        <v>7867</v>
      </c>
      <c r="R12" t="n">
        <v>34.153809</v>
      </c>
      <c r="S12" t="n">
        <v>0</v>
      </c>
      <c r="T12" t="n">
        <v>78.58783699999999</v>
      </c>
      <c r="U12" t="n">
        <v>65.198471</v>
      </c>
      <c r="V12" t="n">
        <v>4749500.5</v>
      </c>
      <c r="W12" t="n">
        <v>8.185788000000001</v>
      </c>
      <c r="X12" t="n">
        <v>110.240959</v>
      </c>
      <c r="Y12" t="n">
        <v>5883.95</v>
      </c>
      <c r="Z12" t="n">
        <v>645.52</v>
      </c>
      <c r="AA12" t="n">
        <v>1682.79</v>
      </c>
      <c r="AB12" t="n">
        <v>3023.46</v>
      </c>
      <c r="AC12" t="n">
        <v>247.72</v>
      </c>
      <c r="AD12" t="n">
        <v>6264.38</v>
      </c>
      <c r="AE12" t="n">
        <v>-1</v>
      </c>
      <c r="AF12" t="n">
        <v>26053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6171890</v>
      </c>
      <c r="F13" t="n">
        <v>3984270</v>
      </c>
      <c r="G13" t="n">
        <v>2429342</v>
      </c>
      <c r="H13" t="n">
        <v>2069407</v>
      </c>
      <c r="I13" t="n">
        <v>15.374011</v>
      </c>
      <c r="J13" t="n">
        <v>7.17801</v>
      </c>
      <c r="K13" t="n">
        <v>5.99</v>
      </c>
      <c r="L13" t="n">
        <v>5.618</v>
      </c>
      <c r="M13" t="n">
        <v>-409097</v>
      </c>
      <c r="N13" t="n">
        <v>-826602</v>
      </c>
      <c r="O13" t="n">
        <v>-580996</v>
      </c>
      <c r="P13" t="n">
        <v>-842560</v>
      </c>
      <c r="Q13" t="n">
        <v>5748</v>
      </c>
      <c r="R13" t="n">
        <v>19.061935</v>
      </c>
      <c r="S13" t="n">
        <v>0</v>
      </c>
      <c r="T13" t="n">
        <v>84.331963</v>
      </c>
      <c r="U13" t="n">
        <v>60.877575</v>
      </c>
      <c r="V13" t="n">
        <v>1512644.875</v>
      </c>
      <c r="W13" t="n">
        <v>3.267517</v>
      </c>
      <c r="X13" t="n">
        <v>272.935303</v>
      </c>
      <c r="Y13" t="n">
        <v>3830.12</v>
      </c>
      <c r="Z13" t="n">
        <v>484.49</v>
      </c>
      <c r="AA13" t="n">
        <v>795.48</v>
      </c>
      <c r="AB13" t="n">
        <v>1469.02</v>
      </c>
      <c r="AC13" t="n">
        <v>147.12</v>
      </c>
      <c r="AD13" t="n">
        <v>4075.59</v>
      </c>
      <c r="AE13" t="n">
        <v>-1</v>
      </c>
      <c r="AF13" t="n">
        <v>17811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6287920</v>
      </c>
      <c r="F14" t="n">
        <v>5149100</v>
      </c>
      <c r="G14" t="n">
        <v>2383500</v>
      </c>
      <c r="H14" t="n">
        <v>2059570</v>
      </c>
      <c r="I14" t="n">
        <v>15.013011</v>
      </c>
      <c r="J14" t="n">
        <v>9.45716</v>
      </c>
      <c r="K14" t="n">
        <v>5.94514</v>
      </c>
      <c r="L14" t="n">
        <v>5.47</v>
      </c>
      <c r="M14" t="n">
        <v>-249663.796875</v>
      </c>
      <c r="N14" t="n">
        <v>-1136610</v>
      </c>
      <c r="O14" t="n">
        <v>-393750</v>
      </c>
      <c r="P14" t="n">
        <v>-598065</v>
      </c>
      <c r="Q14" t="n">
        <v>5409</v>
      </c>
      <c r="R14" t="n">
        <v>19.277685</v>
      </c>
      <c r="S14" t="n">
        <v>0</v>
      </c>
      <c r="T14" t="n">
        <v>81.349869</v>
      </c>
      <c r="U14" t="n">
        <v>61.768501</v>
      </c>
      <c r="V14" t="n">
        <v>2244414.5</v>
      </c>
      <c r="W14" t="n">
        <v>5.08253</v>
      </c>
      <c r="X14" t="n">
        <v>291</v>
      </c>
      <c r="Y14" t="n">
        <v>3770.22</v>
      </c>
      <c r="Z14" t="n">
        <v>417.69</v>
      </c>
      <c r="AA14" t="n">
        <v>707.01</v>
      </c>
      <c r="AB14" t="n">
        <v>1559.19</v>
      </c>
      <c r="AC14" t="n">
        <v>152.12</v>
      </c>
      <c r="AD14" t="n">
        <v>4014.38</v>
      </c>
      <c r="AE14" t="n">
        <v>-1</v>
      </c>
      <c r="AF14" t="n">
        <v>17786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2838550</v>
      </c>
      <c r="F15" t="n">
        <v>6161460</v>
      </c>
      <c r="G15" t="n">
        <v>2495547</v>
      </c>
      <c r="H15" t="n">
        <v>2352266</v>
      </c>
      <c r="I15" t="n">
        <v>7.688998</v>
      </c>
      <c r="J15" t="n">
        <v>13.292</v>
      </c>
      <c r="K15" t="n">
        <v>5.676</v>
      </c>
      <c r="L15" t="n">
        <v>6.06</v>
      </c>
      <c r="M15" t="n">
        <v>-233022.71875</v>
      </c>
      <c r="N15" t="n">
        <v>-290863</v>
      </c>
      <c r="O15" t="n">
        <v>-202098</v>
      </c>
      <c r="P15" t="n">
        <v>-305158</v>
      </c>
      <c r="Q15" t="n">
        <v>7475</v>
      </c>
      <c r="R15" t="n">
        <v>73.59478</v>
      </c>
      <c r="S15" t="n">
        <v>0</v>
      </c>
      <c r="T15" t="n">
        <v>77.623375</v>
      </c>
      <c r="U15" t="n">
        <v>69.230637</v>
      </c>
      <c r="V15" t="n">
        <v>4684232.5</v>
      </c>
      <c r="W15" t="n">
        <v>11.306952</v>
      </c>
      <c r="X15" t="n">
        <v>112.923981</v>
      </c>
      <c r="Y15" t="n">
        <v>3303.79</v>
      </c>
      <c r="Z15" t="n">
        <v>350.32</v>
      </c>
      <c r="AA15" t="n">
        <v>386.86</v>
      </c>
      <c r="AB15" t="n">
        <v>2045.71</v>
      </c>
      <c r="AC15" t="n">
        <v>179.92</v>
      </c>
      <c r="AD15" t="n">
        <v>3556.47</v>
      </c>
      <c r="AE15" t="n">
        <v>-1</v>
      </c>
      <c r="AF15" t="n">
        <v>23288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4729350</v>
      </c>
      <c r="F16" t="n">
        <v>4426600</v>
      </c>
      <c r="G16" t="n">
        <v>2789390</v>
      </c>
      <c r="H16" t="n">
        <v>2846276</v>
      </c>
      <c r="I16" t="n">
        <v>14.331912</v>
      </c>
      <c r="J16" t="n">
        <v>6.994</v>
      </c>
      <c r="K16" t="n">
        <v>5.782</v>
      </c>
      <c r="L16" t="n">
        <v>5.612</v>
      </c>
      <c r="M16" t="n">
        <v>-323450.3125</v>
      </c>
      <c r="N16" t="n">
        <v>-632305</v>
      </c>
      <c r="O16" t="n">
        <v>-470815</v>
      </c>
      <c r="P16" t="n">
        <v>-740103</v>
      </c>
      <c r="Q16" t="n">
        <v>4694</v>
      </c>
      <c r="R16" t="n">
        <v>16.816574</v>
      </c>
      <c r="S16" t="n">
        <v>0</v>
      </c>
      <c r="T16" t="n">
        <v>78.727913</v>
      </c>
      <c r="U16" t="n">
        <v>52.730709</v>
      </c>
      <c r="V16" t="n">
        <v>1535195.5</v>
      </c>
      <c r="W16" t="n">
        <v>3.909513</v>
      </c>
      <c r="X16" t="n">
        <v>103.999901</v>
      </c>
      <c r="Y16" t="n">
        <v>2888.29</v>
      </c>
      <c r="Z16" t="n">
        <v>394.01</v>
      </c>
      <c r="AA16" t="n">
        <v>749.84</v>
      </c>
      <c r="AB16" t="n">
        <v>1183.69</v>
      </c>
      <c r="AC16" t="n">
        <v>356.91</v>
      </c>
      <c r="AD16" t="n">
        <v>3328.9</v>
      </c>
      <c r="AE16" t="n">
        <v>-1</v>
      </c>
      <c r="AF16" t="n">
        <v>16180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3752920</v>
      </c>
      <c r="F17" t="n">
        <v>3329700</v>
      </c>
      <c r="G17" t="n">
        <v>1959484</v>
      </c>
      <c r="H17" t="n">
        <v>1626691</v>
      </c>
      <c r="I17" t="n">
        <v>14.292714</v>
      </c>
      <c r="J17" t="n">
        <v>7.421</v>
      </c>
      <c r="K17" t="n">
        <v>5.853</v>
      </c>
      <c r="L17" t="n">
        <v>5.328</v>
      </c>
      <c r="M17" t="n">
        <v>-217338.546875</v>
      </c>
      <c r="N17" t="n">
        <v>-479275</v>
      </c>
      <c r="O17" t="n">
        <v>-384169</v>
      </c>
      <c r="P17" t="n">
        <v>-566907</v>
      </c>
      <c r="Q17" t="n">
        <v>5266</v>
      </c>
      <c r="R17" t="n">
        <v>19.81352</v>
      </c>
      <c r="S17" t="n">
        <v>0</v>
      </c>
      <c r="T17" t="n">
        <v>81.22904200000001</v>
      </c>
      <c r="U17" t="n">
        <v>55.844723</v>
      </c>
      <c r="V17" t="n">
        <v>1507205.125</v>
      </c>
      <c r="W17" t="n">
        <v>3.866056</v>
      </c>
      <c r="X17" t="n">
        <v>135</v>
      </c>
      <c r="Y17" t="n">
        <v>2793.62</v>
      </c>
      <c r="Z17" t="n">
        <v>414.19</v>
      </c>
      <c r="AA17" t="n">
        <v>578.26</v>
      </c>
      <c r="AB17" t="n">
        <v>1292.62</v>
      </c>
      <c r="AC17" t="n">
        <v>123.79</v>
      </c>
      <c r="AD17" t="n">
        <v>3004.61</v>
      </c>
      <c r="AE17" t="n">
        <v>-1</v>
      </c>
      <c r="AF17" t="n">
        <v>16131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3384840</v>
      </c>
      <c r="F18" t="n">
        <v>3407320</v>
      </c>
      <c r="G18" t="n">
        <v>1940274</v>
      </c>
      <c r="H18" t="n">
        <v>1800519</v>
      </c>
      <c r="I18" t="n">
        <v>14.602328</v>
      </c>
      <c r="J18" t="n">
        <v>7.10171</v>
      </c>
      <c r="K18" t="n">
        <v>5.942</v>
      </c>
      <c r="L18" t="n">
        <v>5.141</v>
      </c>
      <c r="M18" t="n">
        <v>-169818.296875</v>
      </c>
      <c r="N18" t="n">
        <v>-607192</v>
      </c>
      <c r="O18" t="n">
        <v>-330004</v>
      </c>
      <c r="P18" t="n">
        <v>-479486</v>
      </c>
      <c r="Q18" t="n">
        <v>4642</v>
      </c>
      <c r="R18" t="n">
        <v>56.023266</v>
      </c>
      <c r="S18" t="n">
        <v>0</v>
      </c>
      <c r="T18" t="n">
        <v>79.906685</v>
      </c>
      <c r="U18" t="n">
        <v>57.97316</v>
      </c>
      <c r="V18" t="n">
        <v>1718034.125</v>
      </c>
      <c r="W18" t="n">
        <v>4.837434</v>
      </c>
      <c r="X18" t="n">
        <v>191.000214</v>
      </c>
      <c r="Y18" t="n">
        <v>2627.65</v>
      </c>
      <c r="Z18" t="n">
        <v>334.03</v>
      </c>
      <c r="AA18" t="n">
        <v>540.63</v>
      </c>
      <c r="AB18" t="n">
        <v>1216.31</v>
      </c>
      <c r="AC18" t="n">
        <v>145.84</v>
      </c>
      <c r="AD18" t="n">
        <v>2854.27</v>
      </c>
      <c r="AE18" t="n">
        <v>-1</v>
      </c>
      <c r="AF18" t="n">
        <v>14464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2405330</v>
      </c>
      <c r="F19" t="n">
        <v>3346260</v>
      </c>
      <c r="G19" t="n">
        <v>1748196</v>
      </c>
      <c r="H19" t="n">
        <v>1679995</v>
      </c>
      <c r="I19" t="n">
        <v>8.122998000000001</v>
      </c>
      <c r="J19" t="n">
        <v>8.67174</v>
      </c>
      <c r="K19" t="n">
        <v>5.996</v>
      </c>
      <c r="L19" t="n">
        <v>5.96</v>
      </c>
      <c r="M19" t="n">
        <v>-168372.890625</v>
      </c>
      <c r="N19" t="n">
        <v>-214073</v>
      </c>
      <c r="O19" t="n">
        <v>-163517</v>
      </c>
      <c r="P19" t="n">
        <v>-261538</v>
      </c>
      <c r="Q19" t="n">
        <v>4861</v>
      </c>
      <c r="R19" t="n">
        <v>77.36350299999999</v>
      </c>
      <c r="S19" t="n">
        <v>0</v>
      </c>
      <c r="T19" t="n">
        <v>77.14810199999999</v>
      </c>
      <c r="U19" t="n">
        <v>65.074028</v>
      </c>
      <c r="V19" t="n">
        <v>1833969.375</v>
      </c>
      <c r="W19" t="n">
        <v>6.189131</v>
      </c>
      <c r="X19" t="n">
        <v>83.04531900000001</v>
      </c>
      <c r="Y19" t="n">
        <v>1982</v>
      </c>
      <c r="Z19" t="n">
        <v>227.01</v>
      </c>
      <c r="AA19" t="n">
        <v>237.13</v>
      </c>
      <c r="AB19" t="n">
        <v>995.8099999999999</v>
      </c>
      <c r="AC19" t="n">
        <v>105.19</v>
      </c>
      <c r="AD19" t="n">
        <v>2139.91</v>
      </c>
      <c r="AE19" t="n">
        <v>-1</v>
      </c>
      <c r="AF19" t="n">
        <v>15740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2157200</v>
      </c>
      <c r="F20" t="n">
        <v>3147730</v>
      </c>
      <c r="G20" t="n">
        <v>1677001</v>
      </c>
      <c r="H20" t="n">
        <v>1618013</v>
      </c>
      <c r="I20" t="n">
        <v>7.945897</v>
      </c>
      <c r="J20" t="n">
        <v>9.428000000000001</v>
      </c>
      <c r="K20" t="n">
        <v>5.551</v>
      </c>
      <c r="L20" t="n">
        <v>5.619</v>
      </c>
      <c r="M20" t="n">
        <v>-174485.640625</v>
      </c>
      <c r="N20" t="n">
        <v>-214334</v>
      </c>
      <c r="O20" t="n">
        <v>-158195</v>
      </c>
      <c r="P20" t="n">
        <v>-263371</v>
      </c>
      <c r="Q20" t="n">
        <v>4790</v>
      </c>
      <c r="R20" t="n">
        <v>79.14342499999999</v>
      </c>
      <c r="S20" t="n">
        <v>0</v>
      </c>
      <c r="T20" t="n">
        <v>78.494011</v>
      </c>
      <c r="U20" t="n">
        <v>68.755959</v>
      </c>
      <c r="V20" t="n">
        <v>1742662</v>
      </c>
      <c r="W20" t="n">
        <v>6.106547</v>
      </c>
      <c r="X20" t="n">
        <v>79.99979399999999</v>
      </c>
      <c r="Y20" t="n">
        <v>1928.41</v>
      </c>
      <c r="Z20" t="n">
        <v>217.74</v>
      </c>
      <c r="AA20" t="n">
        <v>228.24</v>
      </c>
      <c r="AB20" t="n">
        <v>983.42</v>
      </c>
      <c r="AC20" t="n">
        <v>106.27</v>
      </c>
      <c r="AD20" t="n">
        <v>2088.59</v>
      </c>
      <c r="AE20" t="n">
        <v>-1</v>
      </c>
      <c r="AF20" t="n">
        <v>14723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2503470</v>
      </c>
      <c r="F21" t="n">
        <v>1864960</v>
      </c>
      <c r="G21" t="n">
        <v>1223080</v>
      </c>
      <c r="H21" t="n">
        <v>1241686</v>
      </c>
      <c r="I21" t="n">
        <v>14.913345</v>
      </c>
      <c r="J21" t="n">
        <v>11.7684</v>
      </c>
      <c r="K21" t="n">
        <v>7.66175</v>
      </c>
      <c r="L21" t="n">
        <v>6.875</v>
      </c>
      <c r="M21" t="n">
        <v>-445690.625</v>
      </c>
      <c r="N21" t="n">
        <v>-592711</v>
      </c>
      <c r="O21" t="n">
        <v>-394065</v>
      </c>
      <c r="P21" t="n">
        <v>-514316</v>
      </c>
      <c r="Q21" t="n">
        <v>2891</v>
      </c>
      <c r="R21" t="n">
        <v>40.795574</v>
      </c>
      <c r="S21" t="n">
        <v>0</v>
      </c>
      <c r="T21" t="n">
        <v>71.816948</v>
      </c>
      <c r="U21" t="n">
        <v>61.318691</v>
      </c>
      <c r="V21" t="n">
        <v>720269.375</v>
      </c>
      <c r="W21" t="n">
        <v>3.429675</v>
      </c>
      <c r="X21" t="n">
        <v>195.000214</v>
      </c>
      <c r="Y21" t="n">
        <v>2062.52</v>
      </c>
      <c r="Z21" t="n">
        <v>230.11</v>
      </c>
      <c r="AA21" t="n">
        <v>315.33</v>
      </c>
      <c r="AB21" t="n">
        <v>491.94</v>
      </c>
      <c r="AC21" t="n">
        <v>103.39</v>
      </c>
      <c r="AD21" t="n">
        <v>2222.59</v>
      </c>
      <c r="AE21" t="n">
        <v>-1</v>
      </c>
      <c r="AF21" t="n">
        <v>8697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974401</v>
      </c>
      <c r="F22" t="n">
        <v>1899760</v>
      </c>
      <c r="G22" t="n">
        <v>861624</v>
      </c>
      <c r="H22" t="n">
        <v>1046331</v>
      </c>
      <c r="I22" t="n">
        <v>10.945059</v>
      </c>
      <c r="J22" t="n">
        <v>15.983</v>
      </c>
      <c r="K22" t="n">
        <v>9.29528</v>
      </c>
      <c r="L22" t="n">
        <v>9.102</v>
      </c>
      <c r="M22" t="n">
        <v>-158798.59375</v>
      </c>
      <c r="N22" t="n">
        <v>-284007</v>
      </c>
      <c r="O22" t="n">
        <v>-203143</v>
      </c>
      <c r="P22" t="n">
        <v>-266132</v>
      </c>
      <c r="Q22" t="n">
        <v>1678</v>
      </c>
      <c r="R22" t="n">
        <v>12.949941</v>
      </c>
      <c r="S22" t="n">
        <v>0</v>
      </c>
      <c r="T22" t="n">
        <v>76.046593</v>
      </c>
      <c r="U22" t="n">
        <v>72.464355</v>
      </c>
      <c r="V22" t="n">
        <v>1001509.25</v>
      </c>
      <c r="W22" t="n">
        <v>11.000519</v>
      </c>
      <c r="X22" t="n">
        <v>83.00009900000001</v>
      </c>
      <c r="Y22" t="n">
        <v>733.14</v>
      </c>
      <c r="Z22" t="n">
        <v>109.25</v>
      </c>
      <c r="AA22" t="n">
        <v>199.16</v>
      </c>
      <c r="AB22" t="n">
        <v>238.15</v>
      </c>
      <c r="AC22" t="n">
        <v>74.79000000000001</v>
      </c>
      <c r="AD22" t="n">
        <v>832.35</v>
      </c>
      <c r="AE22" t="n">
        <v>-1</v>
      </c>
      <c r="AF22" t="n">
        <v>4996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192231</v>
      </c>
      <c r="F23" t="n">
        <v>145991</v>
      </c>
      <c r="G23" t="n">
        <v>120122</v>
      </c>
      <c r="H23" t="n">
        <v>116433</v>
      </c>
      <c r="I23" t="n">
        <v>14.35953</v>
      </c>
      <c r="J23" t="n">
        <v>5.815</v>
      </c>
      <c r="K23" t="n">
        <v>5.693</v>
      </c>
      <c r="L23" t="n">
        <v>4.791</v>
      </c>
      <c r="M23" t="n">
        <v>-31018.982422</v>
      </c>
      <c r="N23" t="n">
        <v>-51026.9</v>
      </c>
      <c r="O23" t="n">
        <v>-39302.3</v>
      </c>
      <c r="P23" t="n">
        <v>-49993.9</v>
      </c>
      <c r="Q23" t="n">
        <v>213</v>
      </c>
      <c r="R23" t="n">
        <v>16.150234</v>
      </c>
      <c r="S23" t="n">
        <v>0</v>
      </c>
      <c r="T23" t="n">
        <v>54.794521</v>
      </c>
      <c r="U23" t="n">
        <v>50.587189</v>
      </c>
      <c r="V23" t="n">
        <v>43675.257812</v>
      </c>
      <c r="W23" t="n">
        <v>1.851666</v>
      </c>
      <c r="X23" t="n">
        <v>166.352997</v>
      </c>
      <c r="Y23" t="n">
        <v>296.93</v>
      </c>
      <c r="Z23" t="n">
        <v>18.43</v>
      </c>
      <c r="AA23" t="n">
        <v>31.44</v>
      </c>
      <c r="AB23" t="n">
        <v>18.02</v>
      </c>
      <c r="AC23" t="n">
        <v>10.76</v>
      </c>
      <c r="AD23" t="n">
        <v>316.67</v>
      </c>
      <c r="AE23" t="n">
        <v>-1</v>
      </c>
      <c r="AF23" t="n">
        <v>1029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-15</t>
        </is>
      </c>
      <c r="E24" t="n">
        <v>26145300</v>
      </c>
      <c r="F24" t="n">
        <v>-1</v>
      </c>
      <c r="G24" t="n">
        <v>-1</v>
      </c>
      <c r="H24" t="n">
        <v>-1</v>
      </c>
      <c r="I24" t="n">
        <v>9.625852999999999</v>
      </c>
      <c r="J24" t="n">
        <v>-1</v>
      </c>
      <c r="K24" t="n">
        <v>-1</v>
      </c>
      <c r="L24" t="n">
        <v>-1</v>
      </c>
      <c r="M24" t="n">
        <v>-1436656.375</v>
      </c>
      <c r="N24" t="n">
        <v>-1</v>
      </c>
      <c r="O24" t="n">
        <v>-1</v>
      </c>
      <c r="P24" t="n">
        <v>-1</v>
      </c>
      <c r="Q24" t="n">
        <v>94520</v>
      </c>
      <c r="R24" t="n">
        <v>361.01059</v>
      </c>
      <c r="S24" t="n">
        <v>0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13223.1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success</t>
        </is>
      </c>
      <c r="E25" t="n">
        <v>13624300</v>
      </c>
      <c r="F25" t="n">
        <v>67258400</v>
      </c>
      <c r="G25" t="n">
        <v>14991925</v>
      </c>
      <c r="H25" t="n">
        <v>17205457</v>
      </c>
      <c r="I25" t="n">
        <v>24.008068</v>
      </c>
      <c r="J25" t="n">
        <v>63.743</v>
      </c>
      <c r="K25" t="n">
        <v>15.8087</v>
      </c>
      <c r="L25" t="n">
        <v>16.275</v>
      </c>
      <c r="M25" t="n">
        <v>-7992729.5</v>
      </c>
      <c r="N25" t="n">
        <v>-18080500</v>
      </c>
      <c r="O25" t="n">
        <v>-8945250</v>
      </c>
      <c r="P25" t="n">
        <v>-9191910</v>
      </c>
      <c r="Q25" t="n">
        <v>30842</v>
      </c>
      <c r="R25" t="n">
        <v>13.840639</v>
      </c>
      <c r="S25" t="n">
        <v>0</v>
      </c>
      <c r="T25" t="n">
        <v>78.216599</v>
      </c>
      <c r="U25" t="n">
        <v>69.71674299999999</v>
      </c>
      <c r="V25" t="n">
        <v>48219292</v>
      </c>
      <c r="W25" t="n">
        <v>33.275085</v>
      </c>
      <c r="X25" t="n">
        <v>398.000092</v>
      </c>
      <c r="Y25" t="n">
        <v>25453.8</v>
      </c>
      <c r="Z25" t="n">
        <v>2283.85</v>
      </c>
      <c r="AA25" t="n">
        <v>2806.98</v>
      </c>
      <c r="AB25" t="n">
        <v>19183.47</v>
      </c>
      <c r="AC25" t="n">
        <v>11022.93</v>
      </c>
      <c r="AD25" t="n">
        <v>36817.96</v>
      </c>
      <c r="AE25" t="n">
        <v>-1</v>
      </c>
      <c r="AF25" t="n">
        <v>86329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success</t>
        </is>
      </c>
      <c r="E26" t="n">
        <v>5027280</v>
      </c>
      <c r="F26" t="n">
        <v>7883470</v>
      </c>
      <c r="G26" t="n">
        <v>3865829</v>
      </c>
      <c r="H26" t="n">
        <v>4464836</v>
      </c>
      <c r="I26" t="n">
        <v>19.808086</v>
      </c>
      <c r="J26" t="n">
        <v>25.8443</v>
      </c>
      <c r="K26" t="n">
        <v>13.7259</v>
      </c>
      <c r="L26" t="n">
        <v>14.521</v>
      </c>
      <c r="M26" t="n">
        <v>-1869328.25</v>
      </c>
      <c r="N26" t="n">
        <v>-3526520</v>
      </c>
      <c r="O26" t="n">
        <v>-2395530</v>
      </c>
      <c r="P26" t="n">
        <v>-3052970</v>
      </c>
      <c r="Q26" t="n">
        <v>6083</v>
      </c>
      <c r="R26" t="n">
        <v>66.714119</v>
      </c>
      <c r="S26" t="n">
        <v>0</v>
      </c>
      <c r="T26" t="n">
        <v>70.29864499999999</v>
      </c>
      <c r="U26" t="n">
        <v>76.010651</v>
      </c>
      <c r="V26" t="n">
        <v>5451866</v>
      </c>
      <c r="W26" t="n">
        <v>17.893686</v>
      </c>
      <c r="X26" t="n">
        <v>114.538528</v>
      </c>
      <c r="Y26" t="n">
        <v>3518.05</v>
      </c>
      <c r="Z26" t="n">
        <v>343.98</v>
      </c>
      <c r="AA26" t="n">
        <v>566.98</v>
      </c>
      <c r="AB26" t="n">
        <v>2095.02</v>
      </c>
      <c r="AC26" t="n">
        <v>1536.33</v>
      </c>
      <c r="AD26" t="n">
        <v>5134.77</v>
      </c>
      <c r="AE26" t="n">
        <v>-1</v>
      </c>
      <c r="AF26" t="n">
        <v>22653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79261600</v>
      </c>
      <c r="G2" t="n">
        <v>9045003</v>
      </c>
      <c r="H2" t="n">
        <v>8667738</v>
      </c>
      <c r="I2" t="n">
        <v>-1</v>
      </c>
      <c r="J2" t="n">
        <v>21.632</v>
      </c>
      <c r="K2" t="n">
        <v>5.933</v>
      </c>
      <c r="L2" t="n">
        <v>11.736</v>
      </c>
      <c r="M2" t="n">
        <v>-1</v>
      </c>
      <c r="N2" t="n">
        <v>-1904120</v>
      </c>
      <c r="O2" t="n">
        <v>-610669</v>
      </c>
      <c r="P2" t="n">
        <v>-1152870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1569.31</v>
      </c>
      <c r="AD2" t="n">
        <v>8950.43</v>
      </c>
      <c r="AE2" t="n">
        <v>-1</v>
      </c>
      <c r="AF2" t="n">
        <v>40820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101286000</v>
      </c>
      <c r="G3" t="n">
        <v>8757562</v>
      </c>
      <c r="H3" t="n">
        <v>8566743</v>
      </c>
      <c r="I3" t="n">
        <v>-1</v>
      </c>
      <c r="J3" t="n">
        <v>21.97</v>
      </c>
      <c r="K3" t="n">
        <v>7.06564</v>
      </c>
      <c r="L3" t="n">
        <v>8.292999999999999</v>
      </c>
      <c r="M3" t="n">
        <v>-1</v>
      </c>
      <c r="N3" t="n">
        <v>-2398200</v>
      </c>
      <c r="O3" t="n">
        <v>-948081</v>
      </c>
      <c r="P3" t="n">
        <v>-1843330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2046.06</v>
      </c>
      <c r="AD3" t="n">
        <v>8354.73</v>
      </c>
      <c r="AE3" t="n">
        <v>-1</v>
      </c>
      <c r="AF3" t="n">
        <v>31135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101302000</v>
      </c>
      <c r="G4" t="n">
        <v>9039669</v>
      </c>
      <c r="H4" t="n">
        <v>8935543</v>
      </c>
      <c r="I4" t="n">
        <v>-1</v>
      </c>
      <c r="J4" t="n">
        <v>19.34</v>
      </c>
      <c r="K4" t="n">
        <v>6.68299</v>
      </c>
      <c r="L4" t="n">
        <v>8.262</v>
      </c>
      <c r="M4" t="n">
        <v>-1</v>
      </c>
      <c r="N4" t="n">
        <v>-3112350</v>
      </c>
      <c r="O4" t="n">
        <v>-888885</v>
      </c>
      <c r="P4" t="n">
        <v>-1709740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3246.29</v>
      </c>
      <c r="AD4" t="n">
        <v>9489.43</v>
      </c>
      <c r="AE4" t="n">
        <v>-1</v>
      </c>
      <c r="AF4" t="n">
        <v>30718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97460800</v>
      </c>
      <c r="G5" t="n">
        <v>8381775</v>
      </c>
      <c r="H5" t="n">
        <v>8232893</v>
      </c>
      <c r="I5" t="n">
        <v>-1</v>
      </c>
      <c r="J5" t="n">
        <v>18.687</v>
      </c>
      <c r="K5" t="n">
        <v>6.5663</v>
      </c>
      <c r="L5" t="n">
        <v>7.665</v>
      </c>
      <c r="M5" t="n">
        <v>-1</v>
      </c>
      <c r="N5" t="n">
        <v>-2011690</v>
      </c>
      <c r="O5" t="n">
        <v>-923067</v>
      </c>
      <c r="P5" t="n">
        <v>-1698500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1996.57</v>
      </c>
      <c r="AD5" t="n">
        <v>8031.27</v>
      </c>
      <c r="AE5" t="n">
        <v>-1</v>
      </c>
      <c r="AF5" t="n">
        <v>29827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134199000</v>
      </c>
      <c r="G6" t="n">
        <v>8945805</v>
      </c>
      <c r="H6" t="n">
        <v>10660748</v>
      </c>
      <c r="I6" t="n">
        <v>-1</v>
      </c>
      <c r="J6" t="n">
        <v>67.468</v>
      </c>
      <c r="K6" t="n">
        <v>14.626</v>
      </c>
      <c r="L6" t="n">
        <v>14.601</v>
      </c>
      <c r="M6" t="n">
        <v>-1</v>
      </c>
      <c r="N6" t="n">
        <v>-17171500</v>
      </c>
      <c r="O6" t="n">
        <v>-4699360</v>
      </c>
      <c r="P6" t="n">
        <v>-4907850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2645.2</v>
      </c>
      <c r="AD6" t="n">
        <v>16266.64</v>
      </c>
      <c r="AE6" t="n">
        <v>-1</v>
      </c>
      <c r="AF6" t="n">
        <v>46664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64769900</v>
      </c>
      <c r="G7" t="n">
        <v>8213812</v>
      </c>
      <c r="H7" t="n">
        <v>8118748</v>
      </c>
      <c r="I7" t="n">
        <v>-1</v>
      </c>
      <c r="J7" t="n">
        <v>17.251</v>
      </c>
      <c r="K7" t="n">
        <v>5.156</v>
      </c>
      <c r="L7" t="n">
        <v>9.26</v>
      </c>
      <c r="M7" t="n">
        <v>-1</v>
      </c>
      <c r="N7" t="n">
        <v>-1574430</v>
      </c>
      <c r="O7" t="n">
        <v>-497244</v>
      </c>
      <c r="P7" t="n">
        <v>-939275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1142.99</v>
      </c>
      <c r="AD7" t="n">
        <v>7060.9</v>
      </c>
      <c r="AE7" t="n">
        <v>-1</v>
      </c>
      <c r="AF7" t="n">
        <v>33049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59286200</v>
      </c>
      <c r="G8" t="n">
        <v>7773348</v>
      </c>
      <c r="H8" t="n">
        <v>7576897</v>
      </c>
      <c r="I8" t="n">
        <v>-1</v>
      </c>
      <c r="J8" t="n">
        <v>16.733</v>
      </c>
      <c r="K8" t="n">
        <v>4.4903</v>
      </c>
      <c r="L8" t="n">
        <v>8.939</v>
      </c>
      <c r="M8" t="n">
        <v>-1</v>
      </c>
      <c r="N8" t="n">
        <v>-1476290</v>
      </c>
      <c r="O8" t="n">
        <v>-468711</v>
      </c>
      <c r="P8" t="n">
        <v>-910925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640.34</v>
      </c>
      <c r="AD8" t="n">
        <v>6173.5</v>
      </c>
      <c r="AE8" t="n">
        <v>-1</v>
      </c>
      <c r="AF8" t="n">
        <v>31687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52699200</v>
      </c>
      <c r="G9" t="n">
        <v>4938359</v>
      </c>
      <c r="H9" t="n">
        <v>4430637</v>
      </c>
      <c r="I9" t="n">
        <v>-1</v>
      </c>
      <c r="J9" t="n">
        <v>22.292</v>
      </c>
      <c r="K9" t="n">
        <v>5.693</v>
      </c>
      <c r="L9" t="n">
        <v>5.67</v>
      </c>
      <c r="M9" t="n">
        <v>-1</v>
      </c>
      <c r="N9" t="n">
        <v>-1670950</v>
      </c>
      <c r="O9" t="n">
        <v>-705427</v>
      </c>
      <c r="P9" t="n">
        <v>-1030220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888.58</v>
      </c>
      <c r="AD9" t="n">
        <v>7700.14</v>
      </c>
      <c r="AE9" t="n">
        <v>-1</v>
      </c>
      <c r="AF9" t="n">
        <v>26650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51438100</v>
      </c>
      <c r="G10" t="n">
        <v>4754299</v>
      </c>
      <c r="H10" t="n">
        <v>4414651</v>
      </c>
      <c r="I10" t="n">
        <v>-1</v>
      </c>
      <c r="J10" t="n">
        <v>27.203</v>
      </c>
      <c r="K10" t="n">
        <v>6.907</v>
      </c>
      <c r="L10" t="n">
        <v>6.133</v>
      </c>
      <c r="M10" t="n">
        <v>-1</v>
      </c>
      <c r="N10" t="n">
        <v>-2412460</v>
      </c>
      <c r="O10" t="n">
        <v>-1007480</v>
      </c>
      <c r="P10" t="n">
        <v>-1304240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288.66</v>
      </c>
      <c r="AD10" t="n">
        <v>7866.86</v>
      </c>
      <c r="AE10" t="n">
        <v>-1</v>
      </c>
      <c r="AF10" t="n">
        <v>25506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36995600</v>
      </c>
      <c r="G11" t="n">
        <v>2674785</v>
      </c>
      <c r="H11" t="n">
        <v>1969453</v>
      </c>
      <c r="I11" t="n">
        <v>-1</v>
      </c>
      <c r="J11" t="n">
        <v>16.482</v>
      </c>
      <c r="K11" t="n">
        <v>4.915</v>
      </c>
      <c r="L11" t="n">
        <v>5.671</v>
      </c>
      <c r="M11" t="n">
        <v>-1</v>
      </c>
      <c r="N11" t="n">
        <v>-1308440</v>
      </c>
      <c r="O11" t="n">
        <v>-220217</v>
      </c>
      <c r="P11" t="n">
        <v>-236985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151.36</v>
      </c>
      <c r="AD11" t="n">
        <v>4504.28</v>
      </c>
      <c r="AE11" t="n">
        <v>-1</v>
      </c>
      <c r="AF11" t="n">
        <v>24690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40310200</v>
      </c>
      <c r="G12" t="n">
        <v>3581799</v>
      </c>
      <c r="H12" t="n">
        <v>3141699</v>
      </c>
      <c r="I12" t="n">
        <v>-1</v>
      </c>
      <c r="J12" t="n">
        <v>24.847</v>
      </c>
      <c r="K12" t="n">
        <v>6.31772</v>
      </c>
      <c r="L12" t="n">
        <v>5.812</v>
      </c>
      <c r="M12" t="n">
        <v>-1</v>
      </c>
      <c r="N12" t="n">
        <v>-1369230</v>
      </c>
      <c r="O12" t="n">
        <v>-520575</v>
      </c>
      <c r="P12" t="n">
        <v>-729016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198.97</v>
      </c>
      <c r="AD12" t="n">
        <v>6018</v>
      </c>
      <c r="AE12" t="n">
        <v>-1</v>
      </c>
      <c r="AF12" t="n">
        <v>21835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32034600</v>
      </c>
      <c r="G13" t="n">
        <v>2484837</v>
      </c>
      <c r="H13" t="n">
        <v>2159230</v>
      </c>
      <c r="I13" t="n">
        <v>-1</v>
      </c>
      <c r="J13" t="n">
        <v>32.9453</v>
      </c>
      <c r="K13" t="n">
        <v>5.818</v>
      </c>
      <c r="L13" t="n">
        <v>4.924</v>
      </c>
      <c r="M13" t="n">
        <v>-1</v>
      </c>
      <c r="N13" t="n">
        <v>-1698920</v>
      </c>
      <c r="O13" t="n">
        <v>-574073</v>
      </c>
      <c r="P13" t="n">
        <v>-849645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136.79</v>
      </c>
      <c r="AD13" t="n">
        <v>4050.49</v>
      </c>
      <c r="AE13" t="n">
        <v>-1</v>
      </c>
      <c r="AF13" t="n">
        <v>16690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30256700</v>
      </c>
      <c r="G14" t="n">
        <v>2484695</v>
      </c>
      <c r="H14" t="n">
        <v>2212759</v>
      </c>
      <c r="I14" t="n">
        <v>-1</v>
      </c>
      <c r="J14" t="n">
        <v>32.998</v>
      </c>
      <c r="K14" t="n">
        <v>6.01531</v>
      </c>
      <c r="L14" t="n">
        <v>5.303</v>
      </c>
      <c r="M14" t="n">
        <v>-1</v>
      </c>
      <c r="N14" t="n">
        <v>-1560630</v>
      </c>
      <c r="O14" t="n">
        <v>-377829</v>
      </c>
      <c r="P14" t="n">
        <v>-606808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145.12</v>
      </c>
      <c r="AD14" t="n">
        <v>3849.1</v>
      </c>
      <c r="AE14" t="n">
        <v>-1</v>
      </c>
      <c r="AF14" t="n">
        <v>16645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24616600</v>
      </c>
      <c r="G15" t="n">
        <v>2798977</v>
      </c>
      <c r="H15" t="n">
        <v>2675634</v>
      </c>
      <c r="I15" t="n">
        <v>-1</v>
      </c>
      <c r="J15" t="n">
        <v>22.53</v>
      </c>
      <c r="K15" t="n">
        <v>6.69018</v>
      </c>
      <c r="L15" t="n">
        <v>6.865</v>
      </c>
      <c r="M15" t="n">
        <v>-1</v>
      </c>
      <c r="N15" t="n">
        <v>-741980</v>
      </c>
      <c r="O15" t="n">
        <v>-229206</v>
      </c>
      <c r="P15" t="n">
        <v>-370306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137.13</v>
      </c>
      <c r="AD15" t="n">
        <v>3097.09</v>
      </c>
      <c r="AE15" t="n">
        <v>-1</v>
      </c>
      <c r="AF15" t="n">
        <v>17730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24276600</v>
      </c>
      <c r="G16" t="n">
        <v>2645050</v>
      </c>
      <c r="H16" t="n">
        <v>2685834</v>
      </c>
      <c r="I16" t="n">
        <v>-1</v>
      </c>
      <c r="J16" t="n">
        <v>20.967</v>
      </c>
      <c r="K16" t="n">
        <v>6.02066</v>
      </c>
      <c r="L16" t="n">
        <v>5.28</v>
      </c>
      <c r="M16" t="n">
        <v>-1</v>
      </c>
      <c r="N16" t="n">
        <v>-1267620</v>
      </c>
      <c r="O16" t="n">
        <v>-466428</v>
      </c>
      <c r="P16" t="n">
        <v>-728782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182.16</v>
      </c>
      <c r="AD16" t="n">
        <v>3320.6</v>
      </c>
      <c r="AE16" t="n">
        <v>-1</v>
      </c>
      <c r="AF16" t="n">
        <v>14730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21997400</v>
      </c>
      <c r="G17" t="n">
        <v>2230021</v>
      </c>
      <c r="H17" t="n">
        <v>1973548</v>
      </c>
      <c r="I17" t="n">
        <v>-1</v>
      </c>
      <c r="J17" t="n">
        <v>19.11</v>
      </c>
      <c r="K17" t="n">
        <v>5.782</v>
      </c>
      <c r="L17" t="n">
        <v>5.163</v>
      </c>
      <c r="M17" t="n">
        <v>-1</v>
      </c>
      <c r="N17" t="n">
        <v>-1082210</v>
      </c>
      <c r="O17" t="n">
        <v>-374926</v>
      </c>
      <c r="P17" t="n">
        <v>-567257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122.44</v>
      </c>
      <c r="AD17" t="n">
        <v>2841.41</v>
      </c>
      <c r="AE17" t="n">
        <v>-1</v>
      </c>
      <c r="AF17" t="n">
        <v>14239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19591800</v>
      </c>
      <c r="G18" t="n">
        <v>2202655</v>
      </c>
      <c r="H18" t="n">
        <v>2119630</v>
      </c>
      <c r="I18" t="n">
        <v>-1</v>
      </c>
      <c r="J18" t="n">
        <v>19.758</v>
      </c>
      <c r="K18" t="n">
        <v>5.782</v>
      </c>
      <c r="L18" t="n">
        <v>4.981</v>
      </c>
      <c r="M18" t="n">
        <v>-1</v>
      </c>
      <c r="N18" t="n">
        <v>-987420</v>
      </c>
      <c r="O18" t="n">
        <v>-362913</v>
      </c>
      <c r="P18" t="n">
        <v>-550562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140.34</v>
      </c>
      <c r="AD18" t="n">
        <v>2639.43</v>
      </c>
      <c r="AE18" t="n">
        <v>-1</v>
      </c>
      <c r="AF18" t="n">
        <v>12755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15837300</v>
      </c>
      <c r="G19" t="n">
        <v>1805004</v>
      </c>
      <c r="H19" t="n">
        <v>1741199</v>
      </c>
      <c r="I19" t="n">
        <v>-1</v>
      </c>
      <c r="J19" t="n">
        <v>18.605</v>
      </c>
      <c r="K19" t="n">
        <v>6.419</v>
      </c>
      <c r="L19" t="n">
        <v>6.224</v>
      </c>
      <c r="M19" t="n">
        <v>-1</v>
      </c>
      <c r="N19" t="n">
        <v>-607544</v>
      </c>
      <c r="O19" t="n">
        <v>-172791</v>
      </c>
      <c r="P19" t="n">
        <v>-296611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96.72</v>
      </c>
      <c r="AD19" t="n">
        <v>2034.62</v>
      </c>
      <c r="AE19" t="n">
        <v>-1</v>
      </c>
      <c r="AF19" t="n">
        <v>12522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15205700</v>
      </c>
      <c r="G20" t="n">
        <v>1739095</v>
      </c>
      <c r="H20" t="n">
        <v>1693042</v>
      </c>
      <c r="I20" t="n">
        <v>-1</v>
      </c>
      <c r="J20" t="n">
        <v>17.597</v>
      </c>
      <c r="K20" t="n">
        <v>6.235</v>
      </c>
      <c r="L20" t="n">
        <v>6.303</v>
      </c>
      <c r="M20" t="n">
        <v>-1</v>
      </c>
      <c r="N20" t="n">
        <v>-581624</v>
      </c>
      <c r="O20" t="n">
        <v>-164348</v>
      </c>
      <c r="P20" t="n">
        <v>-292196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102.45</v>
      </c>
      <c r="AD20" t="n">
        <v>2053.2</v>
      </c>
      <c r="AE20" t="n">
        <v>-1</v>
      </c>
      <c r="AF20" t="n">
        <v>12168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14719300</v>
      </c>
      <c r="G21" t="n">
        <v>1443788</v>
      </c>
      <c r="H21" t="n">
        <v>1522599</v>
      </c>
      <c r="I21" t="n">
        <v>-1</v>
      </c>
      <c r="J21" t="n">
        <v>28.428</v>
      </c>
      <c r="K21" t="n">
        <v>7.4471</v>
      </c>
      <c r="L21" t="n">
        <v>6.655</v>
      </c>
      <c r="M21" t="n">
        <v>-1</v>
      </c>
      <c r="N21" t="n">
        <v>-1208510</v>
      </c>
      <c r="O21" t="n">
        <v>-369071</v>
      </c>
      <c r="P21" t="n">
        <v>-491569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100.31</v>
      </c>
      <c r="AD21" t="n">
        <v>2323.06</v>
      </c>
      <c r="AE21" t="n">
        <v>-1</v>
      </c>
      <c r="AF21" t="n">
        <v>8606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5192130</v>
      </c>
      <c r="G22" t="n">
        <v>1012501</v>
      </c>
      <c r="H22" t="n">
        <v>1298499</v>
      </c>
      <c r="I22" t="n">
        <v>-1</v>
      </c>
      <c r="J22" t="n">
        <v>22.8095</v>
      </c>
      <c r="K22" t="n">
        <v>9.16133</v>
      </c>
      <c r="L22" t="n">
        <v>8.891</v>
      </c>
      <c r="M22" t="n">
        <v>-1</v>
      </c>
      <c r="N22" t="n">
        <v>-431892</v>
      </c>
      <c r="O22" t="n">
        <v>-200382</v>
      </c>
      <c r="P22" t="n">
        <v>-272901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111.34</v>
      </c>
      <c r="AD22" t="n">
        <v>749.15</v>
      </c>
      <c r="AE22" t="n">
        <v>-1</v>
      </c>
      <c r="AF22" t="n">
        <v>4482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546345</v>
      </c>
      <c r="G23" t="n">
        <v>123217</v>
      </c>
      <c r="H23" t="n">
        <v>119290</v>
      </c>
      <c r="I23" t="n">
        <v>-1</v>
      </c>
      <c r="J23" t="n">
        <v>7.523</v>
      </c>
      <c r="K23" t="n">
        <v>5.693</v>
      </c>
      <c r="L23" t="n">
        <v>4.791</v>
      </c>
      <c r="M23" t="n">
        <v>-1</v>
      </c>
      <c r="N23" t="n">
        <v>-66559.8</v>
      </c>
      <c r="O23" t="n">
        <v>-39225.5</v>
      </c>
      <c r="P23" t="n">
        <v>-48918.7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7.07</v>
      </c>
      <c r="AD23" t="n">
        <v>281.5</v>
      </c>
      <c r="AE23" t="n">
        <v>-1</v>
      </c>
      <c r="AF23" t="n">
        <v>882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-15</t>
        </is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exited with return code -15</t>
        </is>
      </c>
      <c r="E25" t="n">
        <v>-1</v>
      </c>
      <c r="F25" t="n">
        <v>277149000</v>
      </c>
      <c r="G25" t="n">
        <v>18284239</v>
      </c>
      <c r="H25" t="n">
        <v>-1</v>
      </c>
      <c r="I25" t="n">
        <v>-1</v>
      </c>
      <c r="J25" t="n">
        <v>89.89100000000001</v>
      </c>
      <c r="K25" t="n">
        <v>16.8305</v>
      </c>
      <c r="L25" t="n">
        <v>-1</v>
      </c>
      <c r="M25" t="n">
        <v>-1</v>
      </c>
      <c r="N25" t="n">
        <v>-37448300</v>
      </c>
      <c r="O25" t="n">
        <v>-9251850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84614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exited with return code -15</t>
        </is>
      </c>
      <c r="E26" t="n">
        <v>-1</v>
      </c>
      <c r="F26" t="n">
        <v>35766500</v>
      </c>
      <c r="G26" t="n">
        <v>5063950</v>
      </c>
      <c r="H26" t="n">
        <v>-1</v>
      </c>
      <c r="I26" t="n">
        <v>-1</v>
      </c>
      <c r="J26" t="n">
        <v>63.196</v>
      </c>
      <c r="K26" t="n">
        <v>16.2463</v>
      </c>
      <c r="L26" t="n">
        <v>-1</v>
      </c>
      <c r="M26" t="n">
        <v>-1</v>
      </c>
      <c r="N26" t="n">
        <v>-4906330</v>
      </c>
      <c r="O26" t="n">
        <v>-2635440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20004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6895.94</v>
      </c>
      <c r="F2" t="n">
        <v>11250</v>
      </c>
      <c r="G2" t="n">
        <v>9767</v>
      </c>
      <c r="H2" t="n">
        <v>19126</v>
      </c>
      <c r="I2" t="n">
        <v>2.023157</v>
      </c>
      <c r="J2" t="n">
        <v>5.46413</v>
      </c>
      <c r="K2" t="n">
        <v>5.46413</v>
      </c>
      <c r="L2" t="n">
        <v>17.9792</v>
      </c>
      <c r="M2" t="n">
        <v>-13.015519</v>
      </c>
      <c r="N2" t="n">
        <v>-34.8339</v>
      </c>
      <c r="O2" t="n">
        <v>-34.8339</v>
      </c>
      <c r="P2" t="n">
        <v>-126.211</v>
      </c>
      <c r="Q2" t="n">
        <v>210</v>
      </c>
      <c r="R2" t="n">
        <v>1.761905</v>
      </c>
      <c r="S2" t="n">
        <v>0</v>
      </c>
      <c r="T2" t="n">
        <v>86.25</v>
      </c>
      <c r="U2" t="n">
        <v>61.204662</v>
      </c>
      <c r="V2" t="n">
        <v>3657.459473</v>
      </c>
      <c r="W2" t="n">
        <v>2.368821</v>
      </c>
      <c r="X2" t="n">
        <v>24.000198</v>
      </c>
      <c r="Y2" t="n">
        <v>12.67</v>
      </c>
      <c r="Z2" t="n">
        <v>0.87</v>
      </c>
      <c r="AA2" t="n">
        <v>9.17</v>
      </c>
      <c r="AB2" t="n">
        <v>0.33</v>
      </c>
      <c r="AC2" t="n">
        <v>3.01</v>
      </c>
      <c r="AD2" t="n">
        <v>15.99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7194.31</v>
      </c>
      <c r="F3" t="n">
        <v>12596.7</v>
      </c>
      <c r="G3" t="n">
        <v>10059</v>
      </c>
      <c r="H3" t="n">
        <v>20201</v>
      </c>
      <c r="I3" t="n">
        <v>1.759012</v>
      </c>
      <c r="J3" t="n">
        <v>4.27225</v>
      </c>
      <c r="K3" t="n">
        <v>4.27225</v>
      </c>
      <c r="L3" t="n">
        <v>21.2397</v>
      </c>
      <c r="M3" t="n">
        <v>-30.077353</v>
      </c>
      <c r="N3" t="n">
        <v>-72.62820000000001</v>
      </c>
      <c r="O3" t="n">
        <v>-72.62820000000001</v>
      </c>
      <c r="P3" t="n">
        <v>-342.98</v>
      </c>
      <c r="Q3" t="n">
        <v>172</v>
      </c>
      <c r="R3" t="n">
        <v>1</v>
      </c>
      <c r="S3" t="n">
        <v>0</v>
      </c>
      <c r="T3" t="n">
        <v>76.428574</v>
      </c>
      <c r="U3" t="n">
        <v>50.775192</v>
      </c>
      <c r="V3" t="n">
        <v>2804.240967</v>
      </c>
      <c r="W3" t="n">
        <v>2.17383</v>
      </c>
      <c r="X3" t="n">
        <v>24.026779</v>
      </c>
      <c r="Y3" t="n">
        <v>3.79</v>
      </c>
      <c r="Z3" t="n">
        <v>0.6899999999999999</v>
      </c>
      <c r="AA3" t="n">
        <v>0.51</v>
      </c>
      <c r="AB3" t="n">
        <v>0.35</v>
      </c>
      <c r="AC3" t="n">
        <v>2.47</v>
      </c>
      <c r="AD3" t="n">
        <v>6.58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7427.44</v>
      </c>
      <c r="F4" t="n">
        <v>12831.2</v>
      </c>
      <c r="G4" t="n">
        <v>9461</v>
      </c>
      <c r="H4" t="n">
        <v>16652</v>
      </c>
      <c r="I4" t="n">
        <v>1.476578</v>
      </c>
      <c r="J4" t="n">
        <v>3.24207</v>
      </c>
      <c r="K4" t="n">
        <v>3.24207</v>
      </c>
      <c r="L4" t="n">
        <v>9.756220000000001</v>
      </c>
      <c r="M4" t="n">
        <v>-485.615143</v>
      </c>
      <c r="N4" t="n">
        <v>-722.847</v>
      </c>
      <c r="O4" t="n">
        <v>-722.847</v>
      </c>
      <c r="P4" t="n">
        <v>-2347.65</v>
      </c>
      <c r="Q4" t="n">
        <v>210</v>
      </c>
      <c r="R4" t="n">
        <v>5.976191</v>
      </c>
      <c r="S4" t="n">
        <v>0</v>
      </c>
      <c r="T4" t="n">
        <v>25.396826</v>
      </c>
      <c r="U4" t="n">
        <v>25.052454</v>
      </c>
      <c r="V4" t="n">
        <v>2443.546143</v>
      </c>
      <c r="W4" t="n">
        <v>1.025408</v>
      </c>
      <c r="X4" t="n">
        <v>16.979027</v>
      </c>
      <c r="Y4" t="n">
        <v>17.01</v>
      </c>
      <c r="Z4" t="n">
        <v>0.95</v>
      </c>
      <c r="AA4" t="n">
        <v>13.03</v>
      </c>
      <c r="AB4" t="n">
        <v>0.87</v>
      </c>
      <c r="AC4" t="n">
        <v>1.49</v>
      </c>
      <c r="AD4" t="n">
        <v>18.82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8815.9</v>
      </c>
      <c r="F5" t="n">
        <v>13522.9</v>
      </c>
      <c r="G5" t="n">
        <v>10651</v>
      </c>
      <c r="H5" t="n">
        <v>18851</v>
      </c>
      <c r="I5" t="n">
        <v>1.759012</v>
      </c>
      <c r="J5" t="n">
        <v>4.78112</v>
      </c>
      <c r="K5" t="n">
        <v>4.78112</v>
      </c>
      <c r="L5" t="n">
        <v>18.6085</v>
      </c>
      <c r="M5" t="n">
        <v>-292.282196</v>
      </c>
      <c r="N5" t="n">
        <v>-695.759</v>
      </c>
      <c r="O5" t="n">
        <v>-695.759</v>
      </c>
      <c r="P5" t="n">
        <v>-2627.51</v>
      </c>
      <c r="Q5" t="n">
        <v>213</v>
      </c>
      <c r="R5" t="n">
        <v>3.300469</v>
      </c>
      <c r="S5" t="n">
        <v>0</v>
      </c>
      <c r="T5" t="n">
        <v>28.314917</v>
      </c>
      <c r="U5" t="n">
        <v>38.814533</v>
      </c>
      <c r="V5" t="n">
        <v>2455.570801</v>
      </c>
      <c r="W5" t="n">
        <v>1.173791</v>
      </c>
      <c r="X5" t="n">
        <v>19.516491</v>
      </c>
      <c r="Y5" t="n">
        <v>15.03</v>
      </c>
      <c r="Z5" t="n">
        <v>1.18</v>
      </c>
      <c r="AA5" t="n">
        <v>11.19</v>
      </c>
      <c r="AB5" t="n">
        <v>0.55</v>
      </c>
      <c r="AC5" t="n">
        <v>1.75</v>
      </c>
      <c r="AD5" t="n">
        <v>17.08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7017.29</v>
      </c>
      <c r="F6" t="n">
        <v>11739.7</v>
      </c>
      <c r="G6" t="n">
        <v>8534</v>
      </c>
      <c r="H6" t="n">
        <v>15056</v>
      </c>
      <c r="I6" t="n">
        <v>4.38217</v>
      </c>
      <c r="J6" t="n">
        <v>10.0722</v>
      </c>
      <c r="K6" t="n">
        <v>10.0722</v>
      </c>
      <c r="L6" t="n">
        <v>23.7903</v>
      </c>
      <c r="M6" t="n">
        <v>-706.5426639999999</v>
      </c>
      <c r="N6" t="n">
        <v>-1309.71</v>
      </c>
      <c r="O6" t="n">
        <v>-1309.71</v>
      </c>
      <c r="P6" t="n">
        <v>-4167.73</v>
      </c>
      <c r="Q6" t="n">
        <v>209</v>
      </c>
      <c r="R6" t="n">
        <v>1.119617</v>
      </c>
      <c r="S6" t="n">
        <v>0</v>
      </c>
      <c r="T6" t="n">
        <v>62.290504</v>
      </c>
      <c r="U6" t="n">
        <v>39.361702</v>
      </c>
      <c r="V6" t="n">
        <v>3131.733398</v>
      </c>
      <c r="W6" t="n">
        <v>1.586491</v>
      </c>
      <c r="X6" t="n">
        <v>22.000198</v>
      </c>
      <c r="Y6" t="n">
        <v>5.47</v>
      </c>
      <c r="Z6" t="n">
        <v>0.85</v>
      </c>
      <c r="AA6" t="n">
        <v>2.02</v>
      </c>
      <c r="AB6" t="n">
        <v>0.46</v>
      </c>
      <c r="AC6" t="n">
        <v>1.09</v>
      </c>
      <c r="AD6" t="n">
        <v>6.88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6999.54</v>
      </c>
      <c r="F7" t="n">
        <v>9872.59</v>
      </c>
      <c r="G7" t="n">
        <v>8456</v>
      </c>
      <c r="H7" t="n">
        <v>14184</v>
      </c>
      <c r="I7" t="n">
        <v>1.212434</v>
      </c>
      <c r="J7" t="n">
        <v>3.01792</v>
      </c>
      <c r="K7" t="n">
        <v>3.01792</v>
      </c>
      <c r="L7" t="n">
        <v>12.4038</v>
      </c>
      <c r="M7" t="n">
        <v>-426.449799</v>
      </c>
      <c r="N7" t="n">
        <v>-660.0119999999999</v>
      </c>
      <c r="O7" t="n">
        <v>-660.0119999999999</v>
      </c>
      <c r="P7" t="n">
        <v>-2615.64</v>
      </c>
      <c r="Q7" t="n">
        <v>185</v>
      </c>
      <c r="R7" t="n">
        <v>1</v>
      </c>
      <c r="S7" t="n">
        <v>0</v>
      </c>
      <c r="T7" t="n">
        <v>29.80456</v>
      </c>
      <c r="U7" t="n">
        <v>24.353876</v>
      </c>
      <c r="V7" t="n">
        <v>1139.29126</v>
      </c>
      <c r="W7" t="n">
        <v>0.566248</v>
      </c>
      <c r="X7" t="n">
        <v>15.999999</v>
      </c>
      <c r="Y7" t="n">
        <v>11.47</v>
      </c>
      <c r="Z7" t="n">
        <v>0.5600000000000001</v>
      </c>
      <c r="AA7" t="n">
        <v>8.26</v>
      </c>
      <c r="AB7" t="n">
        <v>0.35</v>
      </c>
      <c r="AC7" t="n">
        <v>0.93</v>
      </c>
      <c r="AD7" t="n">
        <v>12.7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6559.46</v>
      </c>
      <c r="F8" t="n">
        <v>10810</v>
      </c>
      <c r="G8" t="n">
        <v>9037</v>
      </c>
      <c r="H8" t="n">
        <v>16515</v>
      </c>
      <c r="I8" t="n">
        <v>2.023157</v>
      </c>
      <c r="J8" t="n">
        <v>5.46413</v>
      </c>
      <c r="K8" t="n">
        <v>5.46413</v>
      </c>
      <c r="L8" t="n">
        <v>21.1398</v>
      </c>
      <c r="M8" t="n">
        <v>-85.988174</v>
      </c>
      <c r="N8" t="n">
        <v>-220.856</v>
      </c>
      <c r="O8" t="n">
        <v>-220.856</v>
      </c>
      <c r="P8" t="n">
        <v>-847.624</v>
      </c>
      <c r="Q8" t="n">
        <v>143</v>
      </c>
      <c r="R8" t="n">
        <v>1</v>
      </c>
      <c r="S8" t="n">
        <v>0</v>
      </c>
      <c r="T8" t="n">
        <v>64.835167</v>
      </c>
      <c r="U8" t="n">
        <v>50.220264</v>
      </c>
      <c r="V8" t="n">
        <v>1968.765625</v>
      </c>
      <c r="W8" t="n">
        <v>1.734595</v>
      </c>
      <c r="X8" t="n">
        <v>15.0002</v>
      </c>
      <c r="Y8" t="n">
        <v>3.41</v>
      </c>
      <c r="Z8" t="n">
        <v>0.52</v>
      </c>
      <c r="AA8" t="n">
        <v>0.49</v>
      </c>
      <c r="AB8" t="n">
        <v>0.3</v>
      </c>
      <c r="AC8" t="n">
        <v>1.79</v>
      </c>
      <c r="AD8" t="n">
        <v>5.46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7596.95</v>
      </c>
      <c r="F9" t="n">
        <v>13691.7</v>
      </c>
      <c r="G9" t="n">
        <v>10766</v>
      </c>
      <c r="H9" t="n">
        <v>21643</v>
      </c>
      <c r="I9" t="n">
        <v>2.023157</v>
      </c>
      <c r="J9" t="n">
        <v>4.78112</v>
      </c>
      <c r="K9" t="n">
        <v>4.78112</v>
      </c>
      <c r="L9" t="n">
        <v>19.5948</v>
      </c>
      <c r="M9" t="n">
        <v>-24.097883</v>
      </c>
      <c r="N9" t="n">
        <v>-58.0971</v>
      </c>
      <c r="O9" t="n">
        <v>-58.0971</v>
      </c>
      <c r="P9" t="n">
        <v>-253.436</v>
      </c>
      <c r="Q9" t="n">
        <v>190</v>
      </c>
      <c r="R9" t="n">
        <v>1</v>
      </c>
      <c r="S9" t="n">
        <v>0</v>
      </c>
      <c r="T9" t="n">
        <v>81.272087</v>
      </c>
      <c r="U9" t="n">
        <v>57.122807</v>
      </c>
      <c r="V9" t="n">
        <v>3625.444092</v>
      </c>
      <c r="W9" t="n">
        <v>2.544171</v>
      </c>
      <c r="X9" t="n">
        <v>24.000198</v>
      </c>
      <c r="Y9" t="n">
        <v>4.4</v>
      </c>
      <c r="Z9" t="n">
        <v>0.71</v>
      </c>
      <c r="AA9" t="n">
        <v>1.01</v>
      </c>
      <c r="AB9" t="n">
        <v>0.5600000000000001</v>
      </c>
      <c r="AC9" t="n">
        <v>2.82</v>
      </c>
      <c r="AD9" t="n">
        <v>7.51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9155.73</v>
      </c>
      <c r="F10" t="n">
        <v>16746.6</v>
      </c>
      <c r="G10" t="n">
        <v>13157</v>
      </c>
      <c r="H10" t="n">
        <v>24481</v>
      </c>
      <c r="I10" t="n">
        <v>2.023157</v>
      </c>
      <c r="J10" t="n">
        <v>5.46413</v>
      </c>
      <c r="K10" t="n">
        <v>5.46413</v>
      </c>
      <c r="L10" t="n">
        <v>20.2057</v>
      </c>
      <c r="M10" t="n">
        <v>-50.999649</v>
      </c>
      <c r="N10" t="n">
        <v>-132.706</v>
      </c>
      <c r="O10" t="n">
        <v>-132.706</v>
      </c>
      <c r="P10" t="n">
        <v>-538.939</v>
      </c>
      <c r="Q10" t="n">
        <v>213</v>
      </c>
      <c r="R10" t="n">
        <v>7.032864</v>
      </c>
      <c r="S10" t="n">
        <v>0</v>
      </c>
      <c r="T10" t="n">
        <v>72.891563</v>
      </c>
      <c r="U10" t="n">
        <v>60.460022</v>
      </c>
      <c r="V10" t="n">
        <v>5324.331543</v>
      </c>
      <c r="W10" t="n">
        <v>2.915844</v>
      </c>
      <c r="X10" t="n">
        <v>23.0002</v>
      </c>
      <c r="Y10" t="n">
        <v>13.06</v>
      </c>
      <c r="Z10" t="n">
        <v>0.89</v>
      </c>
      <c r="AA10" t="n">
        <v>9.42</v>
      </c>
      <c r="AB10" t="n">
        <v>0.54</v>
      </c>
      <c r="AC10" t="n">
        <v>3.45</v>
      </c>
      <c r="AD10" t="n">
        <v>16.82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4539.82</v>
      </c>
      <c r="F11" t="n">
        <v>6370.96</v>
      </c>
      <c r="G11" t="n">
        <v>5511</v>
      </c>
      <c r="H11" t="n">
        <v>9192</v>
      </c>
      <c r="I11" t="n">
        <v>4.118025</v>
      </c>
      <c r="J11" t="n">
        <v>9.38922</v>
      </c>
      <c r="K11" t="n">
        <v>9.38922</v>
      </c>
      <c r="L11" t="n">
        <v>23.3618</v>
      </c>
      <c r="M11" t="n">
        <v>-763.17804</v>
      </c>
      <c r="N11" t="n">
        <v>-1324</v>
      </c>
      <c r="O11" t="n">
        <v>-1324</v>
      </c>
      <c r="P11" t="n">
        <v>-3711.98</v>
      </c>
      <c r="Q11" t="n">
        <v>134</v>
      </c>
      <c r="R11" t="n">
        <v>1</v>
      </c>
      <c r="S11" t="n">
        <v>0</v>
      </c>
      <c r="T11" t="n">
        <v>43.067848</v>
      </c>
      <c r="U11" t="n">
        <v>39.190033</v>
      </c>
      <c r="V11" t="n">
        <v>1376.995483</v>
      </c>
      <c r="W11" t="n">
        <v>0.857941</v>
      </c>
      <c r="X11" t="n">
        <v>11.012052</v>
      </c>
      <c r="Y11" t="n">
        <v>3.84</v>
      </c>
      <c r="Z11" t="n">
        <v>0.65</v>
      </c>
      <c r="AA11" t="n">
        <v>0.88</v>
      </c>
      <c r="AB11" t="n">
        <v>0.19</v>
      </c>
      <c r="AC11" t="n">
        <v>0.45</v>
      </c>
      <c r="AD11" t="n">
        <v>4.54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16681.8</v>
      </c>
      <c r="G2" t="n">
        <v>10098</v>
      </c>
      <c r="H2" t="n">
        <v>19068</v>
      </c>
      <c r="I2" t="n">
        <v>-1</v>
      </c>
      <c r="J2" t="n">
        <v>5.46413</v>
      </c>
      <c r="K2" t="n">
        <v>5.46413</v>
      </c>
      <c r="L2" t="n">
        <v>19.2374</v>
      </c>
      <c r="M2" t="n">
        <v>-1</v>
      </c>
      <c r="N2" t="n">
        <v>-33.9767</v>
      </c>
      <c r="O2" t="n">
        <v>-33.9767</v>
      </c>
      <c r="P2" t="n">
        <v>-133.11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2.8</v>
      </c>
      <c r="AD2" t="n">
        <v>12.32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16997.6</v>
      </c>
      <c r="G3" t="n">
        <v>11101</v>
      </c>
      <c r="H3" t="n">
        <v>21603</v>
      </c>
      <c r="I3" t="n">
        <v>-1</v>
      </c>
      <c r="J3" t="n">
        <v>4.78112</v>
      </c>
      <c r="K3" t="n">
        <v>4.78112</v>
      </c>
      <c r="L3" t="n">
        <v>21.9225</v>
      </c>
      <c r="M3" t="n">
        <v>-1</v>
      </c>
      <c r="N3" t="n">
        <v>-73.9806</v>
      </c>
      <c r="O3" t="n">
        <v>-73.9806</v>
      </c>
      <c r="P3" t="n">
        <v>-345.694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2.64</v>
      </c>
      <c r="AD3" t="n">
        <v>5.14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20926.7</v>
      </c>
      <c r="G4" t="n">
        <v>10154</v>
      </c>
      <c r="H4" t="n">
        <v>16391</v>
      </c>
      <c r="I4" t="n">
        <v>-1</v>
      </c>
      <c r="J4" t="n">
        <v>2.38491</v>
      </c>
      <c r="K4" t="n">
        <v>2.38491</v>
      </c>
      <c r="L4" t="n">
        <v>10.4184</v>
      </c>
      <c r="M4" t="n">
        <v>-1</v>
      </c>
      <c r="N4" t="n">
        <v>-715.747</v>
      </c>
      <c r="O4" t="n">
        <v>-715.747</v>
      </c>
      <c r="P4" t="n">
        <v>-2436.94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1.24</v>
      </c>
      <c r="AD4" t="n">
        <v>17.98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23254.5</v>
      </c>
      <c r="G5" t="n">
        <v>10817</v>
      </c>
      <c r="H5" t="n">
        <v>18992</v>
      </c>
      <c r="I5" t="n">
        <v>-1</v>
      </c>
      <c r="J5" t="n">
        <v>4.78112</v>
      </c>
      <c r="K5" t="n">
        <v>4.78112</v>
      </c>
      <c r="L5" t="n">
        <v>15.3473</v>
      </c>
      <c r="M5" t="n">
        <v>-1</v>
      </c>
      <c r="N5" t="n">
        <v>-704.048</v>
      </c>
      <c r="O5" t="n">
        <v>-704.048</v>
      </c>
      <c r="P5" t="n">
        <v>-2616.03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1.93</v>
      </c>
      <c r="AD5" t="n">
        <v>13.76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18867.2</v>
      </c>
      <c r="G6" t="n">
        <v>9194</v>
      </c>
      <c r="H6" t="n">
        <v>15912</v>
      </c>
      <c r="I6" t="n">
        <v>-1</v>
      </c>
      <c r="J6" t="n">
        <v>10.0722</v>
      </c>
      <c r="K6" t="n">
        <v>10.0722</v>
      </c>
      <c r="L6" t="n">
        <v>22.1529</v>
      </c>
      <c r="M6" t="n">
        <v>-1</v>
      </c>
      <c r="N6" t="n">
        <v>-1307.77</v>
      </c>
      <c r="O6" t="n">
        <v>-1307.77</v>
      </c>
      <c r="P6" t="n">
        <v>-4236.24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1.15</v>
      </c>
      <c r="AD6" t="n">
        <v>5.32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18136.4</v>
      </c>
      <c r="G7" t="n">
        <v>8288</v>
      </c>
      <c r="H7" t="n">
        <v>13772</v>
      </c>
      <c r="I7" t="n">
        <v>-1</v>
      </c>
      <c r="J7" t="n">
        <v>2.55905</v>
      </c>
      <c r="K7" t="n">
        <v>2.55905</v>
      </c>
      <c r="L7" t="n">
        <v>12.1377</v>
      </c>
      <c r="M7" t="n">
        <v>-1</v>
      </c>
      <c r="N7" t="n">
        <v>-637.808</v>
      </c>
      <c r="O7" t="n">
        <v>-637.808</v>
      </c>
      <c r="P7" t="n">
        <v>-2491.4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0.86</v>
      </c>
      <c r="AD7" t="n">
        <v>9.4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15638.6</v>
      </c>
      <c r="G8" t="n">
        <v>9634</v>
      </c>
      <c r="H8" t="n">
        <v>17334</v>
      </c>
      <c r="I8" t="n">
        <v>-1</v>
      </c>
      <c r="J8" t="n">
        <v>4.95526</v>
      </c>
      <c r="K8" t="n">
        <v>4.95526</v>
      </c>
      <c r="L8" t="n">
        <v>19.7854</v>
      </c>
      <c r="M8" t="n">
        <v>-1</v>
      </c>
      <c r="N8" t="n">
        <v>-203.903</v>
      </c>
      <c r="O8" t="n">
        <v>-203.903</v>
      </c>
      <c r="P8" t="n">
        <v>-827.558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1.89</v>
      </c>
      <c r="AD8" t="n">
        <v>4.19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17282.1</v>
      </c>
      <c r="G9" t="n">
        <v>11336</v>
      </c>
      <c r="H9" t="n">
        <v>22409</v>
      </c>
      <c r="I9" t="n">
        <v>-1</v>
      </c>
      <c r="J9" t="n">
        <v>4.95526</v>
      </c>
      <c r="K9" t="n">
        <v>4.95526</v>
      </c>
      <c r="L9" t="n">
        <v>19.0343</v>
      </c>
      <c r="M9" t="n">
        <v>-1</v>
      </c>
      <c r="N9" t="n">
        <v>-58.4454</v>
      </c>
      <c r="O9" t="n">
        <v>-58.4454</v>
      </c>
      <c r="P9" t="n">
        <v>-239.404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2.91</v>
      </c>
      <c r="AD9" t="n">
        <v>5.52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21525.5</v>
      </c>
      <c r="G10" t="n">
        <v>14073</v>
      </c>
      <c r="H10" t="n">
        <v>26307</v>
      </c>
      <c r="I10" t="n">
        <v>-1</v>
      </c>
      <c r="J10" t="n">
        <v>4.78112</v>
      </c>
      <c r="K10" t="n">
        <v>4.78112</v>
      </c>
      <c r="L10" t="n">
        <v>21.5499</v>
      </c>
      <c r="M10" t="n">
        <v>-1</v>
      </c>
      <c r="N10" t="n">
        <v>-128.783</v>
      </c>
      <c r="O10" t="n">
        <v>-128.783</v>
      </c>
      <c r="P10" t="n">
        <v>-585.3869999999999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3.87</v>
      </c>
      <c r="AD10" t="n">
        <v>13.5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12144.9</v>
      </c>
      <c r="G11" t="n">
        <v>5628</v>
      </c>
      <c r="H11" t="n">
        <v>9616</v>
      </c>
      <c r="I11" t="n">
        <v>-1</v>
      </c>
      <c r="J11" t="n">
        <v>9.38922</v>
      </c>
      <c r="K11" t="n">
        <v>9.38922</v>
      </c>
      <c r="L11" t="n">
        <v>21.6668</v>
      </c>
      <c r="M11" t="n">
        <v>-1</v>
      </c>
      <c r="N11" t="n">
        <v>-1334.65</v>
      </c>
      <c r="O11" t="n">
        <v>-1334.65</v>
      </c>
      <c r="P11" t="n">
        <v>-3827.67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0.48</v>
      </c>
      <c r="AD11" t="n">
        <v>3.26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2026-03-26T16:02:51Z</dcterms:created>
  <dcterms:modified xmlns:dcterms="http://purl.org/dc/terms/" xmlns:xsi="http://www.w3.org/2001/XMLSchema-instance" xsi:type="dcterms:W3CDTF">2026-03-26T16:02:52Z</dcterms:modified>
</cp:coreProperties>
</file>