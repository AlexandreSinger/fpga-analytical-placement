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vtr_largest_ap" sheetId="3" state="visible" r:id="rId3"/>
    <sheet xmlns:r="http://schemas.openxmlformats.org/officeDocument/2006/relationships" name="vtr_largest_no_ap" sheetId="4" state="visible" r:id="rId4"/>
    <sheet xmlns:r="http://schemas.openxmlformats.org/officeDocument/2006/relationships" name="artix_7_ap" sheetId="5" state="visible" r:id="rId5"/>
    <sheet xmlns:r="http://schemas.openxmlformats.org/officeDocument/2006/relationships" name="artix_7_no_ap" sheetId="6" state="visible" r:id="rId6"/>
    <sheet xmlns:r="http://schemas.openxmlformats.org/officeDocument/2006/relationships" name="titan_ap" sheetId="7" state="visible" r:id="rId7"/>
    <sheet xmlns:r="http://schemas.openxmlformats.org/officeDocument/2006/relationships" name="titan_no_ap" sheetId="8" state="visible" r:id="rId8"/>
    <sheet xmlns:r="http://schemas.openxmlformats.org/officeDocument/2006/relationships" name="koios_ap" sheetId="9" state="visible" r:id="rId9"/>
    <sheet xmlns:r="http://schemas.openxmlformats.org/officeDocument/2006/relationships" name="koios_no_ap" sheetId="10" state="visible" r:id="rId10"/>
    <sheet xmlns:r="http://schemas.openxmlformats.org/officeDocument/2006/relationships" name="titanium_s10_ap" sheetId="11" state="visible" r:id="rId11"/>
    <sheet xmlns:r="http://schemas.openxmlformats.org/officeDocument/2006/relationships" name="titanium_s10_no_ap" sheetId="12" state="visible" r:id="rId12"/>
    <sheet xmlns:r="http://schemas.openxmlformats.org/officeDocument/2006/relationships" name="z1000_ap" sheetId="13" state="visible" r:id="rId13"/>
    <sheet xmlns:r="http://schemas.openxmlformats.org/officeDocument/2006/relationships" name="z1000_no_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vtr_largest</t>
        </is>
      </c>
      <c r="B2">
        <f>'ratios'!F10</f>
        <v/>
      </c>
      <c r="C2">
        <f>'ratios'!I10</f>
        <v/>
      </c>
      <c r="D2">
        <f>'ratios'!K10</f>
        <v/>
      </c>
      <c r="E2">
        <f>'ratios'!D11</f>
        <v/>
      </c>
    </row>
    <row r="3">
      <c r="A3" t="inlineStr">
        <is>
          <t>artix_7</t>
        </is>
      </c>
      <c r="B3">
        <f>'ratios'!F21</f>
        <v/>
      </c>
      <c r="C3">
        <f>'ratios'!I21</f>
        <v/>
      </c>
      <c r="D3">
        <f>'ratios'!K21</f>
        <v/>
      </c>
      <c r="E3">
        <f>'ratios'!D22</f>
        <v/>
      </c>
    </row>
    <row r="4">
      <c r="A4" t="inlineStr">
        <is>
          <t>titan</t>
        </is>
      </c>
      <c r="B4">
        <f>'ratios'!F47</f>
        <v/>
      </c>
      <c r="C4">
        <f>'ratios'!I47</f>
        <v/>
      </c>
      <c r="D4">
        <f>'ratios'!K47</f>
        <v/>
      </c>
      <c r="E4">
        <f>'ratios'!D48</f>
        <v/>
      </c>
    </row>
    <row r="5">
      <c r="A5" t="inlineStr">
        <is>
          <t>koios</t>
        </is>
      </c>
      <c r="B5">
        <f>'ratios'!F79</f>
        <v/>
      </c>
      <c r="C5">
        <f>'ratios'!I79</f>
        <v/>
      </c>
      <c r="D5">
        <f>'ratios'!K79</f>
        <v/>
      </c>
      <c r="E5">
        <f>'ratios'!D80</f>
        <v/>
      </c>
    </row>
    <row r="6">
      <c r="A6" t="inlineStr">
        <is>
          <t>titanium_s10</t>
        </is>
      </c>
      <c r="B6">
        <f>'ratios'!F106</f>
        <v/>
      </c>
      <c r="C6">
        <f>'ratios'!I106</f>
        <v/>
      </c>
      <c r="D6">
        <f>'ratios'!K106</f>
        <v/>
      </c>
      <c r="E6">
        <f>'ratios'!D107</f>
        <v/>
      </c>
    </row>
    <row r="7">
      <c r="A7" t="inlineStr">
        <is>
          <t>z1000</t>
        </is>
      </c>
      <c r="B7">
        <f>'ratios'!F119</f>
        <v/>
      </c>
      <c r="C7">
        <f>'ratios'!I119</f>
        <v/>
      </c>
      <c r="D7">
        <f>'ratios'!K119</f>
        <v/>
      </c>
      <c r="E7">
        <f>'ratios'!D120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vtr_largest</t>
        </is>
      </c>
      <c r="B2" t="inlineStr">
        <is>
          <t>k6_frac_N10_frac_chain_mem32K_40nm.xml</t>
        </is>
      </c>
      <c r="C2" t="inlineStr">
        <is>
          <t>arm_core.blif</t>
        </is>
      </c>
      <c r="D2">
        <f>IF(OR('vtr_largest_ap'!H2=-1, 'vtr_largest_no_ap'!H2=-1), "", 'vtr_largest_ap'!F2/'vtr_largest_no_ap'!F2)</f>
        <v/>
      </c>
      <c r="E2">
        <f>IF(OR('vtr_largest_ap'!H2=-1, 'vtr_largest_no_ap'!H2=-1), "", 'vtr_largest_ap'!G2/'vtr_largest_no_ap'!G2)</f>
        <v/>
      </c>
      <c r="F2">
        <f>IF(OR('vtr_largest_ap'!H2=-1, 'vtr_largest_no_ap'!H2=-1), "", 'vtr_largest_ap'!H2/'vtr_largest_no_ap'!H2)</f>
        <v/>
      </c>
      <c r="G2">
        <f>IF(OR('vtr_largest_ap'!H2=-1, 'vtr_largest_no_ap'!H2=-1), "", 'vtr_largest_ap'!J2/'vtr_largest_no_ap'!J2)</f>
        <v/>
      </c>
      <c r="H2">
        <f>IF(OR('vtr_largest_ap'!H2=-1, 'vtr_largest_no_ap'!H2=-1), "", 'vtr_largest_ap'!K2/'vtr_largest_no_ap'!K2)</f>
        <v/>
      </c>
      <c r="I2">
        <f>IF(OR('vtr_largest_ap'!H2=-1, 'vtr_largest_no_ap'!H2=-1), "", 'vtr_largest_ap'!L2/'vtr_largest_no_ap'!L2)</f>
        <v/>
      </c>
      <c r="J2">
        <f>IF(OR('vtr_largest_ap'!H2=-1, 'vtr_largest_no_ap'!H2=-1), "", 'vtr_largest_ap'!AC2/'vtr_largest_no_ap'!AC2)</f>
        <v/>
      </c>
      <c r="K2">
        <f>IF(OR('vtr_largest_ap'!H2=-1, 'vtr_largest_no_ap'!H2=-1), "", 'vtr_largest_ap'!AD2/'vtr_largest_no_ap'!AD2)</f>
        <v/>
      </c>
    </row>
    <row r="3">
      <c r="A3" t="inlineStr">
        <is>
          <t>vtr_largest</t>
        </is>
      </c>
      <c r="B3" t="inlineStr">
        <is>
          <t>k6_frac_N10_frac_chain_mem32K_40nm.xml</t>
        </is>
      </c>
      <c r="C3" t="inlineStr">
        <is>
          <t>bgm.blif</t>
        </is>
      </c>
      <c r="D3">
        <f>IF(OR('vtr_largest_ap'!H3=-1, 'vtr_largest_no_ap'!H3=-1), "", 'vtr_largest_ap'!F3/'vtr_largest_no_ap'!F3)</f>
        <v/>
      </c>
      <c r="E3">
        <f>IF(OR('vtr_largest_ap'!H3=-1, 'vtr_largest_no_ap'!H3=-1), "", 'vtr_largest_ap'!G3/'vtr_largest_no_ap'!G3)</f>
        <v/>
      </c>
      <c r="F3">
        <f>IF(OR('vtr_largest_ap'!H3=-1, 'vtr_largest_no_ap'!H3=-1), "", 'vtr_largest_ap'!H3/'vtr_largest_no_ap'!H3)</f>
        <v/>
      </c>
      <c r="G3">
        <f>IF(OR('vtr_largest_ap'!H3=-1, 'vtr_largest_no_ap'!H3=-1), "", 'vtr_largest_ap'!J3/'vtr_largest_no_ap'!J3)</f>
        <v/>
      </c>
      <c r="H3">
        <f>IF(OR('vtr_largest_ap'!H3=-1, 'vtr_largest_no_ap'!H3=-1), "", 'vtr_largest_ap'!K3/'vtr_largest_no_ap'!K3)</f>
        <v/>
      </c>
      <c r="I3">
        <f>IF(OR('vtr_largest_ap'!H3=-1, 'vtr_largest_no_ap'!H3=-1), "", 'vtr_largest_ap'!L3/'vtr_largest_no_ap'!L3)</f>
        <v/>
      </c>
      <c r="J3">
        <f>IF(OR('vtr_largest_ap'!H3=-1, 'vtr_largest_no_ap'!H3=-1), "", 'vtr_largest_ap'!AC3/'vtr_largest_no_ap'!AC3)</f>
        <v/>
      </c>
      <c r="K3">
        <f>IF(OR('vtr_largest_ap'!H3=-1, 'vtr_largest_no_ap'!H3=-1), "", 'vtr_largest_ap'!AD3/'vtr_largest_no_ap'!AD3)</f>
        <v/>
      </c>
    </row>
    <row r="4">
      <c r="A4" t="inlineStr">
        <is>
          <t>vtr_largest</t>
        </is>
      </c>
      <c r="B4" t="inlineStr">
        <is>
          <t>k6_frac_N10_frac_chain_mem32K_40nm.xml</t>
        </is>
      </c>
      <c r="C4" t="inlineStr">
        <is>
          <t>stereovision0.blif</t>
        </is>
      </c>
      <c r="D4">
        <f>IF(OR('vtr_largest_ap'!H4=-1, 'vtr_largest_no_ap'!H4=-1), "", 'vtr_largest_ap'!F4/'vtr_largest_no_ap'!F4)</f>
        <v/>
      </c>
      <c r="E4">
        <f>IF(OR('vtr_largest_ap'!H4=-1, 'vtr_largest_no_ap'!H4=-1), "", 'vtr_largest_ap'!G4/'vtr_largest_no_ap'!G4)</f>
        <v/>
      </c>
      <c r="F4">
        <f>IF(OR('vtr_largest_ap'!H4=-1, 'vtr_largest_no_ap'!H4=-1), "", 'vtr_largest_ap'!H4/'vtr_largest_no_ap'!H4)</f>
        <v/>
      </c>
      <c r="G4">
        <f>IF(OR('vtr_largest_ap'!H4=-1, 'vtr_largest_no_ap'!H4=-1), "", 'vtr_largest_ap'!J4/'vtr_largest_no_ap'!J4)</f>
        <v/>
      </c>
      <c r="H4">
        <f>IF(OR('vtr_largest_ap'!H4=-1, 'vtr_largest_no_ap'!H4=-1), "", 'vtr_largest_ap'!K4/'vtr_largest_no_ap'!K4)</f>
        <v/>
      </c>
      <c r="I4">
        <f>IF(OR('vtr_largest_ap'!H4=-1, 'vtr_largest_no_ap'!H4=-1), "", 'vtr_largest_ap'!L4/'vtr_largest_no_ap'!L4)</f>
        <v/>
      </c>
      <c r="J4">
        <f>IF(OR('vtr_largest_ap'!H4=-1, 'vtr_largest_no_ap'!H4=-1), "", 'vtr_largest_ap'!AC4/'vtr_largest_no_ap'!AC4)</f>
        <v/>
      </c>
      <c r="K4">
        <f>IF(OR('vtr_largest_ap'!H4=-1, 'vtr_largest_no_ap'!H4=-1), "", 'vtr_largest_ap'!AD4/'vtr_largest_no_ap'!AD4)</f>
        <v/>
      </c>
    </row>
    <row r="5">
      <c r="A5" t="inlineStr">
        <is>
          <t>vtr_largest</t>
        </is>
      </c>
      <c r="B5" t="inlineStr">
        <is>
          <t>k6_frac_N10_frac_chain_mem32K_40nm.xml</t>
        </is>
      </c>
      <c r="C5" t="inlineStr">
        <is>
          <t>stereovision1.blif</t>
        </is>
      </c>
      <c r="D5">
        <f>IF(OR('vtr_largest_ap'!H5=-1, 'vtr_largest_no_ap'!H5=-1), "", 'vtr_largest_ap'!F5/'vtr_largest_no_ap'!F5)</f>
        <v/>
      </c>
      <c r="E5">
        <f>IF(OR('vtr_largest_ap'!H5=-1, 'vtr_largest_no_ap'!H5=-1), "", 'vtr_largest_ap'!G5/'vtr_largest_no_ap'!G5)</f>
        <v/>
      </c>
      <c r="F5">
        <f>IF(OR('vtr_largest_ap'!H5=-1, 'vtr_largest_no_ap'!H5=-1), "", 'vtr_largest_ap'!H5/'vtr_largest_no_ap'!H5)</f>
        <v/>
      </c>
      <c r="G5">
        <f>IF(OR('vtr_largest_ap'!H5=-1, 'vtr_largest_no_ap'!H5=-1), "", 'vtr_largest_ap'!J5/'vtr_largest_no_ap'!J5)</f>
        <v/>
      </c>
      <c r="H5">
        <f>IF(OR('vtr_largest_ap'!H5=-1, 'vtr_largest_no_ap'!H5=-1), "", 'vtr_largest_ap'!K5/'vtr_largest_no_ap'!K5)</f>
        <v/>
      </c>
      <c r="I5">
        <f>IF(OR('vtr_largest_ap'!H5=-1, 'vtr_largest_no_ap'!H5=-1), "", 'vtr_largest_ap'!L5/'vtr_largest_no_ap'!L5)</f>
        <v/>
      </c>
      <c r="J5">
        <f>IF(OR('vtr_largest_ap'!H5=-1, 'vtr_largest_no_ap'!H5=-1), "", 'vtr_largest_ap'!AC5/'vtr_largest_no_ap'!AC5)</f>
        <v/>
      </c>
      <c r="K5">
        <f>IF(OR('vtr_largest_ap'!H5=-1, 'vtr_largest_no_ap'!H5=-1), "", 'vtr_largest_ap'!AD5/'vtr_largest_no_ap'!AD5)</f>
        <v/>
      </c>
    </row>
    <row r="6">
      <c r="A6" t="inlineStr">
        <is>
          <t>vtr_largest</t>
        </is>
      </c>
      <c r="B6" t="inlineStr">
        <is>
          <t>k6_frac_N10_frac_chain_mem32K_40nm.xml</t>
        </is>
      </c>
      <c r="C6" t="inlineStr">
        <is>
          <t>stereovision2.blif</t>
        </is>
      </c>
      <c r="D6">
        <f>IF(OR('vtr_largest_ap'!H6=-1, 'vtr_largest_no_ap'!H6=-1), "", 'vtr_largest_ap'!F6/'vtr_largest_no_ap'!F6)</f>
        <v/>
      </c>
      <c r="E6">
        <f>IF(OR('vtr_largest_ap'!H6=-1, 'vtr_largest_no_ap'!H6=-1), "", 'vtr_largest_ap'!G6/'vtr_largest_no_ap'!G6)</f>
        <v/>
      </c>
      <c r="F6">
        <f>IF(OR('vtr_largest_ap'!H6=-1, 'vtr_largest_no_ap'!H6=-1), "", 'vtr_largest_ap'!H6/'vtr_largest_no_ap'!H6)</f>
        <v/>
      </c>
      <c r="G6">
        <f>IF(OR('vtr_largest_ap'!H6=-1, 'vtr_largest_no_ap'!H6=-1), "", 'vtr_largest_ap'!J6/'vtr_largest_no_ap'!J6)</f>
        <v/>
      </c>
      <c r="H6">
        <f>IF(OR('vtr_largest_ap'!H6=-1, 'vtr_largest_no_ap'!H6=-1), "", 'vtr_largest_ap'!K6/'vtr_largest_no_ap'!K6)</f>
        <v/>
      </c>
      <c r="I6">
        <f>IF(OR('vtr_largest_ap'!H6=-1, 'vtr_largest_no_ap'!H6=-1), "", 'vtr_largest_ap'!L6/'vtr_largest_no_ap'!L6)</f>
        <v/>
      </c>
      <c r="J6">
        <f>IF(OR('vtr_largest_ap'!H6=-1, 'vtr_largest_no_ap'!H6=-1), "", 'vtr_largest_ap'!AC6/'vtr_largest_no_ap'!AC6)</f>
        <v/>
      </c>
      <c r="K6">
        <f>IF(OR('vtr_largest_ap'!H6=-1, 'vtr_largest_no_ap'!H6=-1), "", 'vtr_largest_ap'!AD6/'vtr_largest_no_ap'!AD6)</f>
        <v/>
      </c>
    </row>
    <row r="7">
      <c r="A7" t="inlineStr">
        <is>
          <t>vtr_largest</t>
        </is>
      </c>
      <c r="B7" t="inlineStr">
        <is>
          <t>k6_frac_N10_frac_chain_mem32K_40nm.xml</t>
        </is>
      </c>
      <c r="C7" t="inlineStr">
        <is>
          <t>LU8PEEng.blif</t>
        </is>
      </c>
      <c r="D7">
        <f>IF(OR('vtr_largest_ap'!H7=-1, 'vtr_largest_no_ap'!H7=-1), "", 'vtr_largest_ap'!F7/'vtr_largest_no_ap'!F7)</f>
        <v/>
      </c>
      <c r="E7">
        <f>IF(OR('vtr_largest_ap'!H7=-1, 'vtr_largest_no_ap'!H7=-1), "", 'vtr_largest_ap'!G7/'vtr_largest_no_ap'!G7)</f>
        <v/>
      </c>
      <c r="F7">
        <f>IF(OR('vtr_largest_ap'!H7=-1, 'vtr_largest_no_ap'!H7=-1), "", 'vtr_largest_ap'!H7/'vtr_largest_no_ap'!H7)</f>
        <v/>
      </c>
      <c r="G7">
        <f>IF(OR('vtr_largest_ap'!H7=-1, 'vtr_largest_no_ap'!H7=-1), "", 'vtr_largest_ap'!J7/'vtr_largest_no_ap'!J7)</f>
        <v/>
      </c>
      <c r="H7">
        <f>IF(OR('vtr_largest_ap'!H7=-1, 'vtr_largest_no_ap'!H7=-1), "", 'vtr_largest_ap'!K7/'vtr_largest_no_ap'!K7)</f>
        <v/>
      </c>
      <c r="I7">
        <f>IF(OR('vtr_largest_ap'!H7=-1, 'vtr_largest_no_ap'!H7=-1), "", 'vtr_largest_ap'!L7/'vtr_largest_no_ap'!L7)</f>
        <v/>
      </c>
      <c r="J7">
        <f>IF(OR('vtr_largest_ap'!H7=-1, 'vtr_largest_no_ap'!H7=-1), "", 'vtr_largest_ap'!AC7/'vtr_largest_no_ap'!AC7)</f>
        <v/>
      </c>
      <c r="K7">
        <f>IF(OR('vtr_largest_ap'!H7=-1, 'vtr_largest_no_ap'!H7=-1), "", 'vtr_largest_ap'!AD7/'vtr_largest_no_ap'!AD7)</f>
        <v/>
      </c>
    </row>
    <row r="8">
      <c r="A8" t="inlineStr">
        <is>
          <t>vtr_largest</t>
        </is>
      </c>
      <c r="B8" t="inlineStr">
        <is>
          <t>k6_frac_N10_frac_chain_mem32K_40nm.xml</t>
        </is>
      </c>
      <c r="C8" t="inlineStr">
        <is>
          <t>LU32PEEng.blif</t>
        </is>
      </c>
      <c r="D8">
        <f>IF(OR('vtr_largest_ap'!H8=-1, 'vtr_largest_no_ap'!H8=-1), "", 'vtr_largest_ap'!F8/'vtr_largest_no_ap'!F8)</f>
        <v/>
      </c>
      <c r="E8">
        <f>IF(OR('vtr_largest_ap'!H8=-1, 'vtr_largest_no_ap'!H8=-1), "", 'vtr_largest_ap'!G8/'vtr_largest_no_ap'!G8)</f>
        <v/>
      </c>
      <c r="F8">
        <f>IF(OR('vtr_largest_ap'!H8=-1, 'vtr_largest_no_ap'!H8=-1), "", 'vtr_largest_ap'!H8/'vtr_largest_no_ap'!H8)</f>
        <v/>
      </c>
      <c r="G8">
        <f>IF(OR('vtr_largest_ap'!H8=-1, 'vtr_largest_no_ap'!H8=-1), "", 'vtr_largest_ap'!J8/'vtr_largest_no_ap'!J8)</f>
        <v/>
      </c>
      <c r="H8">
        <f>IF(OR('vtr_largest_ap'!H8=-1, 'vtr_largest_no_ap'!H8=-1), "", 'vtr_largest_ap'!K8/'vtr_largest_no_ap'!K8)</f>
        <v/>
      </c>
      <c r="I8">
        <f>IF(OR('vtr_largest_ap'!H8=-1, 'vtr_largest_no_ap'!H8=-1), "", 'vtr_largest_ap'!L8/'vtr_largest_no_ap'!L8)</f>
        <v/>
      </c>
      <c r="J8">
        <f>IF(OR('vtr_largest_ap'!H8=-1, 'vtr_largest_no_ap'!H8=-1), "", 'vtr_largest_ap'!AC8/'vtr_largest_no_ap'!AC8)</f>
        <v/>
      </c>
      <c r="K8">
        <f>IF(OR('vtr_largest_ap'!H8=-1, 'vtr_largest_no_ap'!H8=-1), "", 'vtr_largest_ap'!AD8/'vtr_largest_no_ap'!AD8)</f>
        <v/>
      </c>
    </row>
    <row r="9">
      <c r="A9" t="inlineStr">
        <is>
          <t>vtr_largest</t>
        </is>
      </c>
      <c r="B9" t="inlineStr">
        <is>
          <t>k6_frac_N10_frac_chain_mem32K_40nm.xml</t>
        </is>
      </c>
      <c r="C9" t="inlineStr">
        <is>
          <t>mcml.blif</t>
        </is>
      </c>
      <c r="D9">
        <f>IF(OR('vtr_largest_ap'!H9=-1, 'vtr_largest_no_ap'!H9=-1), "", 'vtr_largest_ap'!F9/'vtr_largest_no_ap'!F9)</f>
        <v/>
      </c>
      <c r="E9">
        <f>IF(OR('vtr_largest_ap'!H9=-1, 'vtr_largest_no_ap'!H9=-1), "", 'vtr_largest_ap'!G9/'vtr_largest_no_ap'!G9)</f>
        <v/>
      </c>
      <c r="F9">
        <f>IF(OR('vtr_largest_ap'!H9=-1, 'vtr_largest_no_ap'!H9=-1), "", 'vtr_largest_ap'!H9/'vtr_largest_no_ap'!H9)</f>
        <v/>
      </c>
      <c r="G9">
        <f>IF(OR('vtr_largest_ap'!H9=-1, 'vtr_largest_no_ap'!H9=-1), "", 'vtr_largest_ap'!J9/'vtr_largest_no_ap'!J9)</f>
        <v/>
      </c>
      <c r="H9">
        <f>IF(OR('vtr_largest_ap'!H9=-1, 'vtr_largest_no_ap'!H9=-1), "", 'vtr_largest_ap'!K9/'vtr_largest_no_ap'!K9)</f>
        <v/>
      </c>
      <c r="I9">
        <f>IF(OR('vtr_largest_ap'!H9=-1, 'vtr_largest_no_ap'!H9=-1), "", 'vtr_largest_ap'!L9/'vtr_largest_no_ap'!L9)</f>
        <v/>
      </c>
      <c r="J9">
        <f>IF(OR('vtr_largest_ap'!H9=-1, 'vtr_largest_no_ap'!H9=-1), "", 'vtr_largest_ap'!AC9/'vtr_largest_no_ap'!AC9)</f>
        <v/>
      </c>
      <c r="K9">
        <f>IF(OR('vtr_largest_ap'!H9=-1, 'vtr_largest_no_ap'!H9=-1), "", 'vtr_largest_ap'!AD9/'vtr_largest_no_ap'!AD9)</f>
        <v/>
      </c>
    </row>
    <row r="10">
      <c r="A10" t="inlineStr">
        <is>
          <t>vtr_largest</t>
        </is>
      </c>
      <c r="B10" t="inlineStr"/>
      <c r="C10" t="inlineStr">
        <is>
          <t>GEOMEAN</t>
        </is>
      </c>
      <c r="D10">
        <f>GEOMEAN(D2:D9)</f>
        <v/>
      </c>
      <c r="E10">
        <f>GEOMEAN(E2:E9)</f>
        <v/>
      </c>
      <c r="F10">
        <f>GEOMEAN(F2:F9)</f>
        <v/>
      </c>
      <c r="G10">
        <f>GEOMEAN(G2:G9)</f>
        <v/>
      </c>
      <c r="H10">
        <f>GEOMEAN(H2:H9)</f>
        <v/>
      </c>
      <c r="I10">
        <f>GEOMEAN(I2:I9)</f>
        <v/>
      </c>
      <c r="J10">
        <f>GEOMEAN(J2:J9)</f>
        <v/>
      </c>
      <c r="K10">
        <f>GEOMEAN(K2:K9)</f>
        <v/>
      </c>
    </row>
    <row r="11">
      <c r="A11" t="inlineStr">
        <is>
          <t>vtr_largest</t>
        </is>
      </c>
      <c r="B11" t="inlineStr"/>
      <c r="C11" t="inlineStr">
        <is>
          <t>UNROUTES</t>
        </is>
      </c>
      <c r="D11">
        <f>8 - COUNT(F2:F9)</f>
        <v/>
      </c>
    </row>
    <row r="12">
      <c r="A12" t="inlineStr"/>
    </row>
    <row r="13">
      <c r="A13" t="inlineStr">
        <is>
          <t>artix_7</t>
        </is>
      </c>
      <c r="B13" t="inlineStr">
        <is>
          <t>7series_BRAM_DSP_carry.xml</t>
        </is>
      </c>
      <c r="C13" t="inlineStr">
        <is>
          <t>arm_core.blif</t>
        </is>
      </c>
      <c r="D13">
        <f>IF(OR('artix_7_ap'!H2=-1, 'artix_7_no_ap'!H2=-1), "", 'artix_7_ap'!F2/'artix_7_no_ap'!F2)</f>
        <v/>
      </c>
      <c r="E13">
        <f>IF(OR('artix_7_ap'!H2=-1, 'artix_7_no_ap'!H2=-1), "", 'artix_7_ap'!G2/'artix_7_no_ap'!G2)</f>
        <v/>
      </c>
      <c r="F13">
        <f>IF(OR('artix_7_ap'!H2=-1, 'artix_7_no_ap'!H2=-1), "", 'artix_7_ap'!H2/'artix_7_no_ap'!H2)</f>
        <v/>
      </c>
      <c r="G13">
        <f>IF(OR('artix_7_ap'!H2=-1, 'artix_7_no_ap'!H2=-1), "", 'artix_7_ap'!J2/'artix_7_no_ap'!J2)</f>
        <v/>
      </c>
      <c r="H13">
        <f>IF(OR('artix_7_ap'!H2=-1, 'artix_7_no_ap'!H2=-1), "", 'artix_7_ap'!K2/'artix_7_no_ap'!K2)</f>
        <v/>
      </c>
      <c r="I13">
        <f>IF(OR('artix_7_ap'!H2=-1, 'artix_7_no_ap'!H2=-1), "", 'artix_7_ap'!L2/'artix_7_no_ap'!L2)</f>
        <v/>
      </c>
      <c r="J13">
        <f>IF(OR('artix_7_ap'!H2=-1, 'artix_7_no_ap'!H2=-1), "", 'artix_7_ap'!AC2/'artix_7_no_ap'!AC2)</f>
        <v/>
      </c>
      <c r="K13">
        <f>IF(OR('artix_7_ap'!H2=-1, 'artix_7_no_ap'!H2=-1), "", 'artix_7_ap'!AD2/'artix_7_no_ap'!AD2)</f>
        <v/>
      </c>
    </row>
    <row r="14">
      <c r="A14" t="inlineStr">
        <is>
          <t>artix_7</t>
        </is>
      </c>
      <c r="B14" t="inlineStr">
        <is>
          <t>7series_BRAM_DSP_carry.xml</t>
        </is>
      </c>
      <c r="C14" t="inlineStr">
        <is>
          <t>bgm.blif</t>
        </is>
      </c>
      <c r="D14">
        <f>IF(OR('artix_7_ap'!H3=-1, 'artix_7_no_ap'!H3=-1), "", 'artix_7_ap'!F3/'artix_7_no_ap'!F3)</f>
        <v/>
      </c>
      <c r="E14">
        <f>IF(OR('artix_7_ap'!H3=-1, 'artix_7_no_ap'!H3=-1), "", 'artix_7_ap'!G3/'artix_7_no_ap'!G3)</f>
        <v/>
      </c>
      <c r="F14">
        <f>IF(OR('artix_7_ap'!H3=-1, 'artix_7_no_ap'!H3=-1), "", 'artix_7_ap'!H3/'artix_7_no_ap'!H3)</f>
        <v/>
      </c>
      <c r="G14">
        <f>IF(OR('artix_7_ap'!H3=-1, 'artix_7_no_ap'!H3=-1), "", 'artix_7_ap'!J3/'artix_7_no_ap'!J3)</f>
        <v/>
      </c>
      <c r="H14">
        <f>IF(OR('artix_7_ap'!H3=-1, 'artix_7_no_ap'!H3=-1), "", 'artix_7_ap'!K3/'artix_7_no_ap'!K3)</f>
        <v/>
      </c>
      <c r="I14">
        <f>IF(OR('artix_7_ap'!H3=-1, 'artix_7_no_ap'!H3=-1), "", 'artix_7_ap'!L3/'artix_7_no_ap'!L3)</f>
        <v/>
      </c>
      <c r="J14">
        <f>IF(OR('artix_7_ap'!H3=-1, 'artix_7_no_ap'!H3=-1), "", 'artix_7_ap'!AC3/'artix_7_no_ap'!AC3)</f>
        <v/>
      </c>
      <c r="K14">
        <f>IF(OR('artix_7_ap'!H3=-1, 'artix_7_no_ap'!H3=-1), "", 'artix_7_ap'!AD3/'artix_7_no_ap'!AD3)</f>
        <v/>
      </c>
    </row>
    <row r="15">
      <c r="A15" t="inlineStr">
        <is>
          <t>artix_7</t>
        </is>
      </c>
      <c r="B15" t="inlineStr">
        <is>
          <t>7series_BRAM_DSP_carry.xml</t>
        </is>
      </c>
      <c r="C15" t="inlineStr">
        <is>
          <t>stereovision0.blif</t>
        </is>
      </c>
      <c r="D15">
        <f>IF(OR('artix_7_ap'!H4=-1, 'artix_7_no_ap'!H4=-1), "", 'artix_7_ap'!F4/'artix_7_no_ap'!F4)</f>
        <v/>
      </c>
      <c r="E15">
        <f>IF(OR('artix_7_ap'!H4=-1, 'artix_7_no_ap'!H4=-1), "", 'artix_7_ap'!G4/'artix_7_no_ap'!G4)</f>
        <v/>
      </c>
      <c r="F15">
        <f>IF(OR('artix_7_ap'!H4=-1, 'artix_7_no_ap'!H4=-1), "", 'artix_7_ap'!H4/'artix_7_no_ap'!H4)</f>
        <v/>
      </c>
      <c r="G15">
        <f>IF(OR('artix_7_ap'!H4=-1, 'artix_7_no_ap'!H4=-1), "", 'artix_7_ap'!J4/'artix_7_no_ap'!J4)</f>
        <v/>
      </c>
      <c r="H15">
        <f>IF(OR('artix_7_ap'!H4=-1, 'artix_7_no_ap'!H4=-1), "", 'artix_7_ap'!K4/'artix_7_no_ap'!K4)</f>
        <v/>
      </c>
      <c r="I15">
        <f>IF(OR('artix_7_ap'!H4=-1, 'artix_7_no_ap'!H4=-1), "", 'artix_7_ap'!L4/'artix_7_no_ap'!L4)</f>
        <v/>
      </c>
      <c r="J15">
        <f>IF(OR('artix_7_ap'!H4=-1, 'artix_7_no_ap'!H4=-1), "", 'artix_7_ap'!AC4/'artix_7_no_ap'!AC4)</f>
        <v/>
      </c>
      <c r="K15">
        <f>IF(OR('artix_7_ap'!H4=-1, 'artix_7_no_ap'!H4=-1), "", 'artix_7_ap'!AD4/'artix_7_no_ap'!AD4)</f>
        <v/>
      </c>
    </row>
    <row r="16">
      <c r="A16" t="inlineStr">
        <is>
          <t>artix_7</t>
        </is>
      </c>
      <c r="B16" t="inlineStr">
        <is>
          <t>7series_BRAM_DSP_carry.xml</t>
        </is>
      </c>
      <c r="C16" t="inlineStr">
        <is>
          <t>stereovision1.blif</t>
        </is>
      </c>
      <c r="D16">
        <f>IF(OR('artix_7_ap'!H5=-1, 'artix_7_no_ap'!H5=-1), "", 'artix_7_ap'!F5/'artix_7_no_ap'!F5)</f>
        <v/>
      </c>
      <c r="E16">
        <f>IF(OR('artix_7_ap'!H5=-1, 'artix_7_no_ap'!H5=-1), "", 'artix_7_ap'!G5/'artix_7_no_ap'!G5)</f>
        <v/>
      </c>
      <c r="F16">
        <f>IF(OR('artix_7_ap'!H5=-1, 'artix_7_no_ap'!H5=-1), "", 'artix_7_ap'!H5/'artix_7_no_ap'!H5)</f>
        <v/>
      </c>
      <c r="G16">
        <f>IF(OR('artix_7_ap'!H5=-1, 'artix_7_no_ap'!H5=-1), "", 'artix_7_ap'!J5/'artix_7_no_ap'!J5)</f>
        <v/>
      </c>
      <c r="H16">
        <f>IF(OR('artix_7_ap'!H5=-1, 'artix_7_no_ap'!H5=-1), "", 'artix_7_ap'!K5/'artix_7_no_ap'!K5)</f>
        <v/>
      </c>
      <c r="I16">
        <f>IF(OR('artix_7_ap'!H5=-1, 'artix_7_no_ap'!H5=-1), "", 'artix_7_ap'!L5/'artix_7_no_ap'!L5)</f>
        <v/>
      </c>
      <c r="J16">
        <f>IF(OR('artix_7_ap'!H5=-1, 'artix_7_no_ap'!H5=-1), "", 'artix_7_ap'!AC5/'artix_7_no_ap'!AC5)</f>
        <v/>
      </c>
      <c r="K16">
        <f>IF(OR('artix_7_ap'!H5=-1, 'artix_7_no_ap'!H5=-1), "", 'artix_7_ap'!AD5/'artix_7_no_ap'!AD5)</f>
        <v/>
      </c>
    </row>
    <row r="17">
      <c r="A17" t="inlineStr">
        <is>
          <t>artix_7</t>
        </is>
      </c>
      <c r="B17" t="inlineStr">
        <is>
          <t>7series_BRAM_DSP_carry.xml</t>
        </is>
      </c>
      <c r="C17" t="inlineStr">
        <is>
          <t>stereovision2.blif</t>
        </is>
      </c>
      <c r="D17">
        <f>IF(OR('artix_7_ap'!H6=-1, 'artix_7_no_ap'!H6=-1), "", 'artix_7_ap'!F6/'artix_7_no_ap'!F6)</f>
        <v/>
      </c>
      <c r="E17">
        <f>IF(OR('artix_7_ap'!H6=-1, 'artix_7_no_ap'!H6=-1), "", 'artix_7_ap'!G6/'artix_7_no_ap'!G6)</f>
        <v/>
      </c>
      <c r="F17">
        <f>IF(OR('artix_7_ap'!H6=-1, 'artix_7_no_ap'!H6=-1), "", 'artix_7_ap'!H6/'artix_7_no_ap'!H6)</f>
        <v/>
      </c>
      <c r="G17">
        <f>IF(OR('artix_7_ap'!H6=-1, 'artix_7_no_ap'!H6=-1), "", 'artix_7_ap'!J6/'artix_7_no_ap'!J6)</f>
        <v/>
      </c>
      <c r="H17">
        <f>IF(OR('artix_7_ap'!H6=-1, 'artix_7_no_ap'!H6=-1), "", 'artix_7_ap'!K6/'artix_7_no_ap'!K6)</f>
        <v/>
      </c>
      <c r="I17">
        <f>IF(OR('artix_7_ap'!H6=-1, 'artix_7_no_ap'!H6=-1), "", 'artix_7_ap'!L6/'artix_7_no_ap'!L6)</f>
        <v/>
      </c>
      <c r="J17">
        <f>IF(OR('artix_7_ap'!H6=-1, 'artix_7_no_ap'!H6=-1), "", 'artix_7_ap'!AC6/'artix_7_no_ap'!AC6)</f>
        <v/>
      </c>
      <c r="K17">
        <f>IF(OR('artix_7_ap'!H6=-1, 'artix_7_no_ap'!H6=-1), "", 'artix_7_ap'!AD6/'artix_7_no_ap'!AD6)</f>
        <v/>
      </c>
    </row>
    <row r="18">
      <c r="A18" t="inlineStr">
        <is>
          <t>artix_7</t>
        </is>
      </c>
      <c r="B18" t="inlineStr">
        <is>
          <t>7series_BRAM_DSP_carry.xml</t>
        </is>
      </c>
      <c r="C18" t="inlineStr">
        <is>
          <t>LU8PEEng.blif</t>
        </is>
      </c>
      <c r="D18">
        <f>IF(OR('artix_7_ap'!H7=-1, 'artix_7_no_ap'!H7=-1), "", 'artix_7_ap'!F7/'artix_7_no_ap'!F7)</f>
        <v/>
      </c>
      <c r="E18">
        <f>IF(OR('artix_7_ap'!H7=-1, 'artix_7_no_ap'!H7=-1), "", 'artix_7_ap'!G7/'artix_7_no_ap'!G7)</f>
        <v/>
      </c>
      <c r="F18">
        <f>IF(OR('artix_7_ap'!H7=-1, 'artix_7_no_ap'!H7=-1), "", 'artix_7_ap'!H7/'artix_7_no_ap'!H7)</f>
        <v/>
      </c>
      <c r="G18">
        <f>IF(OR('artix_7_ap'!H7=-1, 'artix_7_no_ap'!H7=-1), "", 'artix_7_ap'!J7/'artix_7_no_ap'!J7)</f>
        <v/>
      </c>
      <c r="H18">
        <f>IF(OR('artix_7_ap'!H7=-1, 'artix_7_no_ap'!H7=-1), "", 'artix_7_ap'!K7/'artix_7_no_ap'!K7)</f>
        <v/>
      </c>
      <c r="I18">
        <f>IF(OR('artix_7_ap'!H7=-1, 'artix_7_no_ap'!H7=-1), "", 'artix_7_ap'!L7/'artix_7_no_ap'!L7)</f>
        <v/>
      </c>
      <c r="J18">
        <f>IF(OR('artix_7_ap'!H7=-1, 'artix_7_no_ap'!H7=-1), "", 'artix_7_ap'!AC7/'artix_7_no_ap'!AC7)</f>
        <v/>
      </c>
      <c r="K18">
        <f>IF(OR('artix_7_ap'!H7=-1, 'artix_7_no_ap'!H7=-1), "", 'artix_7_ap'!AD7/'artix_7_no_ap'!AD7)</f>
        <v/>
      </c>
    </row>
    <row r="19">
      <c r="A19" t="inlineStr">
        <is>
          <t>artix_7</t>
        </is>
      </c>
      <c r="B19" t="inlineStr">
        <is>
          <t>7series_BRAM_DSP_carry.xml</t>
        </is>
      </c>
      <c r="C19" t="inlineStr">
        <is>
          <t>LU32PEEng.blif</t>
        </is>
      </c>
      <c r="D19">
        <f>IF(OR('artix_7_ap'!H8=-1, 'artix_7_no_ap'!H8=-1), "", 'artix_7_ap'!F8/'artix_7_no_ap'!F8)</f>
        <v/>
      </c>
      <c r="E19">
        <f>IF(OR('artix_7_ap'!H8=-1, 'artix_7_no_ap'!H8=-1), "", 'artix_7_ap'!G8/'artix_7_no_ap'!G8)</f>
        <v/>
      </c>
      <c r="F19">
        <f>IF(OR('artix_7_ap'!H8=-1, 'artix_7_no_ap'!H8=-1), "", 'artix_7_ap'!H8/'artix_7_no_ap'!H8)</f>
        <v/>
      </c>
      <c r="G19">
        <f>IF(OR('artix_7_ap'!H8=-1, 'artix_7_no_ap'!H8=-1), "", 'artix_7_ap'!J8/'artix_7_no_ap'!J8)</f>
        <v/>
      </c>
      <c r="H19">
        <f>IF(OR('artix_7_ap'!H8=-1, 'artix_7_no_ap'!H8=-1), "", 'artix_7_ap'!K8/'artix_7_no_ap'!K8)</f>
        <v/>
      </c>
      <c r="I19">
        <f>IF(OR('artix_7_ap'!H8=-1, 'artix_7_no_ap'!H8=-1), "", 'artix_7_ap'!L8/'artix_7_no_ap'!L8)</f>
        <v/>
      </c>
      <c r="J19">
        <f>IF(OR('artix_7_ap'!H8=-1, 'artix_7_no_ap'!H8=-1), "", 'artix_7_ap'!AC8/'artix_7_no_ap'!AC8)</f>
        <v/>
      </c>
      <c r="K19">
        <f>IF(OR('artix_7_ap'!H8=-1, 'artix_7_no_ap'!H8=-1), "", 'artix_7_ap'!AD8/'artix_7_no_ap'!AD8)</f>
        <v/>
      </c>
    </row>
    <row r="20">
      <c r="A20" t="inlineStr">
        <is>
          <t>artix_7</t>
        </is>
      </c>
      <c r="B20" t="inlineStr">
        <is>
          <t>7series_BRAM_DSP_carry.xml</t>
        </is>
      </c>
      <c r="C20" t="inlineStr">
        <is>
          <t>mcml.blif</t>
        </is>
      </c>
      <c r="D20">
        <f>IF(OR('artix_7_ap'!H9=-1, 'artix_7_no_ap'!H9=-1), "", 'artix_7_ap'!F9/'artix_7_no_ap'!F9)</f>
        <v/>
      </c>
      <c r="E20">
        <f>IF(OR('artix_7_ap'!H9=-1, 'artix_7_no_ap'!H9=-1), "", 'artix_7_ap'!G9/'artix_7_no_ap'!G9)</f>
        <v/>
      </c>
      <c r="F20">
        <f>IF(OR('artix_7_ap'!H9=-1, 'artix_7_no_ap'!H9=-1), "", 'artix_7_ap'!H9/'artix_7_no_ap'!H9)</f>
        <v/>
      </c>
      <c r="G20">
        <f>IF(OR('artix_7_ap'!H9=-1, 'artix_7_no_ap'!H9=-1), "", 'artix_7_ap'!J9/'artix_7_no_ap'!J9)</f>
        <v/>
      </c>
      <c r="H20">
        <f>IF(OR('artix_7_ap'!H9=-1, 'artix_7_no_ap'!H9=-1), "", 'artix_7_ap'!K9/'artix_7_no_ap'!K9)</f>
        <v/>
      </c>
      <c r="I20">
        <f>IF(OR('artix_7_ap'!H9=-1, 'artix_7_no_ap'!H9=-1), "", 'artix_7_ap'!L9/'artix_7_no_ap'!L9)</f>
        <v/>
      </c>
      <c r="J20">
        <f>IF(OR('artix_7_ap'!H9=-1, 'artix_7_no_ap'!H9=-1), "", 'artix_7_ap'!AC9/'artix_7_no_ap'!AC9)</f>
        <v/>
      </c>
      <c r="K20">
        <f>IF(OR('artix_7_ap'!H9=-1, 'artix_7_no_ap'!H9=-1), "", 'artix_7_ap'!AD9/'artix_7_no_ap'!AD9)</f>
        <v/>
      </c>
    </row>
    <row r="21">
      <c r="A21" t="inlineStr">
        <is>
          <t>artix_7</t>
        </is>
      </c>
      <c r="B21" t="inlineStr"/>
      <c r="C21" t="inlineStr">
        <is>
          <t>GEOMEAN</t>
        </is>
      </c>
      <c r="D21">
        <f>GEOMEAN(D13:D20)</f>
        <v/>
      </c>
      <c r="E21">
        <f>GEOMEAN(E13:E20)</f>
        <v/>
      </c>
      <c r="F21">
        <f>GEOMEAN(F13:F20)</f>
        <v/>
      </c>
      <c r="G21">
        <f>GEOMEAN(G13:G20)</f>
        <v/>
      </c>
      <c r="H21">
        <f>GEOMEAN(H13:H20)</f>
        <v/>
      </c>
      <c r="I21">
        <f>GEOMEAN(I13:I20)</f>
        <v/>
      </c>
      <c r="J21">
        <f>GEOMEAN(J13:J20)</f>
        <v/>
      </c>
      <c r="K21">
        <f>GEOMEAN(K13:K20)</f>
        <v/>
      </c>
    </row>
    <row r="22">
      <c r="A22" t="inlineStr">
        <is>
          <t>artix_7</t>
        </is>
      </c>
      <c r="B22" t="inlineStr"/>
      <c r="C22" t="inlineStr">
        <is>
          <t>UNROUTES</t>
        </is>
      </c>
      <c r="D22">
        <f>8 - COUNT(F13:F20)</f>
        <v/>
      </c>
    </row>
    <row r="23">
      <c r="A23" t="inlineStr"/>
    </row>
    <row r="24">
      <c r="A24" t="inlineStr">
        <is>
          <t>titan</t>
        </is>
      </c>
      <c r="B24" t="inlineStr">
        <is>
          <t>stratixiv_arch.timing.xml</t>
        </is>
      </c>
      <c r="C24" t="inlineStr">
        <is>
          <t>LU230_stratixiv_arch_timing.blif</t>
        </is>
      </c>
      <c r="D24">
        <f>IF(OR('titan_ap'!H2=-1, 'titan_no_ap'!H2=-1), "", 'titan_ap'!F2/'titan_no_ap'!F2)</f>
        <v/>
      </c>
      <c r="E24">
        <f>IF(OR('titan_ap'!H2=-1, 'titan_no_ap'!H2=-1), "", 'titan_ap'!G2/'titan_no_ap'!G2)</f>
        <v/>
      </c>
      <c r="F24">
        <f>IF(OR('titan_ap'!H2=-1, 'titan_no_ap'!H2=-1), "", 'titan_ap'!H2/'titan_no_ap'!H2)</f>
        <v/>
      </c>
      <c r="G24">
        <f>IF(OR('titan_ap'!H2=-1, 'titan_no_ap'!H2=-1), "", 'titan_ap'!J2/'titan_no_ap'!J2)</f>
        <v/>
      </c>
      <c r="H24">
        <f>IF(OR('titan_ap'!H2=-1, 'titan_no_ap'!H2=-1), "", 'titan_ap'!K2/'titan_no_ap'!K2)</f>
        <v/>
      </c>
      <c r="I24">
        <f>IF(OR('titan_ap'!H2=-1, 'titan_no_ap'!H2=-1), "", 'titan_ap'!L2/'titan_no_ap'!L2)</f>
        <v/>
      </c>
      <c r="J24">
        <f>IF(OR('titan_ap'!H2=-1, 'titan_no_ap'!H2=-1), "", 'titan_ap'!AC2/'titan_no_ap'!AC2)</f>
        <v/>
      </c>
      <c r="K24">
        <f>IF(OR('titan_ap'!H2=-1, 'titan_no_ap'!H2=-1), "", 'titan_ap'!AD2/'titan_no_ap'!AD2)</f>
        <v/>
      </c>
    </row>
    <row r="25">
      <c r="A25" t="inlineStr">
        <is>
          <t>titan</t>
        </is>
      </c>
      <c r="B25" t="inlineStr">
        <is>
          <t>stratixiv_arch.timing.xml</t>
        </is>
      </c>
      <c r="C25" t="inlineStr">
        <is>
          <t>LU_Network_stratixiv_arch_timing.blif</t>
        </is>
      </c>
      <c r="D25">
        <f>IF(OR('titan_ap'!H3=-1, 'titan_no_ap'!H3=-1), "", 'titan_ap'!F3/'titan_no_ap'!F3)</f>
        <v/>
      </c>
      <c r="E25">
        <f>IF(OR('titan_ap'!H3=-1, 'titan_no_ap'!H3=-1), "", 'titan_ap'!G3/'titan_no_ap'!G3)</f>
        <v/>
      </c>
      <c r="F25">
        <f>IF(OR('titan_ap'!H3=-1, 'titan_no_ap'!H3=-1), "", 'titan_ap'!H3/'titan_no_ap'!H3)</f>
        <v/>
      </c>
      <c r="G25">
        <f>IF(OR('titan_ap'!H3=-1, 'titan_no_ap'!H3=-1), "", 'titan_ap'!J3/'titan_no_ap'!J3)</f>
        <v/>
      </c>
      <c r="H25">
        <f>IF(OR('titan_ap'!H3=-1, 'titan_no_ap'!H3=-1), "", 'titan_ap'!K3/'titan_no_ap'!K3)</f>
        <v/>
      </c>
      <c r="I25">
        <f>IF(OR('titan_ap'!H3=-1, 'titan_no_ap'!H3=-1), "", 'titan_ap'!L3/'titan_no_ap'!L3)</f>
        <v/>
      </c>
      <c r="J25">
        <f>IF(OR('titan_ap'!H3=-1, 'titan_no_ap'!H3=-1), "", 'titan_ap'!AC3/'titan_no_ap'!AC3)</f>
        <v/>
      </c>
      <c r="K25">
        <f>IF(OR('titan_ap'!H3=-1, 'titan_no_ap'!H3=-1), "", 'titan_ap'!AD3/'titan_no_ap'!AD3)</f>
        <v/>
      </c>
    </row>
    <row r="26">
      <c r="A26" t="inlineStr">
        <is>
          <t>titan</t>
        </is>
      </c>
      <c r="B26" t="inlineStr">
        <is>
          <t>stratixiv_arch.timing.xml</t>
        </is>
      </c>
      <c r="C26" t="inlineStr">
        <is>
          <t>SLAM_spheric_stratixiv_arch_timing.blif</t>
        </is>
      </c>
      <c r="D26">
        <f>IF(OR('titan_ap'!H4=-1, 'titan_no_ap'!H4=-1), "", 'titan_ap'!F4/'titan_no_ap'!F4)</f>
        <v/>
      </c>
      <c r="E26">
        <f>IF(OR('titan_ap'!H4=-1, 'titan_no_ap'!H4=-1), "", 'titan_ap'!G4/'titan_no_ap'!G4)</f>
        <v/>
      </c>
      <c r="F26">
        <f>IF(OR('titan_ap'!H4=-1, 'titan_no_ap'!H4=-1), "", 'titan_ap'!H4/'titan_no_ap'!H4)</f>
        <v/>
      </c>
      <c r="G26">
        <f>IF(OR('titan_ap'!H4=-1, 'titan_no_ap'!H4=-1), "", 'titan_ap'!J4/'titan_no_ap'!J4)</f>
        <v/>
      </c>
      <c r="H26">
        <f>IF(OR('titan_ap'!H4=-1, 'titan_no_ap'!H4=-1), "", 'titan_ap'!K4/'titan_no_ap'!K4)</f>
        <v/>
      </c>
      <c r="I26">
        <f>IF(OR('titan_ap'!H4=-1, 'titan_no_ap'!H4=-1), "", 'titan_ap'!L4/'titan_no_ap'!L4)</f>
        <v/>
      </c>
      <c r="J26">
        <f>IF(OR('titan_ap'!H4=-1, 'titan_no_ap'!H4=-1), "", 'titan_ap'!AC4/'titan_no_ap'!AC4)</f>
        <v/>
      </c>
      <c r="K26">
        <f>IF(OR('titan_ap'!H4=-1, 'titan_no_ap'!H4=-1), "", 'titan_ap'!AD4/'titan_no_ap'!AD4)</f>
        <v/>
      </c>
    </row>
    <row r="27">
      <c r="A27" t="inlineStr">
        <is>
          <t>titan</t>
        </is>
      </c>
      <c r="B27" t="inlineStr">
        <is>
          <t>stratixiv_arch.timing.xml</t>
        </is>
      </c>
      <c r="C27" t="inlineStr">
        <is>
          <t>bitcoin_miner_stratixiv_arch_timing.blif</t>
        </is>
      </c>
      <c r="D27">
        <f>IF(OR('titan_ap'!H5=-1, 'titan_no_ap'!H5=-1), "", 'titan_ap'!F5/'titan_no_ap'!F5)</f>
        <v/>
      </c>
      <c r="E27">
        <f>IF(OR('titan_ap'!H5=-1, 'titan_no_ap'!H5=-1), "", 'titan_ap'!G5/'titan_no_ap'!G5)</f>
        <v/>
      </c>
      <c r="F27">
        <f>IF(OR('titan_ap'!H5=-1, 'titan_no_ap'!H5=-1), "", 'titan_ap'!H5/'titan_no_ap'!H5)</f>
        <v/>
      </c>
      <c r="G27">
        <f>IF(OR('titan_ap'!H5=-1, 'titan_no_ap'!H5=-1), "", 'titan_ap'!J5/'titan_no_ap'!J5)</f>
        <v/>
      </c>
      <c r="H27">
        <f>IF(OR('titan_ap'!H5=-1, 'titan_no_ap'!H5=-1), "", 'titan_ap'!K5/'titan_no_ap'!K5)</f>
        <v/>
      </c>
      <c r="I27">
        <f>IF(OR('titan_ap'!H5=-1, 'titan_no_ap'!H5=-1), "", 'titan_ap'!L5/'titan_no_ap'!L5)</f>
        <v/>
      </c>
      <c r="J27">
        <f>IF(OR('titan_ap'!H5=-1, 'titan_no_ap'!H5=-1), "", 'titan_ap'!AC5/'titan_no_ap'!AC5)</f>
        <v/>
      </c>
      <c r="K27">
        <f>IF(OR('titan_ap'!H5=-1, 'titan_no_ap'!H5=-1), "", 'titan_ap'!AD5/'titan_no_ap'!AD5)</f>
        <v/>
      </c>
    </row>
    <row r="28">
      <c r="A28" t="inlineStr">
        <is>
          <t>titan</t>
        </is>
      </c>
      <c r="B28" t="inlineStr">
        <is>
          <t>stratixiv_arch.timing.xml</t>
        </is>
      </c>
      <c r="C28" t="inlineStr">
        <is>
          <t>bitonic_mesh_stratixiv_arch_timing.blif</t>
        </is>
      </c>
      <c r="D28">
        <f>IF(OR('titan_ap'!H6=-1, 'titan_no_ap'!H6=-1), "", 'titan_ap'!F6/'titan_no_ap'!F6)</f>
        <v/>
      </c>
      <c r="E28">
        <f>IF(OR('titan_ap'!H6=-1, 'titan_no_ap'!H6=-1), "", 'titan_ap'!G6/'titan_no_ap'!G6)</f>
        <v/>
      </c>
      <c r="F28">
        <f>IF(OR('titan_ap'!H6=-1, 'titan_no_ap'!H6=-1), "", 'titan_ap'!H6/'titan_no_ap'!H6)</f>
        <v/>
      </c>
      <c r="G28">
        <f>IF(OR('titan_ap'!H6=-1, 'titan_no_ap'!H6=-1), "", 'titan_ap'!J6/'titan_no_ap'!J6)</f>
        <v/>
      </c>
      <c r="H28">
        <f>IF(OR('titan_ap'!H6=-1, 'titan_no_ap'!H6=-1), "", 'titan_ap'!K6/'titan_no_ap'!K6)</f>
        <v/>
      </c>
      <c r="I28">
        <f>IF(OR('titan_ap'!H6=-1, 'titan_no_ap'!H6=-1), "", 'titan_ap'!L6/'titan_no_ap'!L6)</f>
        <v/>
      </c>
      <c r="J28">
        <f>IF(OR('titan_ap'!H6=-1, 'titan_no_ap'!H6=-1), "", 'titan_ap'!AC6/'titan_no_ap'!AC6)</f>
        <v/>
      </c>
      <c r="K28">
        <f>IF(OR('titan_ap'!H6=-1, 'titan_no_ap'!H6=-1), "", 'titan_ap'!AD6/'titan_no_ap'!AD6)</f>
        <v/>
      </c>
    </row>
    <row r="29">
      <c r="A29" t="inlineStr">
        <is>
          <t>titan</t>
        </is>
      </c>
      <c r="B29" t="inlineStr">
        <is>
          <t>stratixiv_arch.timing.xml</t>
        </is>
      </c>
      <c r="C29" t="inlineStr">
        <is>
          <t>cholesky_bdti_stratixiv_arch_timing.blif</t>
        </is>
      </c>
      <c r="D29">
        <f>IF(OR('titan_ap'!H7=-1, 'titan_no_ap'!H7=-1), "", 'titan_ap'!F7/'titan_no_ap'!F7)</f>
        <v/>
      </c>
      <c r="E29">
        <f>IF(OR('titan_ap'!H7=-1, 'titan_no_ap'!H7=-1), "", 'titan_ap'!G7/'titan_no_ap'!G7)</f>
        <v/>
      </c>
      <c r="F29">
        <f>IF(OR('titan_ap'!H7=-1, 'titan_no_ap'!H7=-1), "", 'titan_ap'!H7/'titan_no_ap'!H7)</f>
        <v/>
      </c>
      <c r="G29">
        <f>IF(OR('titan_ap'!H7=-1, 'titan_no_ap'!H7=-1), "", 'titan_ap'!J7/'titan_no_ap'!J7)</f>
        <v/>
      </c>
      <c r="H29">
        <f>IF(OR('titan_ap'!H7=-1, 'titan_no_ap'!H7=-1), "", 'titan_ap'!K7/'titan_no_ap'!K7)</f>
        <v/>
      </c>
      <c r="I29">
        <f>IF(OR('titan_ap'!H7=-1, 'titan_no_ap'!H7=-1), "", 'titan_ap'!L7/'titan_no_ap'!L7)</f>
        <v/>
      </c>
      <c r="J29">
        <f>IF(OR('titan_ap'!H7=-1, 'titan_no_ap'!H7=-1), "", 'titan_ap'!AC7/'titan_no_ap'!AC7)</f>
        <v/>
      </c>
      <c r="K29">
        <f>IF(OR('titan_ap'!H7=-1, 'titan_no_ap'!H7=-1), "", 'titan_ap'!AD7/'titan_no_ap'!AD7)</f>
        <v/>
      </c>
    </row>
    <row r="30">
      <c r="A30" t="inlineStr">
        <is>
          <t>titan</t>
        </is>
      </c>
      <c r="B30" t="inlineStr">
        <is>
          <t>stratixiv_arch.timing.xml</t>
        </is>
      </c>
      <c r="C30" t="inlineStr">
        <is>
          <t>cholesky_mc_stratixiv_arch_timing.blif</t>
        </is>
      </c>
      <c r="D30">
        <f>IF(OR('titan_ap'!H8=-1, 'titan_no_ap'!H8=-1), "", 'titan_ap'!F8/'titan_no_ap'!F8)</f>
        <v/>
      </c>
      <c r="E30">
        <f>IF(OR('titan_ap'!H8=-1, 'titan_no_ap'!H8=-1), "", 'titan_ap'!G8/'titan_no_ap'!G8)</f>
        <v/>
      </c>
      <c r="F30">
        <f>IF(OR('titan_ap'!H8=-1, 'titan_no_ap'!H8=-1), "", 'titan_ap'!H8/'titan_no_ap'!H8)</f>
        <v/>
      </c>
      <c r="G30">
        <f>IF(OR('titan_ap'!H8=-1, 'titan_no_ap'!H8=-1), "", 'titan_ap'!J8/'titan_no_ap'!J8)</f>
        <v/>
      </c>
      <c r="H30">
        <f>IF(OR('titan_ap'!H8=-1, 'titan_no_ap'!H8=-1), "", 'titan_ap'!K8/'titan_no_ap'!K8)</f>
        <v/>
      </c>
      <c r="I30">
        <f>IF(OR('titan_ap'!H8=-1, 'titan_no_ap'!H8=-1), "", 'titan_ap'!L8/'titan_no_ap'!L8)</f>
        <v/>
      </c>
      <c r="J30">
        <f>IF(OR('titan_ap'!H8=-1, 'titan_no_ap'!H8=-1), "", 'titan_ap'!AC8/'titan_no_ap'!AC8)</f>
        <v/>
      </c>
      <c r="K30">
        <f>IF(OR('titan_ap'!H8=-1, 'titan_no_ap'!H8=-1), "", 'titan_ap'!AD8/'titan_no_ap'!AD8)</f>
        <v/>
      </c>
    </row>
    <row r="31">
      <c r="A31" t="inlineStr">
        <is>
          <t>titan</t>
        </is>
      </c>
      <c r="B31" t="inlineStr">
        <is>
          <t>stratixiv_arch.timing.xml</t>
        </is>
      </c>
      <c r="C31" t="inlineStr">
        <is>
          <t>dart_stratixiv_arch_timing.blif</t>
        </is>
      </c>
      <c r="D31">
        <f>IF(OR('titan_ap'!H9=-1, 'titan_no_ap'!H9=-1), "", 'titan_ap'!F9/'titan_no_ap'!F9)</f>
        <v/>
      </c>
      <c r="E31">
        <f>IF(OR('titan_ap'!H9=-1, 'titan_no_ap'!H9=-1), "", 'titan_ap'!G9/'titan_no_ap'!G9)</f>
        <v/>
      </c>
      <c r="F31">
        <f>IF(OR('titan_ap'!H9=-1, 'titan_no_ap'!H9=-1), "", 'titan_ap'!H9/'titan_no_ap'!H9)</f>
        <v/>
      </c>
      <c r="G31">
        <f>IF(OR('titan_ap'!H9=-1, 'titan_no_ap'!H9=-1), "", 'titan_ap'!J9/'titan_no_ap'!J9)</f>
        <v/>
      </c>
      <c r="H31">
        <f>IF(OR('titan_ap'!H9=-1, 'titan_no_ap'!H9=-1), "", 'titan_ap'!K9/'titan_no_ap'!K9)</f>
        <v/>
      </c>
      <c r="I31">
        <f>IF(OR('titan_ap'!H9=-1, 'titan_no_ap'!H9=-1), "", 'titan_ap'!L9/'titan_no_ap'!L9)</f>
        <v/>
      </c>
      <c r="J31">
        <f>IF(OR('titan_ap'!H9=-1, 'titan_no_ap'!H9=-1), "", 'titan_ap'!AC9/'titan_no_ap'!AC9)</f>
        <v/>
      </c>
      <c r="K31">
        <f>IF(OR('titan_ap'!H9=-1, 'titan_no_ap'!H9=-1), "", 'titan_ap'!AD9/'titan_no_ap'!AD9)</f>
        <v/>
      </c>
    </row>
    <row r="32">
      <c r="A32" t="inlineStr">
        <is>
          <t>titan</t>
        </is>
      </c>
      <c r="B32" t="inlineStr">
        <is>
          <t>stratixiv_arch.timing.xml</t>
        </is>
      </c>
      <c r="C32" t="inlineStr">
        <is>
          <t>denoise_stratixiv_arch_timing.blif</t>
        </is>
      </c>
      <c r="D32">
        <f>IF(OR('titan_ap'!H10=-1, 'titan_no_ap'!H10=-1), "", 'titan_ap'!F10/'titan_no_ap'!F10)</f>
        <v/>
      </c>
      <c r="E32">
        <f>IF(OR('titan_ap'!H10=-1, 'titan_no_ap'!H10=-1), "", 'titan_ap'!G10/'titan_no_ap'!G10)</f>
        <v/>
      </c>
      <c r="F32">
        <f>IF(OR('titan_ap'!H10=-1, 'titan_no_ap'!H10=-1), "", 'titan_ap'!H10/'titan_no_ap'!H10)</f>
        <v/>
      </c>
      <c r="G32">
        <f>IF(OR('titan_ap'!H10=-1, 'titan_no_ap'!H10=-1), "", 'titan_ap'!J10/'titan_no_ap'!J10)</f>
        <v/>
      </c>
      <c r="H32">
        <f>IF(OR('titan_ap'!H10=-1, 'titan_no_ap'!H10=-1), "", 'titan_ap'!K10/'titan_no_ap'!K10)</f>
        <v/>
      </c>
      <c r="I32">
        <f>IF(OR('titan_ap'!H10=-1, 'titan_no_ap'!H10=-1), "", 'titan_ap'!L10/'titan_no_ap'!L10)</f>
        <v/>
      </c>
      <c r="J32">
        <f>IF(OR('titan_ap'!H10=-1, 'titan_no_ap'!H10=-1), "", 'titan_ap'!AC10/'titan_no_ap'!AC10)</f>
        <v/>
      </c>
      <c r="K32">
        <f>IF(OR('titan_ap'!H10=-1, 'titan_no_ap'!H10=-1), "", 'titan_ap'!AD10/'titan_no_ap'!AD10)</f>
        <v/>
      </c>
    </row>
    <row r="33">
      <c r="A33" t="inlineStr">
        <is>
          <t>titan</t>
        </is>
      </c>
      <c r="B33" t="inlineStr">
        <is>
          <t>stratixiv_arch.timing.xml</t>
        </is>
      </c>
      <c r="C33" t="inlineStr">
        <is>
          <t>des90_stratixiv_arch_timing.blif</t>
        </is>
      </c>
      <c r="D33">
        <f>IF(OR('titan_ap'!H11=-1, 'titan_no_ap'!H11=-1), "", 'titan_ap'!F11/'titan_no_ap'!F11)</f>
        <v/>
      </c>
      <c r="E33">
        <f>IF(OR('titan_ap'!H11=-1, 'titan_no_ap'!H11=-1), "", 'titan_ap'!G11/'titan_no_ap'!G11)</f>
        <v/>
      </c>
      <c r="F33">
        <f>IF(OR('titan_ap'!H11=-1, 'titan_no_ap'!H11=-1), "", 'titan_ap'!H11/'titan_no_ap'!H11)</f>
        <v/>
      </c>
      <c r="G33">
        <f>IF(OR('titan_ap'!H11=-1, 'titan_no_ap'!H11=-1), "", 'titan_ap'!J11/'titan_no_ap'!J11)</f>
        <v/>
      </c>
      <c r="H33">
        <f>IF(OR('titan_ap'!H11=-1, 'titan_no_ap'!H11=-1), "", 'titan_ap'!K11/'titan_no_ap'!K11)</f>
        <v/>
      </c>
      <c r="I33">
        <f>IF(OR('titan_ap'!H11=-1, 'titan_no_ap'!H11=-1), "", 'titan_ap'!L11/'titan_no_ap'!L11)</f>
        <v/>
      </c>
      <c r="J33">
        <f>IF(OR('titan_ap'!H11=-1, 'titan_no_ap'!H11=-1), "", 'titan_ap'!AC11/'titan_no_ap'!AC11)</f>
        <v/>
      </c>
      <c r="K33">
        <f>IF(OR('titan_ap'!H11=-1, 'titan_no_ap'!H11=-1), "", 'titan_ap'!AD11/'titan_no_ap'!AD11)</f>
        <v/>
      </c>
    </row>
    <row r="34">
      <c r="A34" t="inlineStr">
        <is>
          <t>titan</t>
        </is>
      </c>
      <c r="B34" t="inlineStr">
        <is>
          <t>stratixiv_arch.timing.xml</t>
        </is>
      </c>
      <c r="C34" t="inlineStr">
        <is>
          <t>directrf_stratixiv_arch_timing.blif</t>
        </is>
      </c>
      <c r="D34">
        <f>IF(OR('titan_ap'!H12=-1, 'titan_no_ap'!H12=-1), "", 'titan_ap'!F12/'titan_no_ap'!F12)</f>
        <v/>
      </c>
      <c r="E34">
        <f>IF(OR('titan_ap'!H12=-1, 'titan_no_ap'!H12=-1), "", 'titan_ap'!G12/'titan_no_ap'!G12)</f>
        <v/>
      </c>
      <c r="F34">
        <f>IF(OR('titan_ap'!H12=-1, 'titan_no_ap'!H12=-1), "", 'titan_ap'!H12/'titan_no_ap'!H12)</f>
        <v/>
      </c>
      <c r="G34">
        <f>IF(OR('titan_ap'!H12=-1, 'titan_no_ap'!H12=-1), "", 'titan_ap'!J12/'titan_no_ap'!J12)</f>
        <v/>
      </c>
      <c r="H34">
        <f>IF(OR('titan_ap'!H12=-1, 'titan_no_ap'!H12=-1), "", 'titan_ap'!K12/'titan_no_ap'!K12)</f>
        <v/>
      </c>
      <c r="I34">
        <f>IF(OR('titan_ap'!H12=-1, 'titan_no_ap'!H12=-1), "", 'titan_ap'!L12/'titan_no_ap'!L12)</f>
        <v/>
      </c>
      <c r="J34">
        <f>IF(OR('titan_ap'!H12=-1, 'titan_no_ap'!H12=-1), "", 'titan_ap'!AC12/'titan_no_ap'!AC12)</f>
        <v/>
      </c>
      <c r="K34">
        <f>IF(OR('titan_ap'!H12=-1, 'titan_no_ap'!H12=-1), "", 'titan_ap'!AD12/'titan_no_ap'!AD12)</f>
        <v/>
      </c>
    </row>
    <row r="35">
      <c r="A35" t="inlineStr">
        <is>
          <t>titan</t>
        </is>
      </c>
      <c r="B35" t="inlineStr">
        <is>
          <t>stratixiv_arch.timing.xml</t>
        </is>
      </c>
      <c r="C35" t="inlineStr">
        <is>
          <t>gsm_switch_stratixiv_arch_timing.blif</t>
        </is>
      </c>
      <c r="D35">
        <f>IF(OR('titan_ap'!H13=-1, 'titan_no_ap'!H13=-1), "", 'titan_ap'!F13/'titan_no_ap'!F13)</f>
        <v/>
      </c>
      <c r="E35">
        <f>IF(OR('titan_ap'!H13=-1, 'titan_no_ap'!H13=-1), "", 'titan_ap'!G13/'titan_no_ap'!G13)</f>
        <v/>
      </c>
      <c r="F35">
        <f>IF(OR('titan_ap'!H13=-1, 'titan_no_ap'!H13=-1), "", 'titan_ap'!H13/'titan_no_ap'!H13)</f>
        <v/>
      </c>
      <c r="G35">
        <f>IF(OR('titan_ap'!H13=-1, 'titan_no_ap'!H13=-1), "", 'titan_ap'!J13/'titan_no_ap'!J13)</f>
        <v/>
      </c>
      <c r="H35">
        <f>IF(OR('titan_ap'!H13=-1, 'titan_no_ap'!H13=-1), "", 'titan_ap'!K13/'titan_no_ap'!K13)</f>
        <v/>
      </c>
      <c r="I35">
        <f>IF(OR('titan_ap'!H13=-1, 'titan_no_ap'!H13=-1), "", 'titan_ap'!L13/'titan_no_ap'!L13)</f>
        <v/>
      </c>
      <c r="J35">
        <f>IF(OR('titan_ap'!H13=-1, 'titan_no_ap'!H13=-1), "", 'titan_ap'!AC13/'titan_no_ap'!AC13)</f>
        <v/>
      </c>
      <c r="K35">
        <f>IF(OR('titan_ap'!H13=-1, 'titan_no_ap'!H13=-1), "", 'titan_ap'!AD13/'titan_no_ap'!AD13)</f>
        <v/>
      </c>
    </row>
    <row r="36">
      <c r="A36" t="inlineStr">
        <is>
          <t>titan</t>
        </is>
      </c>
      <c r="B36" t="inlineStr">
        <is>
          <t>stratixiv_arch.timing.xml</t>
        </is>
      </c>
      <c r="C36" t="inlineStr">
        <is>
          <t>mes_noc_stratixiv_arch_timing.blif</t>
        </is>
      </c>
      <c r="D36">
        <f>IF(OR('titan_ap'!H14=-1, 'titan_no_ap'!H14=-1), "", 'titan_ap'!F14/'titan_no_ap'!F14)</f>
        <v/>
      </c>
      <c r="E36">
        <f>IF(OR('titan_ap'!H14=-1, 'titan_no_ap'!H14=-1), "", 'titan_ap'!G14/'titan_no_ap'!G14)</f>
        <v/>
      </c>
      <c r="F36">
        <f>IF(OR('titan_ap'!H14=-1, 'titan_no_ap'!H14=-1), "", 'titan_ap'!H14/'titan_no_ap'!H14)</f>
        <v/>
      </c>
      <c r="G36">
        <f>IF(OR('titan_ap'!H14=-1, 'titan_no_ap'!H14=-1), "", 'titan_ap'!J14/'titan_no_ap'!J14)</f>
        <v/>
      </c>
      <c r="H36">
        <f>IF(OR('titan_ap'!H14=-1, 'titan_no_ap'!H14=-1), "", 'titan_ap'!K14/'titan_no_ap'!K14)</f>
        <v/>
      </c>
      <c r="I36">
        <f>IF(OR('titan_ap'!H14=-1, 'titan_no_ap'!H14=-1), "", 'titan_ap'!L14/'titan_no_ap'!L14)</f>
        <v/>
      </c>
      <c r="J36">
        <f>IF(OR('titan_ap'!H14=-1, 'titan_no_ap'!H14=-1), "", 'titan_ap'!AC14/'titan_no_ap'!AC14)</f>
        <v/>
      </c>
      <c r="K36">
        <f>IF(OR('titan_ap'!H14=-1, 'titan_no_ap'!H14=-1), "", 'titan_ap'!AD14/'titan_no_ap'!AD14)</f>
        <v/>
      </c>
    </row>
    <row r="37">
      <c r="A37" t="inlineStr">
        <is>
          <t>titan</t>
        </is>
      </c>
      <c r="B37" t="inlineStr">
        <is>
          <t>stratixiv_arch.timing.xml</t>
        </is>
      </c>
      <c r="C37" t="inlineStr">
        <is>
          <t>minres_stratixiv_arch_timing.blif</t>
        </is>
      </c>
      <c r="D37">
        <f>IF(OR('titan_ap'!H15=-1, 'titan_no_ap'!H15=-1), "", 'titan_ap'!F15/'titan_no_ap'!F15)</f>
        <v/>
      </c>
      <c r="E37">
        <f>IF(OR('titan_ap'!H15=-1, 'titan_no_ap'!H15=-1), "", 'titan_ap'!G15/'titan_no_ap'!G15)</f>
        <v/>
      </c>
      <c r="F37">
        <f>IF(OR('titan_ap'!H15=-1, 'titan_no_ap'!H15=-1), "", 'titan_ap'!H15/'titan_no_ap'!H15)</f>
        <v/>
      </c>
      <c r="G37">
        <f>IF(OR('titan_ap'!H15=-1, 'titan_no_ap'!H15=-1), "", 'titan_ap'!J15/'titan_no_ap'!J15)</f>
        <v/>
      </c>
      <c r="H37">
        <f>IF(OR('titan_ap'!H15=-1, 'titan_no_ap'!H15=-1), "", 'titan_ap'!K15/'titan_no_ap'!K15)</f>
        <v/>
      </c>
      <c r="I37">
        <f>IF(OR('titan_ap'!H15=-1, 'titan_no_ap'!H15=-1), "", 'titan_ap'!L15/'titan_no_ap'!L15)</f>
        <v/>
      </c>
      <c r="J37">
        <f>IF(OR('titan_ap'!H15=-1, 'titan_no_ap'!H15=-1), "", 'titan_ap'!AC15/'titan_no_ap'!AC15)</f>
        <v/>
      </c>
      <c r="K37">
        <f>IF(OR('titan_ap'!H15=-1, 'titan_no_ap'!H15=-1), "", 'titan_ap'!AD15/'titan_no_ap'!AD15)</f>
        <v/>
      </c>
    </row>
    <row r="38">
      <c r="A38" t="inlineStr">
        <is>
          <t>titan</t>
        </is>
      </c>
      <c r="B38" t="inlineStr">
        <is>
          <t>stratixiv_arch.timing.xml</t>
        </is>
      </c>
      <c r="C38" t="inlineStr">
        <is>
          <t>neuron_stratixiv_arch_timing.blif</t>
        </is>
      </c>
      <c r="D38">
        <f>IF(OR('titan_ap'!H16=-1, 'titan_no_ap'!H16=-1), "", 'titan_ap'!F16/'titan_no_ap'!F16)</f>
        <v/>
      </c>
      <c r="E38">
        <f>IF(OR('titan_ap'!H16=-1, 'titan_no_ap'!H16=-1), "", 'titan_ap'!G16/'titan_no_ap'!G16)</f>
        <v/>
      </c>
      <c r="F38">
        <f>IF(OR('titan_ap'!H16=-1, 'titan_no_ap'!H16=-1), "", 'titan_ap'!H16/'titan_no_ap'!H16)</f>
        <v/>
      </c>
      <c r="G38">
        <f>IF(OR('titan_ap'!H16=-1, 'titan_no_ap'!H16=-1), "", 'titan_ap'!J16/'titan_no_ap'!J16)</f>
        <v/>
      </c>
      <c r="H38">
        <f>IF(OR('titan_ap'!H16=-1, 'titan_no_ap'!H16=-1), "", 'titan_ap'!K16/'titan_no_ap'!K16)</f>
        <v/>
      </c>
      <c r="I38">
        <f>IF(OR('titan_ap'!H16=-1, 'titan_no_ap'!H16=-1), "", 'titan_ap'!L16/'titan_no_ap'!L16)</f>
        <v/>
      </c>
      <c r="J38">
        <f>IF(OR('titan_ap'!H16=-1, 'titan_no_ap'!H16=-1), "", 'titan_ap'!AC16/'titan_no_ap'!AC16)</f>
        <v/>
      </c>
      <c r="K38">
        <f>IF(OR('titan_ap'!H16=-1, 'titan_no_ap'!H16=-1), "", 'titan_ap'!AD16/'titan_no_ap'!AD16)</f>
        <v/>
      </c>
    </row>
    <row r="39">
      <c r="A39" t="inlineStr">
        <is>
          <t>titan</t>
        </is>
      </c>
      <c r="B39" t="inlineStr">
        <is>
          <t>stratixiv_arch.timing.xml</t>
        </is>
      </c>
      <c r="C39" t="inlineStr">
        <is>
          <t>openCV_stratixiv_arch_timing.blif</t>
        </is>
      </c>
      <c r="D39">
        <f>IF(OR('titan_ap'!H17=-1, 'titan_no_ap'!H17=-1), "", 'titan_ap'!F17/'titan_no_ap'!F17)</f>
        <v/>
      </c>
      <c r="E39">
        <f>IF(OR('titan_ap'!H17=-1, 'titan_no_ap'!H17=-1), "", 'titan_ap'!G17/'titan_no_ap'!G17)</f>
        <v/>
      </c>
      <c r="F39">
        <f>IF(OR('titan_ap'!H17=-1, 'titan_no_ap'!H17=-1), "", 'titan_ap'!H17/'titan_no_ap'!H17)</f>
        <v/>
      </c>
      <c r="G39">
        <f>IF(OR('titan_ap'!H17=-1, 'titan_no_ap'!H17=-1), "", 'titan_ap'!J17/'titan_no_ap'!J17)</f>
        <v/>
      </c>
      <c r="H39">
        <f>IF(OR('titan_ap'!H17=-1, 'titan_no_ap'!H17=-1), "", 'titan_ap'!K17/'titan_no_ap'!K17)</f>
        <v/>
      </c>
      <c r="I39">
        <f>IF(OR('titan_ap'!H17=-1, 'titan_no_ap'!H17=-1), "", 'titan_ap'!L17/'titan_no_ap'!L17)</f>
        <v/>
      </c>
      <c r="J39">
        <f>IF(OR('titan_ap'!H17=-1, 'titan_no_ap'!H17=-1), "", 'titan_ap'!AC17/'titan_no_ap'!AC17)</f>
        <v/>
      </c>
      <c r="K39">
        <f>IF(OR('titan_ap'!H17=-1, 'titan_no_ap'!H17=-1), "", 'titan_ap'!AD17/'titan_no_ap'!AD17)</f>
        <v/>
      </c>
    </row>
    <row r="40">
      <c r="A40" t="inlineStr">
        <is>
          <t>titan</t>
        </is>
      </c>
      <c r="B40" t="inlineStr">
        <is>
          <t>stratixiv_arch.timing.xml</t>
        </is>
      </c>
      <c r="C40" t="inlineStr">
        <is>
          <t>segmentation_stratixiv_arch_timing.blif</t>
        </is>
      </c>
      <c r="D40">
        <f>IF(OR('titan_ap'!H18=-1, 'titan_no_ap'!H18=-1), "", 'titan_ap'!F18/'titan_no_ap'!F18)</f>
        <v/>
      </c>
      <c r="E40">
        <f>IF(OR('titan_ap'!H18=-1, 'titan_no_ap'!H18=-1), "", 'titan_ap'!G18/'titan_no_ap'!G18)</f>
        <v/>
      </c>
      <c r="F40">
        <f>IF(OR('titan_ap'!H18=-1, 'titan_no_ap'!H18=-1), "", 'titan_ap'!H18/'titan_no_ap'!H18)</f>
        <v/>
      </c>
      <c r="G40">
        <f>IF(OR('titan_ap'!H18=-1, 'titan_no_ap'!H18=-1), "", 'titan_ap'!J18/'titan_no_ap'!J18)</f>
        <v/>
      </c>
      <c r="H40">
        <f>IF(OR('titan_ap'!H18=-1, 'titan_no_ap'!H18=-1), "", 'titan_ap'!K18/'titan_no_ap'!K18)</f>
        <v/>
      </c>
      <c r="I40">
        <f>IF(OR('titan_ap'!H18=-1, 'titan_no_ap'!H18=-1), "", 'titan_ap'!L18/'titan_no_ap'!L18)</f>
        <v/>
      </c>
      <c r="J40">
        <f>IF(OR('titan_ap'!H18=-1, 'titan_no_ap'!H18=-1), "", 'titan_ap'!AC18/'titan_no_ap'!AC18)</f>
        <v/>
      </c>
      <c r="K40">
        <f>IF(OR('titan_ap'!H18=-1, 'titan_no_ap'!H18=-1), "", 'titan_ap'!AD18/'titan_no_ap'!AD18)</f>
        <v/>
      </c>
    </row>
    <row r="41">
      <c r="A41" t="inlineStr">
        <is>
          <t>titan</t>
        </is>
      </c>
      <c r="B41" t="inlineStr">
        <is>
          <t>stratixiv_arch.timing.xml</t>
        </is>
      </c>
      <c r="C41" t="inlineStr">
        <is>
          <t>sparcT1_chip2_stratixiv_arch_timing.blif</t>
        </is>
      </c>
      <c r="D41">
        <f>IF(OR('titan_ap'!H19=-1, 'titan_no_ap'!H19=-1), "", 'titan_ap'!F19/'titan_no_ap'!F19)</f>
        <v/>
      </c>
      <c r="E41">
        <f>IF(OR('titan_ap'!H19=-1, 'titan_no_ap'!H19=-1), "", 'titan_ap'!G19/'titan_no_ap'!G19)</f>
        <v/>
      </c>
      <c r="F41">
        <f>IF(OR('titan_ap'!H19=-1, 'titan_no_ap'!H19=-1), "", 'titan_ap'!H19/'titan_no_ap'!H19)</f>
        <v/>
      </c>
      <c r="G41">
        <f>IF(OR('titan_ap'!H19=-1, 'titan_no_ap'!H19=-1), "", 'titan_ap'!J19/'titan_no_ap'!J19)</f>
        <v/>
      </c>
      <c r="H41">
        <f>IF(OR('titan_ap'!H19=-1, 'titan_no_ap'!H19=-1), "", 'titan_ap'!K19/'titan_no_ap'!K19)</f>
        <v/>
      </c>
      <c r="I41">
        <f>IF(OR('titan_ap'!H19=-1, 'titan_no_ap'!H19=-1), "", 'titan_ap'!L19/'titan_no_ap'!L19)</f>
        <v/>
      </c>
      <c r="J41">
        <f>IF(OR('titan_ap'!H19=-1, 'titan_no_ap'!H19=-1), "", 'titan_ap'!AC19/'titan_no_ap'!AC19)</f>
        <v/>
      </c>
      <c r="K41">
        <f>IF(OR('titan_ap'!H19=-1, 'titan_no_ap'!H19=-1), "", 'titan_ap'!AD19/'titan_no_ap'!AD19)</f>
        <v/>
      </c>
    </row>
    <row r="42">
      <c r="A42" t="inlineStr">
        <is>
          <t>titan</t>
        </is>
      </c>
      <c r="B42" t="inlineStr">
        <is>
          <t>stratixiv_arch.timing.xml</t>
        </is>
      </c>
      <c r="C42" t="inlineStr">
        <is>
          <t>sparcT1_core_stratixiv_arch_timing.blif</t>
        </is>
      </c>
      <c r="D42">
        <f>IF(OR('titan_ap'!H20=-1, 'titan_no_ap'!H20=-1), "", 'titan_ap'!F20/'titan_no_ap'!F20)</f>
        <v/>
      </c>
      <c r="E42">
        <f>IF(OR('titan_ap'!H20=-1, 'titan_no_ap'!H20=-1), "", 'titan_ap'!G20/'titan_no_ap'!G20)</f>
        <v/>
      </c>
      <c r="F42">
        <f>IF(OR('titan_ap'!H20=-1, 'titan_no_ap'!H20=-1), "", 'titan_ap'!H20/'titan_no_ap'!H20)</f>
        <v/>
      </c>
      <c r="G42">
        <f>IF(OR('titan_ap'!H20=-1, 'titan_no_ap'!H20=-1), "", 'titan_ap'!J20/'titan_no_ap'!J20)</f>
        <v/>
      </c>
      <c r="H42">
        <f>IF(OR('titan_ap'!H20=-1, 'titan_no_ap'!H20=-1), "", 'titan_ap'!K20/'titan_no_ap'!K20)</f>
        <v/>
      </c>
      <c r="I42">
        <f>IF(OR('titan_ap'!H20=-1, 'titan_no_ap'!H20=-1), "", 'titan_ap'!L20/'titan_no_ap'!L20)</f>
        <v/>
      </c>
      <c r="J42">
        <f>IF(OR('titan_ap'!H20=-1, 'titan_no_ap'!H20=-1), "", 'titan_ap'!AC20/'titan_no_ap'!AC20)</f>
        <v/>
      </c>
      <c r="K42">
        <f>IF(OR('titan_ap'!H20=-1, 'titan_no_ap'!H20=-1), "", 'titan_ap'!AD20/'titan_no_ap'!AD20)</f>
        <v/>
      </c>
    </row>
    <row r="43">
      <c r="A43" t="inlineStr">
        <is>
          <t>titan</t>
        </is>
      </c>
      <c r="B43" t="inlineStr">
        <is>
          <t>stratixiv_arch.timing.xml</t>
        </is>
      </c>
      <c r="C43" t="inlineStr">
        <is>
          <t>sparcT2_core_stratixiv_arch_timing.blif</t>
        </is>
      </c>
      <c r="D43">
        <f>IF(OR('titan_ap'!H21=-1, 'titan_no_ap'!H21=-1), "", 'titan_ap'!F21/'titan_no_ap'!F21)</f>
        <v/>
      </c>
      <c r="E43">
        <f>IF(OR('titan_ap'!H21=-1, 'titan_no_ap'!H21=-1), "", 'titan_ap'!G21/'titan_no_ap'!G21)</f>
        <v/>
      </c>
      <c r="F43">
        <f>IF(OR('titan_ap'!H21=-1, 'titan_no_ap'!H21=-1), "", 'titan_ap'!H21/'titan_no_ap'!H21)</f>
        <v/>
      </c>
      <c r="G43">
        <f>IF(OR('titan_ap'!H21=-1, 'titan_no_ap'!H21=-1), "", 'titan_ap'!J21/'titan_no_ap'!J21)</f>
        <v/>
      </c>
      <c r="H43">
        <f>IF(OR('titan_ap'!H21=-1, 'titan_no_ap'!H21=-1), "", 'titan_ap'!K21/'titan_no_ap'!K21)</f>
        <v/>
      </c>
      <c r="I43">
        <f>IF(OR('titan_ap'!H21=-1, 'titan_no_ap'!H21=-1), "", 'titan_ap'!L21/'titan_no_ap'!L21)</f>
        <v/>
      </c>
      <c r="J43">
        <f>IF(OR('titan_ap'!H21=-1, 'titan_no_ap'!H21=-1), "", 'titan_ap'!AC21/'titan_no_ap'!AC21)</f>
        <v/>
      </c>
      <c r="K43">
        <f>IF(OR('titan_ap'!H21=-1, 'titan_no_ap'!H21=-1), "", 'titan_ap'!AD21/'titan_no_ap'!AD21)</f>
        <v/>
      </c>
    </row>
    <row r="44">
      <c r="A44" t="inlineStr">
        <is>
          <t>titan</t>
        </is>
      </c>
      <c r="B44" t="inlineStr">
        <is>
          <t>stratixiv_arch.timing.xml</t>
        </is>
      </c>
      <c r="C44" t="inlineStr">
        <is>
          <t>stap_qrd_stratixiv_arch_timing.blif</t>
        </is>
      </c>
      <c r="D44">
        <f>IF(OR('titan_ap'!H22=-1, 'titan_no_ap'!H22=-1), "", 'titan_ap'!F22/'titan_no_ap'!F22)</f>
        <v/>
      </c>
      <c r="E44">
        <f>IF(OR('titan_ap'!H22=-1, 'titan_no_ap'!H22=-1), "", 'titan_ap'!G22/'titan_no_ap'!G22)</f>
        <v/>
      </c>
      <c r="F44">
        <f>IF(OR('titan_ap'!H22=-1, 'titan_no_ap'!H22=-1), "", 'titan_ap'!H22/'titan_no_ap'!H22)</f>
        <v/>
      </c>
      <c r="G44">
        <f>IF(OR('titan_ap'!H22=-1, 'titan_no_ap'!H22=-1), "", 'titan_ap'!J22/'titan_no_ap'!J22)</f>
        <v/>
      </c>
      <c r="H44">
        <f>IF(OR('titan_ap'!H22=-1, 'titan_no_ap'!H22=-1), "", 'titan_ap'!K22/'titan_no_ap'!K22)</f>
        <v/>
      </c>
      <c r="I44">
        <f>IF(OR('titan_ap'!H22=-1, 'titan_no_ap'!H22=-1), "", 'titan_ap'!L22/'titan_no_ap'!L22)</f>
        <v/>
      </c>
      <c r="J44">
        <f>IF(OR('titan_ap'!H22=-1, 'titan_no_ap'!H22=-1), "", 'titan_ap'!AC22/'titan_no_ap'!AC22)</f>
        <v/>
      </c>
      <c r="K44">
        <f>IF(OR('titan_ap'!H22=-1, 'titan_no_ap'!H22=-1), "", 'titan_ap'!AD22/'titan_no_ap'!AD22)</f>
        <v/>
      </c>
    </row>
    <row r="45">
      <c r="A45" t="inlineStr">
        <is>
          <t>titan</t>
        </is>
      </c>
      <c r="B45" t="inlineStr">
        <is>
          <t>stratixiv_arch.timing.xml</t>
        </is>
      </c>
      <c r="C45" t="inlineStr">
        <is>
          <t>stereo_vision_stratixiv_arch_timing.blif</t>
        </is>
      </c>
      <c r="D45">
        <f>IF(OR('titan_ap'!H23=-1, 'titan_no_ap'!H23=-1), "", 'titan_ap'!F23/'titan_no_ap'!F23)</f>
        <v/>
      </c>
      <c r="E45">
        <f>IF(OR('titan_ap'!H23=-1, 'titan_no_ap'!H23=-1), "", 'titan_ap'!G23/'titan_no_ap'!G23)</f>
        <v/>
      </c>
      <c r="F45">
        <f>IF(OR('titan_ap'!H23=-1, 'titan_no_ap'!H23=-1), "", 'titan_ap'!H23/'titan_no_ap'!H23)</f>
        <v/>
      </c>
      <c r="G45">
        <f>IF(OR('titan_ap'!H23=-1, 'titan_no_ap'!H23=-1), "", 'titan_ap'!J23/'titan_no_ap'!J23)</f>
        <v/>
      </c>
      <c r="H45">
        <f>IF(OR('titan_ap'!H23=-1, 'titan_no_ap'!H23=-1), "", 'titan_ap'!K23/'titan_no_ap'!K23)</f>
        <v/>
      </c>
      <c r="I45">
        <f>IF(OR('titan_ap'!H23=-1, 'titan_no_ap'!H23=-1), "", 'titan_ap'!L23/'titan_no_ap'!L23)</f>
        <v/>
      </c>
      <c r="J45">
        <f>IF(OR('titan_ap'!H23=-1, 'titan_no_ap'!H23=-1), "", 'titan_ap'!AC23/'titan_no_ap'!AC23)</f>
        <v/>
      </c>
      <c r="K45">
        <f>IF(OR('titan_ap'!H23=-1, 'titan_no_ap'!H23=-1), "", 'titan_ap'!AD23/'titan_no_ap'!AD23)</f>
        <v/>
      </c>
    </row>
    <row r="46">
      <c r="A46" t="inlineStr">
        <is>
          <t>titan</t>
        </is>
      </c>
      <c r="B46" t="inlineStr">
        <is>
          <t>stratixiv_arch.timing.xml</t>
        </is>
      </c>
      <c r="C46" t="inlineStr">
        <is>
          <t>gaussianblur_stratixiv_arch_timing.blif</t>
        </is>
      </c>
      <c r="D46">
        <f>IF(OR('titan_ap'!H24=-1, 'titan_no_ap'!H24=-1), "", 'titan_ap'!F24/'titan_no_ap'!F24)</f>
        <v/>
      </c>
      <c r="E46">
        <f>IF(OR('titan_ap'!H24=-1, 'titan_no_ap'!H24=-1), "", 'titan_ap'!G24/'titan_no_ap'!G24)</f>
        <v/>
      </c>
      <c r="F46">
        <f>IF(OR('titan_ap'!H24=-1, 'titan_no_ap'!H24=-1), "", 'titan_ap'!H24/'titan_no_ap'!H24)</f>
        <v/>
      </c>
      <c r="G46">
        <f>IF(OR('titan_ap'!H24=-1, 'titan_no_ap'!H24=-1), "", 'titan_ap'!J24/'titan_no_ap'!J24)</f>
        <v/>
      </c>
      <c r="H46">
        <f>IF(OR('titan_ap'!H24=-1, 'titan_no_ap'!H24=-1), "", 'titan_ap'!K24/'titan_no_ap'!K24)</f>
        <v/>
      </c>
      <c r="I46">
        <f>IF(OR('titan_ap'!H24=-1, 'titan_no_ap'!H24=-1), "", 'titan_ap'!L24/'titan_no_ap'!L24)</f>
        <v/>
      </c>
      <c r="J46">
        <f>IF(OR('titan_ap'!H24=-1, 'titan_no_ap'!H24=-1), "", 'titan_ap'!AC24/'titan_no_ap'!AC24)</f>
        <v/>
      </c>
      <c r="K46">
        <f>IF(OR('titan_ap'!H24=-1, 'titan_no_ap'!H24=-1), "", 'titan_ap'!AD24/'titan_no_ap'!AD24)</f>
        <v/>
      </c>
    </row>
    <row r="47">
      <c r="A47" t="inlineStr">
        <is>
          <t>titan</t>
        </is>
      </c>
      <c r="B47" t="inlineStr"/>
      <c r="C47" t="inlineStr">
        <is>
          <t>GEOMEAN</t>
        </is>
      </c>
      <c r="D47">
        <f>GEOMEAN(D24:D46)</f>
        <v/>
      </c>
      <c r="E47">
        <f>GEOMEAN(E24:E46)</f>
        <v/>
      </c>
      <c r="F47">
        <f>GEOMEAN(F24:F46)</f>
        <v/>
      </c>
      <c r="G47">
        <f>GEOMEAN(G24:G46)</f>
        <v/>
      </c>
      <c r="H47">
        <f>GEOMEAN(H24:H46)</f>
        <v/>
      </c>
      <c r="I47">
        <f>GEOMEAN(I24:I46)</f>
        <v/>
      </c>
      <c r="J47">
        <f>GEOMEAN(J24:J46)</f>
        <v/>
      </c>
      <c r="K47">
        <f>GEOMEAN(K24:K46)</f>
        <v/>
      </c>
    </row>
    <row r="48">
      <c r="A48" t="inlineStr">
        <is>
          <t>titan</t>
        </is>
      </c>
      <c r="B48" t="inlineStr"/>
      <c r="C48" t="inlineStr">
        <is>
          <t>UNROUTES</t>
        </is>
      </c>
      <c r="D48">
        <f>23 - COUNT(F24:F46)</f>
        <v/>
      </c>
    </row>
    <row r="49">
      <c r="A49" t="inlineStr"/>
    </row>
    <row r="50">
      <c r="A50" t="inlineStr">
        <is>
          <t>koios</t>
        </is>
      </c>
      <c r="B50" t="inlineStr">
        <is>
          <t>k6FracN10LB_mem20K_complexDSP_customSB_22nm.xml</t>
        </is>
      </c>
      <c r="C50" t="inlineStr">
        <is>
          <t>attention_layer.blif</t>
        </is>
      </c>
      <c r="D50">
        <f>IF(OR('koios_ap'!H2=-1, 'koios_no_ap'!H2=-1), "", 'koios_ap'!F2/'koios_no_ap'!F2)</f>
        <v/>
      </c>
      <c r="E50">
        <f>IF(OR('koios_ap'!H2=-1, 'koios_no_ap'!H2=-1), "", 'koios_ap'!G2/'koios_no_ap'!G2)</f>
        <v/>
      </c>
      <c r="F50">
        <f>IF(OR('koios_ap'!H2=-1, 'koios_no_ap'!H2=-1), "", 'koios_ap'!H2/'koios_no_ap'!H2)</f>
        <v/>
      </c>
      <c r="G50">
        <f>IF(OR('koios_ap'!H2=-1, 'koios_no_ap'!H2=-1), "", 'koios_ap'!J2/'koios_no_ap'!J2)</f>
        <v/>
      </c>
      <c r="H50">
        <f>IF(OR('koios_ap'!H2=-1, 'koios_no_ap'!H2=-1), "", 'koios_ap'!K2/'koios_no_ap'!K2)</f>
        <v/>
      </c>
      <c r="I50">
        <f>IF(OR('koios_ap'!H2=-1, 'koios_no_ap'!H2=-1), "", 'koios_ap'!L2/'koios_no_ap'!L2)</f>
        <v/>
      </c>
      <c r="J50">
        <f>IF(OR('koios_ap'!H2=-1, 'koios_no_ap'!H2=-1), "", 'koios_ap'!AC2/'koios_no_ap'!AC2)</f>
        <v/>
      </c>
      <c r="K50">
        <f>IF(OR('koios_ap'!H2=-1, 'koios_no_ap'!H2=-1), "", 'koios_ap'!AD2/'koios_no_ap'!AD2)</f>
        <v/>
      </c>
    </row>
    <row r="51">
      <c r="A51" t="inlineStr">
        <is>
          <t>koios</t>
        </is>
      </c>
      <c r="B51" t="inlineStr">
        <is>
          <t>k6FracN10LB_mem20K_complexDSP_customSB_22nm.xml</t>
        </is>
      </c>
      <c r="C51" t="inlineStr">
        <is>
          <t>bnn.blif</t>
        </is>
      </c>
      <c r="D51">
        <f>IF(OR('koios_ap'!H3=-1, 'koios_no_ap'!H3=-1), "", 'koios_ap'!F3/'koios_no_ap'!F3)</f>
        <v/>
      </c>
      <c r="E51">
        <f>IF(OR('koios_ap'!H3=-1, 'koios_no_ap'!H3=-1), "", 'koios_ap'!G3/'koios_no_ap'!G3)</f>
        <v/>
      </c>
      <c r="F51">
        <f>IF(OR('koios_ap'!H3=-1, 'koios_no_ap'!H3=-1), "", 'koios_ap'!H3/'koios_no_ap'!H3)</f>
        <v/>
      </c>
      <c r="G51">
        <f>IF(OR('koios_ap'!H3=-1, 'koios_no_ap'!H3=-1), "", 'koios_ap'!J3/'koios_no_ap'!J3)</f>
        <v/>
      </c>
      <c r="H51">
        <f>IF(OR('koios_ap'!H3=-1, 'koios_no_ap'!H3=-1), "", 'koios_ap'!K3/'koios_no_ap'!K3)</f>
        <v/>
      </c>
      <c r="I51">
        <f>IF(OR('koios_ap'!H3=-1, 'koios_no_ap'!H3=-1), "", 'koios_ap'!L3/'koios_no_ap'!L3)</f>
        <v/>
      </c>
      <c r="J51">
        <f>IF(OR('koios_ap'!H3=-1, 'koios_no_ap'!H3=-1), "", 'koios_ap'!AC3/'koios_no_ap'!AC3)</f>
        <v/>
      </c>
      <c r="K51">
        <f>IF(OR('koios_ap'!H3=-1, 'koios_no_ap'!H3=-1), "", 'koios_ap'!AD3/'koios_no_ap'!AD3)</f>
        <v/>
      </c>
    </row>
    <row r="52">
      <c r="A52" t="inlineStr">
        <is>
          <t>koios</t>
        </is>
      </c>
      <c r="B52" t="inlineStr">
        <is>
          <t>k6FracN10LB_mem20K_complexDSP_customSB_22nm.xml</t>
        </is>
      </c>
      <c r="C52" t="inlineStr">
        <is>
          <t>bwave_like.fixed.large.blif</t>
        </is>
      </c>
      <c r="D52">
        <f>IF(OR('koios_ap'!H4=-1, 'koios_no_ap'!H4=-1), "", 'koios_ap'!F4/'koios_no_ap'!F4)</f>
        <v/>
      </c>
      <c r="E52">
        <f>IF(OR('koios_ap'!H4=-1, 'koios_no_ap'!H4=-1), "", 'koios_ap'!G4/'koios_no_ap'!G4)</f>
        <v/>
      </c>
      <c r="F52">
        <f>IF(OR('koios_ap'!H4=-1, 'koios_no_ap'!H4=-1), "", 'koios_ap'!H4/'koios_no_ap'!H4)</f>
        <v/>
      </c>
      <c r="G52">
        <f>IF(OR('koios_ap'!H4=-1, 'koios_no_ap'!H4=-1), "", 'koios_ap'!J4/'koios_no_ap'!J4)</f>
        <v/>
      </c>
      <c r="H52">
        <f>IF(OR('koios_ap'!H4=-1, 'koios_no_ap'!H4=-1), "", 'koios_ap'!K4/'koios_no_ap'!K4)</f>
        <v/>
      </c>
      <c r="I52">
        <f>IF(OR('koios_ap'!H4=-1, 'koios_no_ap'!H4=-1), "", 'koios_ap'!L4/'koios_no_ap'!L4)</f>
        <v/>
      </c>
      <c r="J52">
        <f>IF(OR('koios_ap'!H4=-1, 'koios_no_ap'!H4=-1), "", 'koios_ap'!AC4/'koios_no_ap'!AC4)</f>
        <v/>
      </c>
      <c r="K52">
        <f>IF(OR('koios_ap'!H4=-1, 'koios_no_ap'!H4=-1), "", 'koios_ap'!AD4/'koios_no_ap'!AD4)</f>
        <v/>
      </c>
    </row>
    <row r="53">
      <c r="A53" t="inlineStr">
        <is>
          <t>koios</t>
        </is>
      </c>
      <c r="B53" t="inlineStr">
        <is>
          <t>k6FracN10LB_mem20K_complexDSP_customSB_22nm.xml</t>
        </is>
      </c>
      <c r="C53" t="inlineStr">
        <is>
          <t>bwave_like.fixed.small.blif</t>
        </is>
      </c>
      <c r="D53">
        <f>IF(OR('koios_ap'!H5=-1, 'koios_no_ap'!H5=-1), "", 'koios_ap'!F5/'koios_no_ap'!F5)</f>
        <v/>
      </c>
      <c r="E53">
        <f>IF(OR('koios_ap'!H5=-1, 'koios_no_ap'!H5=-1), "", 'koios_ap'!G5/'koios_no_ap'!G5)</f>
        <v/>
      </c>
      <c r="F53">
        <f>IF(OR('koios_ap'!H5=-1, 'koios_no_ap'!H5=-1), "", 'koios_ap'!H5/'koios_no_ap'!H5)</f>
        <v/>
      </c>
      <c r="G53">
        <f>IF(OR('koios_ap'!H5=-1, 'koios_no_ap'!H5=-1), "", 'koios_ap'!J5/'koios_no_ap'!J5)</f>
        <v/>
      </c>
      <c r="H53">
        <f>IF(OR('koios_ap'!H5=-1, 'koios_no_ap'!H5=-1), "", 'koios_ap'!K5/'koios_no_ap'!K5)</f>
        <v/>
      </c>
      <c r="I53">
        <f>IF(OR('koios_ap'!H5=-1, 'koios_no_ap'!H5=-1), "", 'koios_ap'!L5/'koios_no_ap'!L5)</f>
        <v/>
      </c>
      <c r="J53">
        <f>IF(OR('koios_ap'!H5=-1, 'koios_no_ap'!H5=-1), "", 'koios_ap'!AC5/'koios_no_ap'!AC5)</f>
        <v/>
      </c>
      <c r="K53">
        <f>IF(OR('koios_ap'!H5=-1, 'koios_no_ap'!H5=-1), "", 'koios_ap'!AD5/'koios_no_ap'!AD5)</f>
        <v/>
      </c>
    </row>
    <row r="54">
      <c r="A54" t="inlineStr">
        <is>
          <t>koios</t>
        </is>
      </c>
      <c r="B54" t="inlineStr">
        <is>
          <t>k6FracN10LB_mem20K_complexDSP_customSB_22nm.xml</t>
        </is>
      </c>
      <c r="C54" t="inlineStr">
        <is>
          <t>bwave_like.float.large.blif</t>
        </is>
      </c>
      <c r="D54">
        <f>IF(OR('koios_ap'!H6=-1, 'koios_no_ap'!H6=-1), "", 'koios_ap'!F6/'koios_no_ap'!F6)</f>
        <v/>
      </c>
      <c r="E54">
        <f>IF(OR('koios_ap'!H6=-1, 'koios_no_ap'!H6=-1), "", 'koios_ap'!G6/'koios_no_ap'!G6)</f>
        <v/>
      </c>
      <c r="F54">
        <f>IF(OR('koios_ap'!H6=-1, 'koios_no_ap'!H6=-1), "", 'koios_ap'!H6/'koios_no_ap'!H6)</f>
        <v/>
      </c>
      <c r="G54">
        <f>IF(OR('koios_ap'!H6=-1, 'koios_no_ap'!H6=-1), "", 'koios_ap'!J6/'koios_no_ap'!J6)</f>
        <v/>
      </c>
      <c r="H54">
        <f>IF(OR('koios_ap'!H6=-1, 'koios_no_ap'!H6=-1), "", 'koios_ap'!K6/'koios_no_ap'!K6)</f>
        <v/>
      </c>
      <c r="I54">
        <f>IF(OR('koios_ap'!H6=-1, 'koios_no_ap'!H6=-1), "", 'koios_ap'!L6/'koios_no_ap'!L6)</f>
        <v/>
      </c>
      <c r="J54">
        <f>IF(OR('koios_ap'!H6=-1, 'koios_no_ap'!H6=-1), "", 'koios_ap'!AC6/'koios_no_ap'!AC6)</f>
        <v/>
      </c>
      <c r="K54">
        <f>IF(OR('koios_ap'!H6=-1, 'koios_no_ap'!H6=-1), "", 'koios_ap'!AD6/'koios_no_ap'!AD6)</f>
        <v/>
      </c>
    </row>
    <row r="55">
      <c r="A55" t="inlineStr">
        <is>
          <t>koios</t>
        </is>
      </c>
      <c r="B55" t="inlineStr">
        <is>
          <t>k6FracN10LB_mem20K_complexDSP_customSB_22nm.xml</t>
        </is>
      </c>
      <c r="C55" t="inlineStr">
        <is>
          <t>bwave_like.float.small.blif</t>
        </is>
      </c>
      <c r="D55">
        <f>IF(OR('koios_ap'!H7=-1, 'koios_no_ap'!H7=-1), "", 'koios_ap'!F7/'koios_no_ap'!F7)</f>
        <v/>
      </c>
      <c r="E55">
        <f>IF(OR('koios_ap'!H7=-1, 'koios_no_ap'!H7=-1), "", 'koios_ap'!G7/'koios_no_ap'!G7)</f>
        <v/>
      </c>
      <c r="F55">
        <f>IF(OR('koios_ap'!H7=-1, 'koios_no_ap'!H7=-1), "", 'koios_ap'!H7/'koios_no_ap'!H7)</f>
        <v/>
      </c>
      <c r="G55">
        <f>IF(OR('koios_ap'!H7=-1, 'koios_no_ap'!H7=-1), "", 'koios_ap'!J7/'koios_no_ap'!J7)</f>
        <v/>
      </c>
      <c r="H55">
        <f>IF(OR('koios_ap'!H7=-1, 'koios_no_ap'!H7=-1), "", 'koios_ap'!K7/'koios_no_ap'!K7)</f>
        <v/>
      </c>
      <c r="I55">
        <f>IF(OR('koios_ap'!H7=-1, 'koios_no_ap'!H7=-1), "", 'koios_ap'!L7/'koios_no_ap'!L7)</f>
        <v/>
      </c>
      <c r="J55">
        <f>IF(OR('koios_ap'!H7=-1, 'koios_no_ap'!H7=-1), "", 'koios_ap'!AC7/'koios_no_ap'!AC7)</f>
        <v/>
      </c>
      <c r="K55">
        <f>IF(OR('koios_ap'!H7=-1, 'koios_no_ap'!H7=-1), "", 'koios_ap'!AD7/'koios_no_ap'!AD7)</f>
        <v/>
      </c>
    </row>
    <row r="56">
      <c r="A56" t="inlineStr">
        <is>
          <t>koios</t>
        </is>
      </c>
      <c r="B56" t="inlineStr">
        <is>
          <t>k6FracN10LB_mem20K_complexDSP_customSB_22nm.xml</t>
        </is>
      </c>
      <c r="C56" t="inlineStr">
        <is>
          <t>clstm_like.large.blif</t>
        </is>
      </c>
      <c r="D56">
        <f>IF(OR('koios_ap'!H8=-1, 'koios_no_ap'!H8=-1), "", 'koios_ap'!F8/'koios_no_ap'!F8)</f>
        <v/>
      </c>
      <c r="E56">
        <f>IF(OR('koios_ap'!H8=-1, 'koios_no_ap'!H8=-1), "", 'koios_ap'!G8/'koios_no_ap'!G8)</f>
        <v/>
      </c>
      <c r="F56">
        <f>IF(OR('koios_ap'!H8=-1, 'koios_no_ap'!H8=-1), "", 'koios_ap'!H8/'koios_no_ap'!H8)</f>
        <v/>
      </c>
      <c r="G56">
        <f>IF(OR('koios_ap'!H8=-1, 'koios_no_ap'!H8=-1), "", 'koios_ap'!J8/'koios_no_ap'!J8)</f>
        <v/>
      </c>
      <c r="H56">
        <f>IF(OR('koios_ap'!H8=-1, 'koios_no_ap'!H8=-1), "", 'koios_ap'!K8/'koios_no_ap'!K8)</f>
        <v/>
      </c>
      <c r="I56">
        <f>IF(OR('koios_ap'!H8=-1, 'koios_no_ap'!H8=-1), "", 'koios_ap'!L8/'koios_no_ap'!L8)</f>
        <v/>
      </c>
      <c r="J56">
        <f>IF(OR('koios_ap'!H8=-1, 'koios_no_ap'!H8=-1), "", 'koios_ap'!AC8/'koios_no_ap'!AC8)</f>
        <v/>
      </c>
      <c r="K56">
        <f>IF(OR('koios_ap'!H8=-1, 'koios_no_ap'!H8=-1), "", 'koios_ap'!AD8/'koios_no_ap'!AD8)</f>
        <v/>
      </c>
    </row>
    <row r="57">
      <c r="A57" t="inlineStr">
        <is>
          <t>koios</t>
        </is>
      </c>
      <c r="B57" t="inlineStr">
        <is>
          <t>k6FracN10LB_mem20K_complexDSP_customSB_22nm.xml</t>
        </is>
      </c>
      <c r="C57" t="inlineStr">
        <is>
          <t>clstm_like.medium.blif</t>
        </is>
      </c>
      <c r="D57">
        <f>IF(OR('koios_ap'!H9=-1, 'koios_no_ap'!H9=-1), "", 'koios_ap'!F9/'koios_no_ap'!F9)</f>
        <v/>
      </c>
      <c r="E57">
        <f>IF(OR('koios_ap'!H9=-1, 'koios_no_ap'!H9=-1), "", 'koios_ap'!G9/'koios_no_ap'!G9)</f>
        <v/>
      </c>
      <c r="F57">
        <f>IF(OR('koios_ap'!H9=-1, 'koios_no_ap'!H9=-1), "", 'koios_ap'!H9/'koios_no_ap'!H9)</f>
        <v/>
      </c>
      <c r="G57">
        <f>IF(OR('koios_ap'!H9=-1, 'koios_no_ap'!H9=-1), "", 'koios_ap'!J9/'koios_no_ap'!J9)</f>
        <v/>
      </c>
      <c r="H57">
        <f>IF(OR('koios_ap'!H9=-1, 'koios_no_ap'!H9=-1), "", 'koios_ap'!K9/'koios_no_ap'!K9)</f>
        <v/>
      </c>
      <c r="I57">
        <f>IF(OR('koios_ap'!H9=-1, 'koios_no_ap'!H9=-1), "", 'koios_ap'!L9/'koios_no_ap'!L9)</f>
        <v/>
      </c>
      <c r="J57">
        <f>IF(OR('koios_ap'!H9=-1, 'koios_no_ap'!H9=-1), "", 'koios_ap'!AC9/'koios_no_ap'!AC9)</f>
        <v/>
      </c>
      <c r="K57">
        <f>IF(OR('koios_ap'!H9=-1, 'koios_no_ap'!H9=-1), "", 'koios_ap'!AD9/'koios_no_ap'!AD9)</f>
        <v/>
      </c>
    </row>
    <row r="58">
      <c r="A58" t="inlineStr">
        <is>
          <t>koios</t>
        </is>
      </c>
      <c r="B58" t="inlineStr">
        <is>
          <t>k6FracN10LB_mem20K_complexDSP_customSB_22nm.xml</t>
        </is>
      </c>
      <c r="C58" t="inlineStr">
        <is>
          <t>clstm_like.small.blif</t>
        </is>
      </c>
      <c r="D58">
        <f>IF(OR('koios_ap'!H10=-1, 'koios_no_ap'!H10=-1), "", 'koios_ap'!F10/'koios_no_ap'!F10)</f>
        <v/>
      </c>
      <c r="E58">
        <f>IF(OR('koios_ap'!H10=-1, 'koios_no_ap'!H10=-1), "", 'koios_ap'!G10/'koios_no_ap'!G10)</f>
        <v/>
      </c>
      <c r="F58">
        <f>IF(OR('koios_ap'!H10=-1, 'koios_no_ap'!H10=-1), "", 'koios_ap'!H10/'koios_no_ap'!H10)</f>
        <v/>
      </c>
      <c r="G58">
        <f>IF(OR('koios_ap'!H10=-1, 'koios_no_ap'!H10=-1), "", 'koios_ap'!J10/'koios_no_ap'!J10)</f>
        <v/>
      </c>
      <c r="H58">
        <f>IF(OR('koios_ap'!H10=-1, 'koios_no_ap'!H10=-1), "", 'koios_ap'!K10/'koios_no_ap'!K10)</f>
        <v/>
      </c>
      <c r="I58">
        <f>IF(OR('koios_ap'!H10=-1, 'koios_no_ap'!H10=-1), "", 'koios_ap'!L10/'koios_no_ap'!L10)</f>
        <v/>
      </c>
      <c r="J58">
        <f>IF(OR('koios_ap'!H10=-1, 'koios_no_ap'!H10=-1), "", 'koios_ap'!AC10/'koios_no_ap'!AC10)</f>
        <v/>
      </c>
      <c r="K58">
        <f>IF(OR('koios_ap'!H10=-1, 'koios_no_ap'!H10=-1), "", 'koios_ap'!AD10/'koios_no_ap'!AD10)</f>
        <v/>
      </c>
    </row>
    <row r="59">
      <c r="A59" t="inlineStr">
        <is>
          <t>koios</t>
        </is>
      </c>
      <c r="B59" t="inlineStr">
        <is>
          <t>k6FracN10LB_mem20K_complexDSP_customSB_22nm.xml</t>
        </is>
      </c>
      <c r="C59" t="inlineStr">
        <is>
          <t>conv_layer.blif</t>
        </is>
      </c>
      <c r="D59">
        <f>IF(OR('koios_ap'!H11=-1, 'koios_no_ap'!H11=-1), "", 'koios_ap'!F11/'koios_no_ap'!F11)</f>
        <v/>
      </c>
      <c r="E59">
        <f>IF(OR('koios_ap'!H11=-1, 'koios_no_ap'!H11=-1), "", 'koios_ap'!G11/'koios_no_ap'!G11)</f>
        <v/>
      </c>
      <c r="F59">
        <f>IF(OR('koios_ap'!H11=-1, 'koios_no_ap'!H11=-1), "", 'koios_ap'!H11/'koios_no_ap'!H11)</f>
        <v/>
      </c>
      <c r="G59">
        <f>IF(OR('koios_ap'!H11=-1, 'koios_no_ap'!H11=-1), "", 'koios_ap'!J11/'koios_no_ap'!J11)</f>
        <v/>
      </c>
      <c r="H59">
        <f>IF(OR('koios_ap'!H11=-1, 'koios_no_ap'!H11=-1), "", 'koios_ap'!K11/'koios_no_ap'!K11)</f>
        <v/>
      </c>
      <c r="I59">
        <f>IF(OR('koios_ap'!H11=-1, 'koios_no_ap'!H11=-1), "", 'koios_ap'!L11/'koios_no_ap'!L11)</f>
        <v/>
      </c>
      <c r="J59">
        <f>IF(OR('koios_ap'!H11=-1, 'koios_no_ap'!H11=-1), "", 'koios_ap'!AC11/'koios_no_ap'!AC11)</f>
        <v/>
      </c>
      <c r="K59">
        <f>IF(OR('koios_ap'!H11=-1, 'koios_no_ap'!H11=-1), "", 'koios_ap'!AD11/'koios_no_ap'!AD11)</f>
        <v/>
      </c>
    </row>
    <row r="60">
      <c r="A60" t="inlineStr">
        <is>
          <t>koios</t>
        </is>
      </c>
      <c r="B60" t="inlineStr">
        <is>
          <t>k6FracN10LB_mem20K_complexDSP_customSB_22nm.xml</t>
        </is>
      </c>
      <c r="C60" t="inlineStr">
        <is>
          <t>conv_layer_hls.blif</t>
        </is>
      </c>
      <c r="D60">
        <f>IF(OR('koios_ap'!H12=-1, 'koios_no_ap'!H12=-1), "", 'koios_ap'!F12/'koios_no_ap'!F12)</f>
        <v/>
      </c>
      <c r="E60">
        <f>IF(OR('koios_ap'!H12=-1, 'koios_no_ap'!H12=-1), "", 'koios_ap'!G12/'koios_no_ap'!G12)</f>
        <v/>
      </c>
      <c r="F60">
        <f>IF(OR('koios_ap'!H12=-1, 'koios_no_ap'!H12=-1), "", 'koios_ap'!H12/'koios_no_ap'!H12)</f>
        <v/>
      </c>
      <c r="G60">
        <f>IF(OR('koios_ap'!H12=-1, 'koios_no_ap'!H12=-1), "", 'koios_ap'!J12/'koios_no_ap'!J12)</f>
        <v/>
      </c>
      <c r="H60">
        <f>IF(OR('koios_ap'!H12=-1, 'koios_no_ap'!H12=-1), "", 'koios_ap'!K12/'koios_no_ap'!K12)</f>
        <v/>
      </c>
      <c r="I60">
        <f>IF(OR('koios_ap'!H12=-1, 'koios_no_ap'!H12=-1), "", 'koios_ap'!L12/'koios_no_ap'!L12)</f>
        <v/>
      </c>
      <c r="J60">
        <f>IF(OR('koios_ap'!H12=-1, 'koios_no_ap'!H12=-1), "", 'koios_ap'!AC12/'koios_no_ap'!AC12)</f>
        <v/>
      </c>
      <c r="K60">
        <f>IF(OR('koios_ap'!H12=-1, 'koios_no_ap'!H12=-1), "", 'koios_ap'!AD12/'koios_no_ap'!AD12)</f>
        <v/>
      </c>
    </row>
    <row r="61">
      <c r="A61" t="inlineStr">
        <is>
          <t>koios</t>
        </is>
      </c>
      <c r="B61" t="inlineStr">
        <is>
          <t>k6FracN10LB_mem20K_complexDSP_customSB_22nm.xml</t>
        </is>
      </c>
      <c r="C61" t="inlineStr">
        <is>
          <t>dla_like.large.blif</t>
        </is>
      </c>
      <c r="D61">
        <f>IF(OR('koios_ap'!H13=-1, 'koios_no_ap'!H13=-1), "", 'koios_ap'!F13/'koios_no_ap'!F13)</f>
        <v/>
      </c>
      <c r="E61">
        <f>IF(OR('koios_ap'!H13=-1, 'koios_no_ap'!H13=-1), "", 'koios_ap'!G13/'koios_no_ap'!G13)</f>
        <v/>
      </c>
      <c r="F61">
        <f>IF(OR('koios_ap'!H13=-1, 'koios_no_ap'!H13=-1), "", 'koios_ap'!H13/'koios_no_ap'!H13)</f>
        <v/>
      </c>
      <c r="G61">
        <f>IF(OR('koios_ap'!H13=-1, 'koios_no_ap'!H13=-1), "", 'koios_ap'!J13/'koios_no_ap'!J13)</f>
        <v/>
      </c>
      <c r="H61">
        <f>IF(OR('koios_ap'!H13=-1, 'koios_no_ap'!H13=-1), "", 'koios_ap'!K13/'koios_no_ap'!K13)</f>
        <v/>
      </c>
      <c r="I61">
        <f>IF(OR('koios_ap'!H13=-1, 'koios_no_ap'!H13=-1), "", 'koios_ap'!L13/'koios_no_ap'!L13)</f>
        <v/>
      </c>
      <c r="J61">
        <f>IF(OR('koios_ap'!H13=-1, 'koios_no_ap'!H13=-1), "", 'koios_ap'!AC13/'koios_no_ap'!AC13)</f>
        <v/>
      </c>
      <c r="K61">
        <f>IF(OR('koios_ap'!H13=-1, 'koios_no_ap'!H13=-1), "", 'koios_ap'!AD13/'koios_no_ap'!AD13)</f>
        <v/>
      </c>
    </row>
    <row r="62">
      <c r="A62" t="inlineStr">
        <is>
          <t>koios</t>
        </is>
      </c>
      <c r="B62" t="inlineStr">
        <is>
          <t>k6FracN10LB_mem20K_complexDSP_customSB_22nm.xml</t>
        </is>
      </c>
      <c r="C62" t="inlineStr">
        <is>
          <t>dla_like.medium.blif</t>
        </is>
      </c>
      <c r="D62">
        <f>IF(OR('koios_ap'!H14=-1, 'koios_no_ap'!H14=-1), "", 'koios_ap'!F14/'koios_no_ap'!F14)</f>
        <v/>
      </c>
      <c r="E62">
        <f>IF(OR('koios_ap'!H14=-1, 'koios_no_ap'!H14=-1), "", 'koios_ap'!G14/'koios_no_ap'!G14)</f>
        <v/>
      </c>
      <c r="F62">
        <f>IF(OR('koios_ap'!H14=-1, 'koios_no_ap'!H14=-1), "", 'koios_ap'!H14/'koios_no_ap'!H14)</f>
        <v/>
      </c>
      <c r="G62">
        <f>IF(OR('koios_ap'!H14=-1, 'koios_no_ap'!H14=-1), "", 'koios_ap'!J14/'koios_no_ap'!J14)</f>
        <v/>
      </c>
      <c r="H62">
        <f>IF(OR('koios_ap'!H14=-1, 'koios_no_ap'!H14=-1), "", 'koios_ap'!K14/'koios_no_ap'!K14)</f>
        <v/>
      </c>
      <c r="I62">
        <f>IF(OR('koios_ap'!H14=-1, 'koios_no_ap'!H14=-1), "", 'koios_ap'!L14/'koios_no_ap'!L14)</f>
        <v/>
      </c>
      <c r="J62">
        <f>IF(OR('koios_ap'!H14=-1, 'koios_no_ap'!H14=-1), "", 'koios_ap'!AC14/'koios_no_ap'!AC14)</f>
        <v/>
      </c>
      <c r="K62">
        <f>IF(OR('koios_ap'!H14=-1, 'koios_no_ap'!H14=-1), "", 'koios_ap'!AD14/'koios_no_ap'!AD14)</f>
        <v/>
      </c>
    </row>
    <row r="63">
      <c r="A63" t="inlineStr">
        <is>
          <t>koios</t>
        </is>
      </c>
      <c r="B63" t="inlineStr">
        <is>
          <t>k6FracN10LB_mem20K_complexDSP_customSB_22nm.xml</t>
        </is>
      </c>
      <c r="C63" t="inlineStr">
        <is>
          <t>dla_like.small.blif</t>
        </is>
      </c>
      <c r="D63">
        <f>IF(OR('koios_ap'!H15=-1, 'koios_no_ap'!H15=-1), "", 'koios_ap'!F15/'koios_no_ap'!F15)</f>
        <v/>
      </c>
      <c r="E63">
        <f>IF(OR('koios_ap'!H15=-1, 'koios_no_ap'!H15=-1), "", 'koios_ap'!G15/'koios_no_ap'!G15)</f>
        <v/>
      </c>
      <c r="F63">
        <f>IF(OR('koios_ap'!H15=-1, 'koios_no_ap'!H15=-1), "", 'koios_ap'!H15/'koios_no_ap'!H15)</f>
        <v/>
      </c>
      <c r="G63">
        <f>IF(OR('koios_ap'!H15=-1, 'koios_no_ap'!H15=-1), "", 'koios_ap'!J15/'koios_no_ap'!J15)</f>
        <v/>
      </c>
      <c r="H63">
        <f>IF(OR('koios_ap'!H15=-1, 'koios_no_ap'!H15=-1), "", 'koios_ap'!K15/'koios_no_ap'!K15)</f>
        <v/>
      </c>
      <c r="I63">
        <f>IF(OR('koios_ap'!H15=-1, 'koios_no_ap'!H15=-1), "", 'koios_ap'!L15/'koios_no_ap'!L15)</f>
        <v/>
      </c>
      <c r="J63">
        <f>IF(OR('koios_ap'!H15=-1, 'koios_no_ap'!H15=-1), "", 'koios_ap'!AC15/'koios_no_ap'!AC15)</f>
        <v/>
      </c>
      <c r="K63">
        <f>IF(OR('koios_ap'!H15=-1, 'koios_no_ap'!H15=-1), "", 'koios_ap'!AD15/'koios_no_ap'!AD15)</f>
        <v/>
      </c>
    </row>
    <row r="64">
      <c r="A64" t="inlineStr">
        <is>
          <t>koios</t>
        </is>
      </c>
      <c r="B64" t="inlineStr">
        <is>
          <t>k6FracN10LB_mem20K_complexDSP_customSB_22nm.xml</t>
        </is>
      </c>
      <c r="C64" t="inlineStr">
        <is>
          <t>dnnweaver.blif</t>
        </is>
      </c>
      <c r="D64">
        <f>IF(OR('koios_ap'!H16=-1, 'koios_no_ap'!H16=-1), "", 'koios_ap'!F16/'koios_no_ap'!F16)</f>
        <v/>
      </c>
      <c r="E64">
        <f>IF(OR('koios_ap'!H16=-1, 'koios_no_ap'!H16=-1), "", 'koios_ap'!G16/'koios_no_ap'!G16)</f>
        <v/>
      </c>
      <c r="F64">
        <f>IF(OR('koios_ap'!H16=-1, 'koios_no_ap'!H16=-1), "", 'koios_ap'!H16/'koios_no_ap'!H16)</f>
        <v/>
      </c>
      <c r="G64">
        <f>IF(OR('koios_ap'!H16=-1, 'koios_no_ap'!H16=-1), "", 'koios_ap'!J16/'koios_no_ap'!J16)</f>
        <v/>
      </c>
      <c r="H64">
        <f>IF(OR('koios_ap'!H16=-1, 'koios_no_ap'!H16=-1), "", 'koios_ap'!K16/'koios_no_ap'!K16)</f>
        <v/>
      </c>
      <c r="I64">
        <f>IF(OR('koios_ap'!H16=-1, 'koios_no_ap'!H16=-1), "", 'koios_ap'!L16/'koios_no_ap'!L16)</f>
        <v/>
      </c>
      <c r="J64">
        <f>IF(OR('koios_ap'!H16=-1, 'koios_no_ap'!H16=-1), "", 'koios_ap'!AC16/'koios_no_ap'!AC16)</f>
        <v/>
      </c>
      <c r="K64">
        <f>IF(OR('koios_ap'!H16=-1, 'koios_no_ap'!H16=-1), "", 'koios_ap'!AD16/'koios_no_ap'!AD16)</f>
        <v/>
      </c>
    </row>
    <row r="65">
      <c r="A65" t="inlineStr">
        <is>
          <t>koios</t>
        </is>
      </c>
      <c r="B65" t="inlineStr">
        <is>
          <t>k6FracN10LB_mem20K_complexDSP_customSB_22nm.xml</t>
        </is>
      </c>
      <c r="C65" t="inlineStr">
        <is>
          <t>eltwise_layer.blif</t>
        </is>
      </c>
      <c r="D65">
        <f>IF(OR('koios_ap'!H17=-1, 'koios_no_ap'!H17=-1), "", 'koios_ap'!F17/'koios_no_ap'!F17)</f>
        <v/>
      </c>
      <c r="E65">
        <f>IF(OR('koios_ap'!H17=-1, 'koios_no_ap'!H17=-1), "", 'koios_ap'!G17/'koios_no_ap'!G17)</f>
        <v/>
      </c>
      <c r="F65">
        <f>IF(OR('koios_ap'!H17=-1, 'koios_no_ap'!H17=-1), "", 'koios_ap'!H17/'koios_no_ap'!H17)</f>
        <v/>
      </c>
      <c r="G65">
        <f>IF(OR('koios_ap'!H17=-1, 'koios_no_ap'!H17=-1), "", 'koios_ap'!J17/'koios_no_ap'!J17)</f>
        <v/>
      </c>
      <c r="H65">
        <f>IF(OR('koios_ap'!H17=-1, 'koios_no_ap'!H17=-1), "", 'koios_ap'!K17/'koios_no_ap'!K17)</f>
        <v/>
      </c>
      <c r="I65">
        <f>IF(OR('koios_ap'!H17=-1, 'koios_no_ap'!H17=-1), "", 'koios_ap'!L17/'koios_no_ap'!L17)</f>
        <v/>
      </c>
      <c r="J65">
        <f>IF(OR('koios_ap'!H17=-1, 'koios_no_ap'!H17=-1), "", 'koios_ap'!AC17/'koios_no_ap'!AC17)</f>
        <v/>
      </c>
      <c r="K65">
        <f>IF(OR('koios_ap'!H17=-1, 'koios_no_ap'!H17=-1), "", 'koios_ap'!AD17/'koios_no_ap'!AD17)</f>
        <v/>
      </c>
    </row>
    <row r="66">
      <c r="A66" t="inlineStr">
        <is>
          <t>koios</t>
        </is>
      </c>
      <c r="B66" t="inlineStr">
        <is>
          <t>k6FracN10LB_mem20K_complexDSP_customSB_22nm.xml</t>
        </is>
      </c>
      <c r="C66" t="inlineStr">
        <is>
          <t>gemm_layer.blif</t>
        </is>
      </c>
      <c r="D66">
        <f>IF(OR('koios_ap'!H18=-1, 'koios_no_ap'!H18=-1), "", 'koios_ap'!F18/'koios_no_ap'!F18)</f>
        <v/>
      </c>
      <c r="E66">
        <f>IF(OR('koios_ap'!H18=-1, 'koios_no_ap'!H18=-1), "", 'koios_ap'!G18/'koios_no_ap'!G18)</f>
        <v/>
      </c>
      <c r="F66">
        <f>IF(OR('koios_ap'!H18=-1, 'koios_no_ap'!H18=-1), "", 'koios_ap'!H18/'koios_no_ap'!H18)</f>
        <v/>
      </c>
      <c r="G66">
        <f>IF(OR('koios_ap'!H18=-1, 'koios_no_ap'!H18=-1), "", 'koios_ap'!J18/'koios_no_ap'!J18)</f>
        <v/>
      </c>
      <c r="H66">
        <f>IF(OR('koios_ap'!H18=-1, 'koios_no_ap'!H18=-1), "", 'koios_ap'!K18/'koios_no_ap'!K18)</f>
        <v/>
      </c>
      <c r="I66">
        <f>IF(OR('koios_ap'!H18=-1, 'koios_no_ap'!H18=-1), "", 'koios_ap'!L18/'koios_no_ap'!L18)</f>
        <v/>
      </c>
      <c r="J66">
        <f>IF(OR('koios_ap'!H18=-1, 'koios_no_ap'!H18=-1), "", 'koios_ap'!AC18/'koios_no_ap'!AC18)</f>
        <v/>
      </c>
      <c r="K66">
        <f>IF(OR('koios_ap'!H18=-1, 'koios_no_ap'!H18=-1), "", 'koios_ap'!AD18/'koios_no_ap'!AD18)</f>
        <v/>
      </c>
    </row>
    <row r="67">
      <c r="A67" t="inlineStr">
        <is>
          <t>koios</t>
        </is>
      </c>
      <c r="B67" t="inlineStr">
        <is>
          <t>k6FracN10LB_mem20K_complexDSP_customSB_22nm.xml</t>
        </is>
      </c>
      <c r="C67" t="inlineStr">
        <is>
          <t>lenet.blif</t>
        </is>
      </c>
      <c r="D67">
        <f>IF(OR('koios_ap'!H19=-1, 'koios_no_ap'!H19=-1), "", 'koios_ap'!F19/'koios_no_ap'!F19)</f>
        <v/>
      </c>
      <c r="E67">
        <f>IF(OR('koios_ap'!H19=-1, 'koios_no_ap'!H19=-1), "", 'koios_ap'!G19/'koios_no_ap'!G19)</f>
        <v/>
      </c>
      <c r="F67">
        <f>IF(OR('koios_ap'!H19=-1, 'koios_no_ap'!H19=-1), "", 'koios_ap'!H19/'koios_no_ap'!H19)</f>
        <v/>
      </c>
      <c r="G67">
        <f>IF(OR('koios_ap'!H19=-1, 'koios_no_ap'!H19=-1), "", 'koios_ap'!J19/'koios_no_ap'!J19)</f>
        <v/>
      </c>
      <c r="H67">
        <f>IF(OR('koios_ap'!H19=-1, 'koios_no_ap'!H19=-1), "", 'koios_ap'!K19/'koios_no_ap'!K19)</f>
        <v/>
      </c>
      <c r="I67">
        <f>IF(OR('koios_ap'!H19=-1, 'koios_no_ap'!H19=-1), "", 'koios_ap'!L19/'koios_no_ap'!L19)</f>
        <v/>
      </c>
      <c r="J67">
        <f>IF(OR('koios_ap'!H19=-1, 'koios_no_ap'!H19=-1), "", 'koios_ap'!AC19/'koios_no_ap'!AC19)</f>
        <v/>
      </c>
      <c r="K67">
        <f>IF(OR('koios_ap'!H19=-1, 'koios_no_ap'!H19=-1), "", 'koios_ap'!AD19/'koios_no_ap'!AD19)</f>
        <v/>
      </c>
    </row>
    <row r="68">
      <c r="A68" t="inlineStr">
        <is>
          <t>koios</t>
        </is>
      </c>
      <c r="B68" t="inlineStr">
        <is>
          <t>k6FracN10LB_mem20K_complexDSP_customSB_22nm.xml</t>
        </is>
      </c>
      <c r="C68" t="inlineStr">
        <is>
          <t>lstm.blif</t>
        </is>
      </c>
      <c r="D68">
        <f>IF(OR('koios_ap'!H20=-1, 'koios_no_ap'!H20=-1), "", 'koios_ap'!F20/'koios_no_ap'!F20)</f>
        <v/>
      </c>
      <c r="E68">
        <f>IF(OR('koios_ap'!H20=-1, 'koios_no_ap'!H20=-1), "", 'koios_ap'!G20/'koios_no_ap'!G20)</f>
        <v/>
      </c>
      <c r="F68">
        <f>IF(OR('koios_ap'!H20=-1, 'koios_no_ap'!H20=-1), "", 'koios_ap'!H20/'koios_no_ap'!H20)</f>
        <v/>
      </c>
      <c r="G68">
        <f>IF(OR('koios_ap'!H20=-1, 'koios_no_ap'!H20=-1), "", 'koios_ap'!J20/'koios_no_ap'!J20)</f>
        <v/>
      </c>
      <c r="H68">
        <f>IF(OR('koios_ap'!H20=-1, 'koios_no_ap'!H20=-1), "", 'koios_ap'!K20/'koios_no_ap'!K20)</f>
        <v/>
      </c>
      <c r="I68">
        <f>IF(OR('koios_ap'!H20=-1, 'koios_no_ap'!H20=-1), "", 'koios_ap'!L20/'koios_no_ap'!L20)</f>
        <v/>
      </c>
      <c r="J68">
        <f>IF(OR('koios_ap'!H20=-1, 'koios_no_ap'!H20=-1), "", 'koios_ap'!AC20/'koios_no_ap'!AC20)</f>
        <v/>
      </c>
      <c r="K68">
        <f>IF(OR('koios_ap'!H20=-1, 'koios_no_ap'!H20=-1), "", 'koios_ap'!AD20/'koios_no_ap'!AD20)</f>
        <v/>
      </c>
    </row>
    <row r="69">
      <c r="A69" t="inlineStr">
        <is>
          <t>koios</t>
        </is>
      </c>
      <c r="B69" t="inlineStr">
        <is>
          <t>k6FracN10LB_mem20K_complexDSP_customSB_22nm.xml</t>
        </is>
      </c>
      <c r="C69" t="inlineStr">
        <is>
          <t>reduction_layer.blif</t>
        </is>
      </c>
      <c r="D69">
        <f>IF(OR('koios_ap'!H21=-1, 'koios_no_ap'!H21=-1), "", 'koios_ap'!F21/'koios_no_ap'!F21)</f>
        <v/>
      </c>
      <c r="E69">
        <f>IF(OR('koios_ap'!H21=-1, 'koios_no_ap'!H21=-1), "", 'koios_ap'!G21/'koios_no_ap'!G21)</f>
        <v/>
      </c>
      <c r="F69">
        <f>IF(OR('koios_ap'!H21=-1, 'koios_no_ap'!H21=-1), "", 'koios_ap'!H21/'koios_no_ap'!H21)</f>
        <v/>
      </c>
      <c r="G69">
        <f>IF(OR('koios_ap'!H21=-1, 'koios_no_ap'!H21=-1), "", 'koios_ap'!J21/'koios_no_ap'!J21)</f>
        <v/>
      </c>
      <c r="H69">
        <f>IF(OR('koios_ap'!H21=-1, 'koios_no_ap'!H21=-1), "", 'koios_ap'!K21/'koios_no_ap'!K21)</f>
        <v/>
      </c>
      <c r="I69">
        <f>IF(OR('koios_ap'!H21=-1, 'koios_no_ap'!H21=-1), "", 'koios_ap'!L21/'koios_no_ap'!L21)</f>
        <v/>
      </c>
      <c r="J69">
        <f>IF(OR('koios_ap'!H21=-1, 'koios_no_ap'!H21=-1), "", 'koios_ap'!AC21/'koios_no_ap'!AC21)</f>
        <v/>
      </c>
      <c r="K69">
        <f>IF(OR('koios_ap'!H21=-1, 'koios_no_ap'!H21=-1), "", 'koios_ap'!AD21/'koios_no_ap'!AD21)</f>
        <v/>
      </c>
    </row>
    <row r="70">
      <c r="A70" t="inlineStr">
        <is>
          <t>koios</t>
        </is>
      </c>
      <c r="B70" t="inlineStr">
        <is>
          <t>k6FracN10LB_mem20K_complexDSP_customSB_22nm.xml</t>
        </is>
      </c>
      <c r="C70" t="inlineStr">
        <is>
          <t>robot_rl.blif</t>
        </is>
      </c>
      <c r="D70">
        <f>IF(OR('koios_ap'!H22=-1, 'koios_no_ap'!H22=-1), "", 'koios_ap'!F22/'koios_no_ap'!F22)</f>
        <v/>
      </c>
      <c r="E70">
        <f>IF(OR('koios_ap'!H22=-1, 'koios_no_ap'!H22=-1), "", 'koios_ap'!G22/'koios_no_ap'!G22)</f>
        <v/>
      </c>
      <c r="F70">
        <f>IF(OR('koios_ap'!H22=-1, 'koios_no_ap'!H22=-1), "", 'koios_ap'!H22/'koios_no_ap'!H22)</f>
        <v/>
      </c>
      <c r="G70">
        <f>IF(OR('koios_ap'!H22=-1, 'koios_no_ap'!H22=-1), "", 'koios_ap'!J22/'koios_no_ap'!J22)</f>
        <v/>
      </c>
      <c r="H70">
        <f>IF(OR('koios_ap'!H22=-1, 'koios_no_ap'!H22=-1), "", 'koios_ap'!K22/'koios_no_ap'!K22)</f>
        <v/>
      </c>
      <c r="I70">
        <f>IF(OR('koios_ap'!H22=-1, 'koios_no_ap'!H22=-1), "", 'koios_ap'!L22/'koios_no_ap'!L22)</f>
        <v/>
      </c>
      <c r="J70">
        <f>IF(OR('koios_ap'!H22=-1, 'koios_no_ap'!H22=-1), "", 'koios_ap'!AC22/'koios_no_ap'!AC22)</f>
        <v/>
      </c>
      <c r="K70">
        <f>IF(OR('koios_ap'!H22=-1, 'koios_no_ap'!H22=-1), "", 'koios_ap'!AD22/'koios_no_ap'!AD22)</f>
        <v/>
      </c>
    </row>
    <row r="71">
      <c r="A71" t="inlineStr">
        <is>
          <t>koios</t>
        </is>
      </c>
      <c r="B71" t="inlineStr">
        <is>
          <t>k6FracN10LB_mem20K_complexDSP_customSB_22nm.xml</t>
        </is>
      </c>
      <c r="C71" t="inlineStr">
        <is>
          <t>softmax.blif</t>
        </is>
      </c>
      <c r="D71">
        <f>IF(OR('koios_ap'!H23=-1, 'koios_no_ap'!H23=-1), "", 'koios_ap'!F23/'koios_no_ap'!F23)</f>
        <v/>
      </c>
      <c r="E71">
        <f>IF(OR('koios_ap'!H23=-1, 'koios_no_ap'!H23=-1), "", 'koios_ap'!G23/'koios_no_ap'!G23)</f>
        <v/>
      </c>
      <c r="F71">
        <f>IF(OR('koios_ap'!H23=-1, 'koios_no_ap'!H23=-1), "", 'koios_ap'!H23/'koios_no_ap'!H23)</f>
        <v/>
      </c>
      <c r="G71">
        <f>IF(OR('koios_ap'!H23=-1, 'koios_no_ap'!H23=-1), "", 'koios_ap'!J23/'koios_no_ap'!J23)</f>
        <v/>
      </c>
      <c r="H71">
        <f>IF(OR('koios_ap'!H23=-1, 'koios_no_ap'!H23=-1), "", 'koios_ap'!K23/'koios_no_ap'!K23)</f>
        <v/>
      </c>
      <c r="I71">
        <f>IF(OR('koios_ap'!H23=-1, 'koios_no_ap'!H23=-1), "", 'koios_ap'!L23/'koios_no_ap'!L23)</f>
        <v/>
      </c>
      <c r="J71">
        <f>IF(OR('koios_ap'!H23=-1, 'koios_no_ap'!H23=-1), "", 'koios_ap'!AC23/'koios_no_ap'!AC23)</f>
        <v/>
      </c>
      <c r="K71">
        <f>IF(OR('koios_ap'!H23=-1, 'koios_no_ap'!H23=-1), "", 'koios_ap'!AD23/'koios_no_ap'!AD23)</f>
        <v/>
      </c>
    </row>
    <row r="72">
      <c r="A72" t="inlineStr">
        <is>
          <t>koios</t>
        </is>
      </c>
      <c r="B72" t="inlineStr">
        <is>
          <t>k6FracN10LB_mem20K_complexDSP_customSB_22nm.xml</t>
        </is>
      </c>
      <c r="C72" t="inlineStr">
        <is>
          <t>spmv.blif</t>
        </is>
      </c>
      <c r="D72">
        <f>IF(OR('koios_ap'!H24=-1, 'koios_no_ap'!H24=-1), "", 'koios_ap'!F24/'koios_no_ap'!F24)</f>
        <v/>
      </c>
      <c r="E72">
        <f>IF(OR('koios_ap'!H24=-1, 'koios_no_ap'!H24=-1), "", 'koios_ap'!G24/'koios_no_ap'!G24)</f>
        <v/>
      </c>
      <c r="F72">
        <f>IF(OR('koios_ap'!H24=-1, 'koios_no_ap'!H24=-1), "", 'koios_ap'!H24/'koios_no_ap'!H24)</f>
        <v/>
      </c>
      <c r="G72">
        <f>IF(OR('koios_ap'!H24=-1, 'koios_no_ap'!H24=-1), "", 'koios_ap'!J24/'koios_no_ap'!J24)</f>
        <v/>
      </c>
      <c r="H72">
        <f>IF(OR('koios_ap'!H24=-1, 'koios_no_ap'!H24=-1), "", 'koios_ap'!K24/'koios_no_ap'!K24)</f>
        <v/>
      </c>
      <c r="I72">
        <f>IF(OR('koios_ap'!H24=-1, 'koios_no_ap'!H24=-1), "", 'koios_ap'!L24/'koios_no_ap'!L24)</f>
        <v/>
      </c>
      <c r="J72">
        <f>IF(OR('koios_ap'!H24=-1, 'koios_no_ap'!H24=-1), "", 'koios_ap'!AC24/'koios_no_ap'!AC24)</f>
        <v/>
      </c>
      <c r="K72">
        <f>IF(OR('koios_ap'!H24=-1, 'koios_no_ap'!H24=-1), "", 'koios_ap'!AD24/'koios_no_ap'!AD24)</f>
        <v/>
      </c>
    </row>
    <row r="73">
      <c r="A73" t="inlineStr">
        <is>
          <t>koios</t>
        </is>
      </c>
      <c r="B73" t="inlineStr">
        <is>
          <t>k6FracN10LB_mem20K_complexDSP_customSB_22nm.xml</t>
        </is>
      </c>
      <c r="C73" t="inlineStr">
        <is>
          <t>tdarknet_like.large.blif</t>
        </is>
      </c>
      <c r="D73">
        <f>IF(OR('koios_ap'!H25=-1, 'koios_no_ap'!H25=-1), "", 'koios_ap'!F25/'koios_no_ap'!F25)</f>
        <v/>
      </c>
      <c r="E73">
        <f>IF(OR('koios_ap'!H25=-1, 'koios_no_ap'!H25=-1), "", 'koios_ap'!G25/'koios_no_ap'!G25)</f>
        <v/>
      </c>
      <c r="F73">
        <f>IF(OR('koios_ap'!H25=-1, 'koios_no_ap'!H25=-1), "", 'koios_ap'!H25/'koios_no_ap'!H25)</f>
        <v/>
      </c>
      <c r="G73">
        <f>IF(OR('koios_ap'!H25=-1, 'koios_no_ap'!H25=-1), "", 'koios_ap'!J25/'koios_no_ap'!J25)</f>
        <v/>
      </c>
      <c r="H73">
        <f>IF(OR('koios_ap'!H25=-1, 'koios_no_ap'!H25=-1), "", 'koios_ap'!K25/'koios_no_ap'!K25)</f>
        <v/>
      </c>
      <c r="I73">
        <f>IF(OR('koios_ap'!H25=-1, 'koios_no_ap'!H25=-1), "", 'koios_ap'!L25/'koios_no_ap'!L25)</f>
        <v/>
      </c>
      <c r="J73">
        <f>IF(OR('koios_ap'!H25=-1, 'koios_no_ap'!H25=-1), "", 'koios_ap'!AC25/'koios_no_ap'!AC25)</f>
        <v/>
      </c>
      <c r="K73">
        <f>IF(OR('koios_ap'!H25=-1, 'koios_no_ap'!H25=-1), "", 'koios_ap'!AD25/'koios_no_ap'!AD25)</f>
        <v/>
      </c>
    </row>
    <row r="74">
      <c r="A74" t="inlineStr">
        <is>
          <t>koios</t>
        </is>
      </c>
      <c r="B74" t="inlineStr">
        <is>
          <t>k6FracN10LB_mem20K_complexDSP_customSB_22nm.xml</t>
        </is>
      </c>
      <c r="C74" t="inlineStr">
        <is>
          <t>tdarknet_like.small.blif</t>
        </is>
      </c>
      <c r="D74">
        <f>IF(OR('koios_ap'!H26=-1, 'koios_no_ap'!H26=-1), "", 'koios_ap'!F26/'koios_no_ap'!F26)</f>
        <v/>
      </c>
      <c r="E74">
        <f>IF(OR('koios_ap'!H26=-1, 'koios_no_ap'!H26=-1), "", 'koios_ap'!G26/'koios_no_ap'!G26)</f>
        <v/>
      </c>
      <c r="F74">
        <f>IF(OR('koios_ap'!H26=-1, 'koios_no_ap'!H26=-1), "", 'koios_ap'!H26/'koios_no_ap'!H26)</f>
        <v/>
      </c>
      <c r="G74">
        <f>IF(OR('koios_ap'!H26=-1, 'koios_no_ap'!H26=-1), "", 'koios_ap'!J26/'koios_no_ap'!J26)</f>
        <v/>
      </c>
      <c r="H74">
        <f>IF(OR('koios_ap'!H26=-1, 'koios_no_ap'!H26=-1), "", 'koios_ap'!K26/'koios_no_ap'!K26)</f>
        <v/>
      </c>
      <c r="I74">
        <f>IF(OR('koios_ap'!H26=-1, 'koios_no_ap'!H26=-1), "", 'koios_ap'!L26/'koios_no_ap'!L26)</f>
        <v/>
      </c>
      <c r="J74">
        <f>IF(OR('koios_ap'!H26=-1, 'koios_no_ap'!H26=-1), "", 'koios_ap'!AC26/'koios_no_ap'!AC26)</f>
        <v/>
      </c>
      <c r="K74">
        <f>IF(OR('koios_ap'!H26=-1, 'koios_no_ap'!H26=-1), "", 'koios_ap'!AD26/'koios_no_ap'!AD26)</f>
        <v/>
      </c>
    </row>
    <row r="75">
      <c r="A75" t="inlineStr">
        <is>
          <t>koios</t>
        </is>
      </c>
      <c r="B75" t="inlineStr">
        <is>
          <t>k6FracN10LB_mem20K_complexDSP_customSB_22nm.xml</t>
        </is>
      </c>
      <c r="C75" t="inlineStr">
        <is>
          <t>tpu_like.large.os.blif</t>
        </is>
      </c>
      <c r="D75">
        <f>IF(OR('koios_ap'!H27=-1, 'koios_no_ap'!H27=-1), "", 'koios_ap'!F27/'koios_no_ap'!F27)</f>
        <v/>
      </c>
      <c r="E75">
        <f>IF(OR('koios_ap'!H27=-1, 'koios_no_ap'!H27=-1), "", 'koios_ap'!G27/'koios_no_ap'!G27)</f>
        <v/>
      </c>
      <c r="F75">
        <f>IF(OR('koios_ap'!H27=-1, 'koios_no_ap'!H27=-1), "", 'koios_ap'!H27/'koios_no_ap'!H27)</f>
        <v/>
      </c>
      <c r="G75">
        <f>IF(OR('koios_ap'!H27=-1, 'koios_no_ap'!H27=-1), "", 'koios_ap'!J27/'koios_no_ap'!J27)</f>
        <v/>
      </c>
      <c r="H75">
        <f>IF(OR('koios_ap'!H27=-1, 'koios_no_ap'!H27=-1), "", 'koios_ap'!K27/'koios_no_ap'!K27)</f>
        <v/>
      </c>
      <c r="I75">
        <f>IF(OR('koios_ap'!H27=-1, 'koios_no_ap'!H27=-1), "", 'koios_ap'!L27/'koios_no_ap'!L27)</f>
        <v/>
      </c>
      <c r="J75">
        <f>IF(OR('koios_ap'!H27=-1, 'koios_no_ap'!H27=-1), "", 'koios_ap'!AC27/'koios_no_ap'!AC27)</f>
        <v/>
      </c>
      <c r="K75">
        <f>IF(OR('koios_ap'!H27=-1, 'koios_no_ap'!H27=-1), "", 'koios_ap'!AD27/'koios_no_ap'!AD27)</f>
        <v/>
      </c>
    </row>
    <row r="76">
      <c r="A76" t="inlineStr">
        <is>
          <t>koios</t>
        </is>
      </c>
      <c r="B76" t="inlineStr">
        <is>
          <t>k6FracN10LB_mem20K_complexDSP_customSB_22nm.xml</t>
        </is>
      </c>
      <c r="C76" t="inlineStr">
        <is>
          <t>tpu_like.large.ws.blif</t>
        </is>
      </c>
      <c r="D76">
        <f>IF(OR('koios_ap'!H28=-1, 'koios_no_ap'!H28=-1), "", 'koios_ap'!F28/'koios_no_ap'!F28)</f>
        <v/>
      </c>
      <c r="E76">
        <f>IF(OR('koios_ap'!H28=-1, 'koios_no_ap'!H28=-1), "", 'koios_ap'!G28/'koios_no_ap'!G28)</f>
        <v/>
      </c>
      <c r="F76">
        <f>IF(OR('koios_ap'!H28=-1, 'koios_no_ap'!H28=-1), "", 'koios_ap'!H28/'koios_no_ap'!H28)</f>
        <v/>
      </c>
      <c r="G76">
        <f>IF(OR('koios_ap'!H28=-1, 'koios_no_ap'!H28=-1), "", 'koios_ap'!J28/'koios_no_ap'!J28)</f>
        <v/>
      </c>
      <c r="H76">
        <f>IF(OR('koios_ap'!H28=-1, 'koios_no_ap'!H28=-1), "", 'koios_ap'!K28/'koios_no_ap'!K28)</f>
        <v/>
      </c>
      <c r="I76">
        <f>IF(OR('koios_ap'!H28=-1, 'koios_no_ap'!H28=-1), "", 'koios_ap'!L28/'koios_no_ap'!L28)</f>
        <v/>
      </c>
      <c r="J76">
        <f>IF(OR('koios_ap'!H28=-1, 'koios_no_ap'!H28=-1), "", 'koios_ap'!AC28/'koios_no_ap'!AC28)</f>
        <v/>
      </c>
      <c r="K76">
        <f>IF(OR('koios_ap'!H28=-1, 'koios_no_ap'!H28=-1), "", 'koios_ap'!AD28/'koios_no_ap'!AD28)</f>
        <v/>
      </c>
    </row>
    <row r="77">
      <c r="A77" t="inlineStr">
        <is>
          <t>koios</t>
        </is>
      </c>
      <c r="B77" t="inlineStr">
        <is>
          <t>k6FracN10LB_mem20K_complexDSP_customSB_22nm.xml</t>
        </is>
      </c>
      <c r="C77" t="inlineStr">
        <is>
          <t>tpu_like.small.os.blif</t>
        </is>
      </c>
      <c r="D77">
        <f>IF(OR('koios_ap'!H29=-1, 'koios_no_ap'!H29=-1), "", 'koios_ap'!F29/'koios_no_ap'!F29)</f>
        <v/>
      </c>
      <c r="E77">
        <f>IF(OR('koios_ap'!H29=-1, 'koios_no_ap'!H29=-1), "", 'koios_ap'!G29/'koios_no_ap'!G29)</f>
        <v/>
      </c>
      <c r="F77">
        <f>IF(OR('koios_ap'!H29=-1, 'koios_no_ap'!H29=-1), "", 'koios_ap'!H29/'koios_no_ap'!H29)</f>
        <v/>
      </c>
      <c r="G77">
        <f>IF(OR('koios_ap'!H29=-1, 'koios_no_ap'!H29=-1), "", 'koios_ap'!J29/'koios_no_ap'!J29)</f>
        <v/>
      </c>
      <c r="H77">
        <f>IF(OR('koios_ap'!H29=-1, 'koios_no_ap'!H29=-1), "", 'koios_ap'!K29/'koios_no_ap'!K29)</f>
        <v/>
      </c>
      <c r="I77">
        <f>IF(OR('koios_ap'!H29=-1, 'koios_no_ap'!H29=-1), "", 'koios_ap'!L29/'koios_no_ap'!L29)</f>
        <v/>
      </c>
      <c r="J77">
        <f>IF(OR('koios_ap'!H29=-1, 'koios_no_ap'!H29=-1), "", 'koios_ap'!AC29/'koios_no_ap'!AC29)</f>
        <v/>
      </c>
      <c r="K77">
        <f>IF(OR('koios_ap'!H29=-1, 'koios_no_ap'!H29=-1), "", 'koios_ap'!AD29/'koios_no_ap'!AD29)</f>
        <v/>
      </c>
    </row>
    <row r="78">
      <c r="A78" t="inlineStr">
        <is>
          <t>koios</t>
        </is>
      </c>
      <c r="B78" t="inlineStr">
        <is>
          <t>k6FracN10LB_mem20K_complexDSP_customSB_22nm.xml</t>
        </is>
      </c>
      <c r="C78" t="inlineStr">
        <is>
          <t>tpu_like.small.ws.blif</t>
        </is>
      </c>
      <c r="D78">
        <f>IF(OR('koios_ap'!H30=-1, 'koios_no_ap'!H30=-1), "", 'koios_ap'!F30/'koios_no_ap'!F30)</f>
        <v/>
      </c>
      <c r="E78">
        <f>IF(OR('koios_ap'!H30=-1, 'koios_no_ap'!H30=-1), "", 'koios_ap'!G30/'koios_no_ap'!G30)</f>
        <v/>
      </c>
      <c r="F78">
        <f>IF(OR('koios_ap'!H30=-1, 'koios_no_ap'!H30=-1), "", 'koios_ap'!H30/'koios_no_ap'!H30)</f>
        <v/>
      </c>
      <c r="G78">
        <f>IF(OR('koios_ap'!H30=-1, 'koios_no_ap'!H30=-1), "", 'koios_ap'!J30/'koios_no_ap'!J30)</f>
        <v/>
      </c>
      <c r="H78">
        <f>IF(OR('koios_ap'!H30=-1, 'koios_no_ap'!H30=-1), "", 'koios_ap'!K30/'koios_no_ap'!K30)</f>
        <v/>
      </c>
      <c r="I78">
        <f>IF(OR('koios_ap'!H30=-1, 'koios_no_ap'!H30=-1), "", 'koios_ap'!L30/'koios_no_ap'!L30)</f>
        <v/>
      </c>
      <c r="J78">
        <f>IF(OR('koios_ap'!H30=-1, 'koios_no_ap'!H30=-1), "", 'koios_ap'!AC30/'koios_no_ap'!AC30)</f>
        <v/>
      </c>
      <c r="K78">
        <f>IF(OR('koios_ap'!H30=-1, 'koios_no_ap'!H30=-1), "", 'koios_ap'!AD30/'koios_no_ap'!AD30)</f>
        <v/>
      </c>
    </row>
    <row r="79">
      <c r="A79" t="inlineStr">
        <is>
          <t>koios</t>
        </is>
      </c>
      <c r="B79" t="inlineStr"/>
      <c r="C79" t="inlineStr">
        <is>
          <t>GEOMEAN</t>
        </is>
      </c>
      <c r="D79">
        <f>GEOMEAN(D50:D78)</f>
        <v/>
      </c>
      <c r="E79">
        <f>GEOMEAN(E50:E78)</f>
        <v/>
      </c>
      <c r="F79">
        <f>GEOMEAN(F50:F78)</f>
        <v/>
      </c>
      <c r="G79">
        <f>GEOMEAN(G50:G78)</f>
        <v/>
      </c>
      <c r="H79">
        <f>GEOMEAN(H50:H78)</f>
        <v/>
      </c>
      <c r="I79">
        <f>GEOMEAN(I50:I78)</f>
        <v/>
      </c>
      <c r="J79">
        <f>GEOMEAN(J50:J78)</f>
        <v/>
      </c>
      <c r="K79">
        <f>GEOMEAN(K50:K78)</f>
        <v/>
      </c>
    </row>
    <row r="80">
      <c r="A80" t="inlineStr">
        <is>
          <t>koios</t>
        </is>
      </c>
      <c r="B80" t="inlineStr"/>
      <c r="C80" t="inlineStr">
        <is>
          <t>UNROUTES</t>
        </is>
      </c>
      <c r="D80">
        <f>29 - COUNT(F50:F78)</f>
        <v/>
      </c>
    </row>
    <row r="81">
      <c r="A81" t="inlineStr"/>
    </row>
    <row r="82">
      <c r="A82" t="inlineStr">
        <is>
          <t>titanium_s10</t>
        </is>
      </c>
      <c r="B82" t="inlineStr">
        <is>
          <t>stratix10_arch.timing.xml</t>
        </is>
      </c>
      <c r="C82" t="inlineStr">
        <is>
          <t>ASU_LRN_stratix10_arch_timing.blif</t>
        </is>
      </c>
      <c r="D82">
        <f>IF(OR('titanium_s10_ap'!H2=-1, 'titanium_s10_no_ap'!H2=-1), "", 'titanium_s10_ap'!F2/'titanium_s10_no_ap'!F2)</f>
        <v/>
      </c>
      <c r="E82">
        <f>IF(OR('titanium_s10_ap'!H2=-1, 'titanium_s10_no_ap'!H2=-1), "", 'titanium_s10_ap'!G2/'titanium_s10_no_ap'!G2)</f>
        <v/>
      </c>
      <c r="F82">
        <f>IF(OR('titanium_s10_ap'!H2=-1, 'titanium_s10_no_ap'!H2=-1), "", 'titanium_s10_ap'!H2/'titanium_s10_no_ap'!H2)</f>
        <v/>
      </c>
      <c r="G82">
        <f>IF(OR('titanium_s10_ap'!H2=-1, 'titanium_s10_no_ap'!H2=-1), "", 'titanium_s10_ap'!J2/'titanium_s10_no_ap'!J2)</f>
        <v/>
      </c>
      <c r="H82">
        <f>IF(OR('titanium_s10_ap'!H2=-1, 'titanium_s10_no_ap'!H2=-1), "", 'titanium_s10_ap'!K2/'titanium_s10_no_ap'!K2)</f>
        <v/>
      </c>
      <c r="I82">
        <f>IF(OR('titanium_s10_ap'!H2=-1, 'titanium_s10_no_ap'!H2=-1), "", 'titanium_s10_ap'!L2/'titanium_s10_no_ap'!L2)</f>
        <v/>
      </c>
      <c r="J82">
        <f>IF(OR('titanium_s10_ap'!H2=-1, 'titanium_s10_no_ap'!H2=-1), "", 'titanium_s10_ap'!AC2/'titanium_s10_no_ap'!AC2)</f>
        <v/>
      </c>
      <c r="K82">
        <f>IF(OR('titanium_s10_ap'!H2=-1, 'titanium_s10_no_ap'!H2=-1), "", 'titanium_s10_ap'!AD2/'titanium_s10_no_ap'!AD2)</f>
        <v/>
      </c>
    </row>
    <row r="83">
      <c r="A83" t="inlineStr">
        <is>
          <t>titanium_s10</t>
        </is>
      </c>
      <c r="B83" t="inlineStr">
        <is>
          <t>stratix10_arch.timing.xml</t>
        </is>
      </c>
      <c r="C83" t="inlineStr">
        <is>
          <t>ChainNN_LRN_LG_stratix10_arch_timing.blif</t>
        </is>
      </c>
      <c r="D83">
        <f>IF(OR('titanium_s10_ap'!H3=-1, 'titanium_s10_no_ap'!H3=-1), "", 'titanium_s10_ap'!F3/'titanium_s10_no_ap'!F3)</f>
        <v/>
      </c>
      <c r="E83">
        <f>IF(OR('titanium_s10_ap'!H3=-1, 'titanium_s10_no_ap'!H3=-1), "", 'titanium_s10_ap'!G3/'titanium_s10_no_ap'!G3)</f>
        <v/>
      </c>
      <c r="F83">
        <f>IF(OR('titanium_s10_ap'!H3=-1, 'titanium_s10_no_ap'!H3=-1), "", 'titanium_s10_ap'!H3/'titanium_s10_no_ap'!H3)</f>
        <v/>
      </c>
      <c r="G83">
        <f>IF(OR('titanium_s10_ap'!H3=-1, 'titanium_s10_no_ap'!H3=-1), "", 'titanium_s10_ap'!J3/'titanium_s10_no_ap'!J3)</f>
        <v/>
      </c>
      <c r="H83">
        <f>IF(OR('titanium_s10_ap'!H3=-1, 'titanium_s10_no_ap'!H3=-1), "", 'titanium_s10_ap'!K3/'titanium_s10_no_ap'!K3)</f>
        <v/>
      </c>
      <c r="I83">
        <f>IF(OR('titanium_s10_ap'!H3=-1, 'titanium_s10_no_ap'!H3=-1), "", 'titanium_s10_ap'!L3/'titanium_s10_no_ap'!L3)</f>
        <v/>
      </c>
      <c r="J83">
        <f>IF(OR('titanium_s10_ap'!H3=-1, 'titanium_s10_no_ap'!H3=-1), "", 'titanium_s10_ap'!AC3/'titanium_s10_no_ap'!AC3)</f>
        <v/>
      </c>
      <c r="K83">
        <f>IF(OR('titanium_s10_ap'!H3=-1, 'titanium_s10_no_ap'!H3=-1), "", 'titanium_s10_ap'!AD3/'titanium_s10_no_ap'!AD3)</f>
        <v/>
      </c>
    </row>
    <row r="84">
      <c r="A84" t="inlineStr">
        <is>
          <t>titanium_s10</t>
        </is>
      </c>
      <c r="B84" t="inlineStr">
        <is>
          <t>stratix10_arch.timing.xml</t>
        </is>
      </c>
      <c r="C84" t="inlineStr">
        <is>
          <t>ChainNN_ELT_LG_stratix10_arch_timing.blif</t>
        </is>
      </c>
      <c r="D84">
        <f>IF(OR('titanium_s10_ap'!H4=-1, 'titanium_s10_no_ap'!H4=-1), "", 'titanium_s10_ap'!F4/'titanium_s10_no_ap'!F4)</f>
        <v/>
      </c>
      <c r="E84">
        <f>IF(OR('titanium_s10_ap'!H4=-1, 'titanium_s10_no_ap'!H4=-1), "", 'titanium_s10_ap'!G4/'titanium_s10_no_ap'!G4)</f>
        <v/>
      </c>
      <c r="F84">
        <f>IF(OR('titanium_s10_ap'!H4=-1, 'titanium_s10_no_ap'!H4=-1), "", 'titanium_s10_ap'!H4/'titanium_s10_no_ap'!H4)</f>
        <v/>
      </c>
      <c r="G84">
        <f>IF(OR('titanium_s10_ap'!H4=-1, 'titanium_s10_no_ap'!H4=-1), "", 'titanium_s10_ap'!J4/'titanium_s10_no_ap'!J4)</f>
        <v/>
      </c>
      <c r="H84">
        <f>IF(OR('titanium_s10_ap'!H4=-1, 'titanium_s10_no_ap'!H4=-1), "", 'titanium_s10_ap'!K4/'titanium_s10_no_ap'!K4)</f>
        <v/>
      </c>
      <c r="I84">
        <f>IF(OR('titanium_s10_ap'!H4=-1, 'titanium_s10_no_ap'!H4=-1), "", 'titanium_s10_ap'!L4/'titanium_s10_no_ap'!L4)</f>
        <v/>
      </c>
      <c r="J84">
        <f>IF(OR('titanium_s10_ap'!H4=-1, 'titanium_s10_no_ap'!H4=-1), "", 'titanium_s10_ap'!AC4/'titanium_s10_no_ap'!AC4)</f>
        <v/>
      </c>
      <c r="K84">
        <f>IF(OR('titanium_s10_ap'!H4=-1, 'titanium_s10_no_ap'!H4=-1), "", 'titanium_s10_ap'!AD4/'titanium_s10_no_ap'!AD4)</f>
        <v/>
      </c>
    </row>
    <row r="85">
      <c r="A85" t="inlineStr">
        <is>
          <t>titanium_s10</t>
        </is>
      </c>
      <c r="B85" t="inlineStr">
        <is>
          <t>stratix10_arch.timing.xml</t>
        </is>
      </c>
      <c r="C85" t="inlineStr">
        <is>
          <t>ChainNN_BSC_LG_stratix10_arch_timing.blif</t>
        </is>
      </c>
      <c r="D85">
        <f>IF(OR('titanium_s10_ap'!H5=-1, 'titanium_s10_no_ap'!H5=-1), "", 'titanium_s10_ap'!F5/'titanium_s10_no_ap'!F5)</f>
        <v/>
      </c>
      <c r="E85">
        <f>IF(OR('titanium_s10_ap'!H5=-1, 'titanium_s10_no_ap'!H5=-1), "", 'titanium_s10_ap'!G5/'titanium_s10_no_ap'!G5)</f>
        <v/>
      </c>
      <c r="F85">
        <f>IF(OR('titanium_s10_ap'!H5=-1, 'titanium_s10_no_ap'!H5=-1), "", 'titanium_s10_ap'!H5/'titanium_s10_no_ap'!H5)</f>
        <v/>
      </c>
      <c r="G85">
        <f>IF(OR('titanium_s10_ap'!H5=-1, 'titanium_s10_no_ap'!H5=-1), "", 'titanium_s10_ap'!J5/'titanium_s10_no_ap'!J5)</f>
        <v/>
      </c>
      <c r="H85">
        <f>IF(OR('titanium_s10_ap'!H5=-1, 'titanium_s10_no_ap'!H5=-1), "", 'titanium_s10_ap'!K5/'titanium_s10_no_ap'!K5)</f>
        <v/>
      </c>
      <c r="I85">
        <f>IF(OR('titanium_s10_ap'!H5=-1, 'titanium_s10_no_ap'!H5=-1), "", 'titanium_s10_ap'!L5/'titanium_s10_no_ap'!L5)</f>
        <v/>
      </c>
      <c r="J85">
        <f>IF(OR('titanium_s10_ap'!H5=-1, 'titanium_s10_no_ap'!H5=-1), "", 'titanium_s10_ap'!AC5/'titanium_s10_no_ap'!AC5)</f>
        <v/>
      </c>
      <c r="K85">
        <f>IF(OR('titanium_s10_ap'!H5=-1, 'titanium_s10_no_ap'!H5=-1), "", 'titanium_s10_ap'!AD5/'titanium_s10_no_ap'!AD5)</f>
        <v/>
      </c>
    </row>
    <row r="86">
      <c r="A86" t="inlineStr">
        <is>
          <t>titanium_s10</t>
        </is>
      </c>
      <c r="B86" t="inlineStr">
        <is>
          <t>stratix10_arch.timing.xml</t>
        </is>
      </c>
      <c r="C86" t="inlineStr">
        <is>
          <t>rocket17_stratix10_arch_timing.blif</t>
        </is>
      </c>
      <c r="D86">
        <f>IF(OR('titanium_s10_ap'!H6=-1, 'titanium_s10_no_ap'!H6=-1), "", 'titanium_s10_ap'!F6/'titanium_s10_no_ap'!F6)</f>
        <v/>
      </c>
      <c r="E86">
        <f>IF(OR('titanium_s10_ap'!H6=-1, 'titanium_s10_no_ap'!H6=-1), "", 'titanium_s10_ap'!G6/'titanium_s10_no_ap'!G6)</f>
        <v/>
      </c>
      <c r="F86">
        <f>IF(OR('titanium_s10_ap'!H6=-1, 'titanium_s10_no_ap'!H6=-1), "", 'titanium_s10_ap'!H6/'titanium_s10_no_ap'!H6)</f>
        <v/>
      </c>
      <c r="G86">
        <f>IF(OR('titanium_s10_ap'!H6=-1, 'titanium_s10_no_ap'!H6=-1), "", 'titanium_s10_ap'!J6/'titanium_s10_no_ap'!J6)</f>
        <v/>
      </c>
      <c r="H86">
        <f>IF(OR('titanium_s10_ap'!H6=-1, 'titanium_s10_no_ap'!H6=-1), "", 'titanium_s10_ap'!K6/'titanium_s10_no_ap'!K6)</f>
        <v/>
      </c>
      <c r="I86">
        <f>IF(OR('titanium_s10_ap'!H6=-1, 'titanium_s10_no_ap'!H6=-1), "", 'titanium_s10_ap'!L6/'titanium_s10_no_ap'!L6)</f>
        <v/>
      </c>
      <c r="J86">
        <f>IF(OR('titanium_s10_ap'!H6=-1, 'titanium_s10_no_ap'!H6=-1), "", 'titanium_s10_ap'!AC6/'titanium_s10_no_ap'!AC6)</f>
        <v/>
      </c>
      <c r="K86">
        <f>IF(OR('titanium_s10_ap'!H6=-1, 'titanium_s10_no_ap'!H6=-1), "", 'titanium_s10_ap'!AD6/'titanium_s10_no_ap'!AD6)</f>
        <v/>
      </c>
    </row>
    <row r="87">
      <c r="A87" t="inlineStr">
        <is>
          <t>titanium_s10</t>
        </is>
      </c>
      <c r="B87" t="inlineStr">
        <is>
          <t>stratix10_arch.timing.xml</t>
        </is>
      </c>
      <c r="C87" t="inlineStr">
        <is>
          <t>ASU_ELT_stratix10_arch_timing.blif</t>
        </is>
      </c>
      <c r="D87">
        <f>IF(OR('titanium_s10_ap'!H7=-1, 'titanium_s10_no_ap'!H7=-1), "", 'titanium_s10_ap'!F7/'titanium_s10_no_ap'!F7)</f>
        <v/>
      </c>
      <c r="E87">
        <f>IF(OR('titanium_s10_ap'!H7=-1, 'titanium_s10_no_ap'!H7=-1), "", 'titanium_s10_ap'!G7/'titanium_s10_no_ap'!G7)</f>
        <v/>
      </c>
      <c r="F87">
        <f>IF(OR('titanium_s10_ap'!H7=-1, 'titanium_s10_no_ap'!H7=-1), "", 'titanium_s10_ap'!H7/'titanium_s10_no_ap'!H7)</f>
        <v/>
      </c>
      <c r="G87">
        <f>IF(OR('titanium_s10_ap'!H7=-1, 'titanium_s10_no_ap'!H7=-1), "", 'titanium_s10_ap'!J7/'titanium_s10_no_ap'!J7)</f>
        <v/>
      </c>
      <c r="H87">
        <f>IF(OR('titanium_s10_ap'!H7=-1, 'titanium_s10_no_ap'!H7=-1), "", 'titanium_s10_ap'!K7/'titanium_s10_no_ap'!K7)</f>
        <v/>
      </c>
      <c r="I87">
        <f>IF(OR('titanium_s10_ap'!H7=-1, 'titanium_s10_no_ap'!H7=-1), "", 'titanium_s10_ap'!L7/'titanium_s10_no_ap'!L7)</f>
        <v/>
      </c>
      <c r="J87">
        <f>IF(OR('titanium_s10_ap'!H7=-1, 'titanium_s10_no_ap'!H7=-1), "", 'titanium_s10_ap'!AC7/'titanium_s10_no_ap'!AC7)</f>
        <v/>
      </c>
      <c r="K87">
        <f>IF(OR('titanium_s10_ap'!H7=-1, 'titanium_s10_no_ap'!H7=-1), "", 'titanium_s10_ap'!AD7/'titanium_s10_no_ap'!AD7)</f>
        <v/>
      </c>
    </row>
    <row r="88">
      <c r="A88" t="inlineStr">
        <is>
          <t>titanium_s10</t>
        </is>
      </c>
      <c r="B88" t="inlineStr">
        <is>
          <t>stratix10_arch.timing.xml</t>
        </is>
      </c>
      <c r="C88" t="inlineStr">
        <is>
          <t>ASU_BSC_stratix10_arch_timing.blif</t>
        </is>
      </c>
      <c r="D88">
        <f>IF(OR('titanium_s10_ap'!H8=-1, 'titanium_s10_no_ap'!H8=-1), "", 'titanium_s10_ap'!F8/'titanium_s10_no_ap'!F8)</f>
        <v/>
      </c>
      <c r="E88">
        <f>IF(OR('titanium_s10_ap'!H8=-1, 'titanium_s10_no_ap'!H8=-1), "", 'titanium_s10_ap'!G8/'titanium_s10_no_ap'!G8)</f>
        <v/>
      </c>
      <c r="F88">
        <f>IF(OR('titanium_s10_ap'!H8=-1, 'titanium_s10_no_ap'!H8=-1), "", 'titanium_s10_ap'!H8/'titanium_s10_no_ap'!H8)</f>
        <v/>
      </c>
      <c r="G88">
        <f>IF(OR('titanium_s10_ap'!H8=-1, 'titanium_s10_no_ap'!H8=-1), "", 'titanium_s10_ap'!J8/'titanium_s10_no_ap'!J8)</f>
        <v/>
      </c>
      <c r="H88">
        <f>IF(OR('titanium_s10_ap'!H8=-1, 'titanium_s10_no_ap'!H8=-1), "", 'titanium_s10_ap'!K8/'titanium_s10_no_ap'!K8)</f>
        <v/>
      </c>
      <c r="I88">
        <f>IF(OR('titanium_s10_ap'!H8=-1, 'titanium_s10_no_ap'!H8=-1), "", 'titanium_s10_ap'!L8/'titanium_s10_no_ap'!L8)</f>
        <v/>
      </c>
      <c r="J88">
        <f>IF(OR('titanium_s10_ap'!H8=-1, 'titanium_s10_no_ap'!H8=-1), "", 'titanium_s10_ap'!AC8/'titanium_s10_no_ap'!AC8)</f>
        <v/>
      </c>
      <c r="K88">
        <f>IF(OR('titanium_s10_ap'!H8=-1, 'titanium_s10_no_ap'!H8=-1), "", 'titanium_s10_ap'!AD8/'titanium_s10_no_ap'!AD8)</f>
        <v/>
      </c>
    </row>
    <row r="89">
      <c r="A89" t="inlineStr">
        <is>
          <t>titanium_s10</t>
        </is>
      </c>
      <c r="B89" t="inlineStr">
        <is>
          <t>stratix10_arch.timing.xml</t>
        </is>
      </c>
      <c r="C89" t="inlineStr">
        <is>
          <t>tdfir_stratix10_arch_timing.blif</t>
        </is>
      </c>
      <c r="D89">
        <f>IF(OR('titanium_s10_ap'!H9=-1, 'titanium_s10_no_ap'!H9=-1), "", 'titanium_s10_ap'!F9/'titanium_s10_no_ap'!F9)</f>
        <v/>
      </c>
      <c r="E89">
        <f>IF(OR('titanium_s10_ap'!H9=-1, 'titanium_s10_no_ap'!H9=-1), "", 'titanium_s10_ap'!G9/'titanium_s10_no_ap'!G9)</f>
        <v/>
      </c>
      <c r="F89">
        <f>IF(OR('titanium_s10_ap'!H9=-1, 'titanium_s10_no_ap'!H9=-1), "", 'titanium_s10_ap'!H9/'titanium_s10_no_ap'!H9)</f>
        <v/>
      </c>
      <c r="G89">
        <f>IF(OR('titanium_s10_ap'!H9=-1, 'titanium_s10_no_ap'!H9=-1), "", 'titanium_s10_ap'!J9/'titanium_s10_no_ap'!J9)</f>
        <v/>
      </c>
      <c r="H89">
        <f>IF(OR('titanium_s10_ap'!H9=-1, 'titanium_s10_no_ap'!H9=-1), "", 'titanium_s10_ap'!K9/'titanium_s10_no_ap'!K9)</f>
        <v/>
      </c>
      <c r="I89">
        <f>IF(OR('titanium_s10_ap'!H9=-1, 'titanium_s10_no_ap'!H9=-1), "", 'titanium_s10_ap'!L9/'titanium_s10_no_ap'!L9)</f>
        <v/>
      </c>
      <c r="J89">
        <f>IF(OR('titanium_s10_ap'!H9=-1, 'titanium_s10_no_ap'!H9=-1), "", 'titanium_s10_ap'!AC9/'titanium_s10_no_ap'!AC9)</f>
        <v/>
      </c>
      <c r="K89">
        <f>IF(OR('titanium_s10_ap'!H9=-1, 'titanium_s10_no_ap'!H9=-1), "", 'titanium_s10_ap'!AD9/'titanium_s10_no_ap'!AD9)</f>
        <v/>
      </c>
    </row>
    <row r="90">
      <c r="A90" t="inlineStr">
        <is>
          <t>titanium_s10</t>
        </is>
      </c>
      <c r="B90" t="inlineStr">
        <is>
          <t>stratix10_arch.timing.xml</t>
        </is>
      </c>
      <c r="C90" t="inlineStr">
        <is>
          <t>pricing_stratix10_arch_timing.blif</t>
        </is>
      </c>
      <c r="D90">
        <f>IF(OR('titanium_s10_ap'!H10=-1, 'titanium_s10_no_ap'!H10=-1), "", 'titanium_s10_ap'!F10/'titanium_s10_no_ap'!F10)</f>
        <v/>
      </c>
      <c r="E90">
        <f>IF(OR('titanium_s10_ap'!H10=-1, 'titanium_s10_no_ap'!H10=-1), "", 'titanium_s10_ap'!G10/'titanium_s10_no_ap'!G10)</f>
        <v/>
      </c>
      <c r="F90">
        <f>IF(OR('titanium_s10_ap'!H10=-1, 'titanium_s10_no_ap'!H10=-1), "", 'titanium_s10_ap'!H10/'titanium_s10_no_ap'!H10)</f>
        <v/>
      </c>
      <c r="G90">
        <f>IF(OR('titanium_s10_ap'!H10=-1, 'titanium_s10_no_ap'!H10=-1), "", 'titanium_s10_ap'!J10/'titanium_s10_no_ap'!J10)</f>
        <v/>
      </c>
      <c r="H90">
        <f>IF(OR('titanium_s10_ap'!H10=-1, 'titanium_s10_no_ap'!H10=-1), "", 'titanium_s10_ap'!K10/'titanium_s10_no_ap'!K10)</f>
        <v/>
      </c>
      <c r="I90">
        <f>IF(OR('titanium_s10_ap'!H10=-1, 'titanium_s10_no_ap'!H10=-1), "", 'titanium_s10_ap'!L10/'titanium_s10_no_ap'!L10)</f>
        <v/>
      </c>
      <c r="J90">
        <f>IF(OR('titanium_s10_ap'!H10=-1, 'titanium_s10_no_ap'!H10=-1), "", 'titanium_s10_ap'!AC10/'titanium_s10_no_ap'!AC10)</f>
        <v/>
      </c>
      <c r="K90">
        <f>IF(OR('titanium_s10_ap'!H10=-1, 'titanium_s10_no_ap'!H10=-1), "", 'titanium_s10_ap'!AD10/'titanium_s10_no_ap'!AD10)</f>
        <v/>
      </c>
    </row>
    <row r="91">
      <c r="A91" t="inlineStr">
        <is>
          <t>titanium_s10</t>
        </is>
      </c>
      <c r="B91" t="inlineStr">
        <is>
          <t>stratix10_arch.timing.xml</t>
        </is>
      </c>
      <c r="C91" t="inlineStr">
        <is>
          <t>mem_tester_stratix10_arch_timing.blif</t>
        </is>
      </c>
      <c r="D91">
        <f>IF(OR('titanium_s10_ap'!H11=-1, 'titanium_s10_no_ap'!H11=-1), "", 'titanium_s10_ap'!F11/'titanium_s10_no_ap'!F11)</f>
        <v/>
      </c>
      <c r="E91">
        <f>IF(OR('titanium_s10_ap'!H11=-1, 'titanium_s10_no_ap'!H11=-1), "", 'titanium_s10_ap'!G11/'titanium_s10_no_ap'!G11)</f>
        <v/>
      </c>
      <c r="F91">
        <f>IF(OR('titanium_s10_ap'!H11=-1, 'titanium_s10_no_ap'!H11=-1), "", 'titanium_s10_ap'!H11/'titanium_s10_no_ap'!H11)</f>
        <v/>
      </c>
      <c r="G91">
        <f>IF(OR('titanium_s10_ap'!H11=-1, 'titanium_s10_no_ap'!H11=-1), "", 'titanium_s10_ap'!J11/'titanium_s10_no_ap'!J11)</f>
        <v/>
      </c>
      <c r="H91">
        <f>IF(OR('titanium_s10_ap'!H11=-1, 'titanium_s10_no_ap'!H11=-1), "", 'titanium_s10_ap'!K11/'titanium_s10_no_ap'!K11)</f>
        <v/>
      </c>
      <c r="I91">
        <f>IF(OR('titanium_s10_ap'!H11=-1, 'titanium_s10_no_ap'!H11=-1), "", 'titanium_s10_ap'!L11/'titanium_s10_no_ap'!L11)</f>
        <v/>
      </c>
      <c r="J91">
        <f>IF(OR('titanium_s10_ap'!H11=-1, 'titanium_s10_no_ap'!H11=-1), "", 'titanium_s10_ap'!AC11/'titanium_s10_no_ap'!AC11)</f>
        <v/>
      </c>
      <c r="K91">
        <f>IF(OR('titanium_s10_ap'!H11=-1, 'titanium_s10_no_ap'!H11=-1), "", 'titanium_s10_ap'!AD11/'titanium_s10_no_ap'!AD11)</f>
        <v/>
      </c>
    </row>
    <row r="92">
      <c r="A92" t="inlineStr">
        <is>
          <t>titanium_s10</t>
        </is>
      </c>
      <c r="B92" t="inlineStr">
        <is>
          <t>stratix10_arch.timing.xml</t>
        </is>
      </c>
      <c r="C92" t="inlineStr">
        <is>
          <t>mandelbrot_stratix10_arch_timing.blif</t>
        </is>
      </c>
      <c r="D92">
        <f>IF(OR('titanium_s10_ap'!H12=-1, 'titanium_s10_no_ap'!H12=-1), "", 'titanium_s10_ap'!F12/'titanium_s10_no_ap'!F12)</f>
        <v/>
      </c>
      <c r="E92">
        <f>IF(OR('titanium_s10_ap'!H12=-1, 'titanium_s10_no_ap'!H12=-1), "", 'titanium_s10_ap'!G12/'titanium_s10_no_ap'!G12)</f>
        <v/>
      </c>
      <c r="F92">
        <f>IF(OR('titanium_s10_ap'!H12=-1, 'titanium_s10_no_ap'!H12=-1), "", 'titanium_s10_ap'!H12/'titanium_s10_no_ap'!H12)</f>
        <v/>
      </c>
      <c r="G92">
        <f>IF(OR('titanium_s10_ap'!H12=-1, 'titanium_s10_no_ap'!H12=-1), "", 'titanium_s10_ap'!J12/'titanium_s10_no_ap'!J12)</f>
        <v/>
      </c>
      <c r="H92">
        <f>IF(OR('titanium_s10_ap'!H12=-1, 'titanium_s10_no_ap'!H12=-1), "", 'titanium_s10_ap'!K12/'titanium_s10_no_ap'!K12)</f>
        <v/>
      </c>
      <c r="I92">
        <f>IF(OR('titanium_s10_ap'!H12=-1, 'titanium_s10_no_ap'!H12=-1), "", 'titanium_s10_ap'!L12/'titanium_s10_no_ap'!L12)</f>
        <v/>
      </c>
      <c r="J92">
        <f>IF(OR('titanium_s10_ap'!H12=-1, 'titanium_s10_no_ap'!H12=-1), "", 'titanium_s10_ap'!AC12/'titanium_s10_no_ap'!AC12)</f>
        <v/>
      </c>
      <c r="K92">
        <f>IF(OR('titanium_s10_ap'!H12=-1, 'titanium_s10_no_ap'!H12=-1), "", 'titanium_s10_ap'!AD12/'titanium_s10_no_ap'!AD12)</f>
        <v/>
      </c>
    </row>
    <row r="93">
      <c r="A93" t="inlineStr">
        <is>
          <t>titanium_s10</t>
        </is>
      </c>
      <c r="B93" t="inlineStr">
        <is>
          <t>stratix10_arch.timing.xml</t>
        </is>
      </c>
      <c r="C93" t="inlineStr">
        <is>
          <t>channelizer_stratix10_arch_timing.blif</t>
        </is>
      </c>
      <c r="D93">
        <f>IF(OR('titanium_s10_ap'!H13=-1, 'titanium_s10_no_ap'!H13=-1), "", 'titanium_s10_ap'!F13/'titanium_s10_no_ap'!F13)</f>
        <v/>
      </c>
      <c r="E93">
        <f>IF(OR('titanium_s10_ap'!H13=-1, 'titanium_s10_no_ap'!H13=-1), "", 'titanium_s10_ap'!G13/'titanium_s10_no_ap'!G13)</f>
        <v/>
      </c>
      <c r="F93">
        <f>IF(OR('titanium_s10_ap'!H13=-1, 'titanium_s10_no_ap'!H13=-1), "", 'titanium_s10_ap'!H13/'titanium_s10_no_ap'!H13)</f>
        <v/>
      </c>
      <c r="G93">
        <f>IF(OR('titanium_s10_ap'!H13=-1, 'titanium_s10_no_ap'!H13=-1), "", 'titanium_s10_ap'!J13/'titanium_s10_no_ap'!J13)</f>
        <v/>
      </c>
      <c r="H93">
        <f>IF(OR('titanium_s10_ap'!H13=-1, 'titanium_s10_no_ap'!H13=-1), "", 'titanium_s10_ap'!K13/'titanium_s10_no_ap'!K13)</f>
        <v/>
      </c>
      <c r="I93">
        <f>IF(OR('titanium_s10_ap'!H13=-1, 'titanium_s10_no_ap'!H13=-1), "", 'titanium_s10_ap'!L13/'titanium_s10_no_ap'!L13)</f>
        <v/>
      </c>
      <c r="J93">
        <f>IF(OR('titanium_s10_ap'!H13=-1, 'titanium_s10_no_ap'!H13=-1), "", 'titanium_s10_ap'!AC13/'titanium_s10_no_ap'!AC13)</f>
        <v/>
      </c>
      <c r="K93">
        <f>IF(OR('titanium_s10_ap'!H13=-1, 'titanium_s10_no_ap'!H13=-1), "", 'titanium_s10_ap'!AD13/'titanium_s10_no_ap'!AD13)</f>
        <v/>
      </c>
    </row>
    <row r="94">
      <c r="A94" t="inlineStr">
        <is>
          <t>titanium_s10</t>
        </is>
      </c>
      <c r="B94" t="inlineStr">
        <is>
          <t>stratix10_arch.timing.xml</t>
        </is>
      </c>
      <c r="C94" t="inlineStr">
        <is>
          <t>fft1d_offchip_stratix10_arch_timing.blif</t>
        </is>
      </c>
      <c r="D94">
        <f>IF(OR('titanium_s10_ap'!H14=-1, 'titanium_s10_no_ap'!H14=-1), "", 'titanium_s10_ap'!F14/'titanium_s10_no_ap'!F14)</f>
        <v/>
      </c>
      <c r="E94">
        <f>IF(OR('titanium_s10_ap'!H14=-1, 'titanium_s10_no_ap'!H14=-1), "", 'titanium_s10_ap'!G14/'titanium_s10_no_ap'!G14)</f>
        <v/>
      </c>
      <c r="F94">
        <f>IF(OR('titanium_s10_ap'!H14=-1, 'titanium_s10_no_ap'!H14=-1), "", 'titanium_s10_ap'!H14/'titanium_s10_no_ap'!H14)</f>
        <v/>
      </c>
      <c r="G94">
        <f>IF(OR('titanium_s10_ap'!H14=-1, 'titanium_s10_no_ap'!H14=-1), "", 'titanium_s10_ap'!J14/'titanium_s10_no_ap'!J14)</f>
        <v/>
      </c>
      <c r="H94">
        <f>IF(OR('titanium_s10_ap'!H14=-1, 'titanium_s10_no_ap'!H14=-1), "", 'titanium_s10_ap'!K14/'titanium_s10_no_ap'!K14)</f>
        <v/>
      </c>
      <c r="I94">
        <f>IF(OR('titanium_s10_ap'!H14=-1, 'titanium_s10_no_ap'!H14=-1), "", 'titanium_s10_ap'!L14/'titanium_s10_no_ap'!L14)</f>
        <v/>
      </c>
      <c r="J94">
        <f>IF(OR('titanium_s10_ap'!H14=-1, 'titanium_s10_no_ap'!H14=-1), "", 'titanium_s10_ap'!AC14/'titanium_s10_no_ap'!AC14)</f>
        <v/>
      </c>
      <c r="K94">
        <f>IF(OR('titanium_s10_ap'!H14=-1, 'titanium_s10_no_ap'!H14=-1), "", 'titanium_s10_ap'!AD14/'titanium_s10_no_ap'!AD14)</f>
        <v/>
      </c>
    </row>
    <row r="95">
      <c r="A95" t="inlineStr">
        <is>
          <t>titanium_s10</t>
        </is>
      </c>
      <c r="B95" t="inlineStr">
        <is>
          <t>stratix10_arch.timing.xml</t>
        </is>
      </c>
      <c r="C95" t="inlineStr">
        <is>
          <t>DLA_LRN_stratix10_arch_timing.blif</t>
        </is>
      </c>
      <c r="D95">
        <f>IF(OR('titanium_s10_ap'!H15=-1, 'titanium_s10_no_ap'!H15=-1), "", 'titanium_s10_ap'!F15/'titanium_s10_no_ap'!F15)</f>
        <v/>
      </c>
      <c r="E95">
        <f>IF(OR('titanium_s10_ap'!H15=-1, 'titanium_s10_no_ap'!H15=-1), "", 'titanium_s10_ap'!G15/'titanium_s10_no_ap'!G15)</f>
        <v/>
      </c>
      <c r="F95">
        <f>IF(OR('titanium_s10_ap'!H15=-1, 'titanium_s10_no_ap'!H15=-1), "", 'titanium_s10_ap'!H15/'titanium_s10_no_ap'!H15)</f>
        <v/>
      </c>
      <c r="G95">
        <f>IF(OR('titanium_s10_ap'!H15=-1, 'titanium_s10_no_ap'!H15=-1), "", 'titanium_s10_ap'!J15/'titanium_s10_no_ap'!J15)</f>
        <v/>
      </c>
      <c r="H95">
        <f>IF(OR('titanium_s10_ap'!H15=-1, 'titanium_s10_no_ap'!H15=-1), "", 'titanium_s10_ap'!K15/'titanium_s10_no_ap'!K15)</f>
        <v/>
      </c>
      <c r="I95">
        <f>IF(OR('titanium_s10_ap'!H15=-1, 'titanium_s10_no_ap'!H15=-1), "", 'titanium_s10_ap'!L15/'titanium_s10_no_ap'!L15)</f>
        <v/>
      </c>
      <c r="J95">
        <f>IF(OR('titanium_s10_ap'!H15=-1, 'titanium_s10_no_ap'!H15=-1), "", 'titanium_s10_ap'!AC15/'titanium_s10_no_ap'!AC15)</f>
        <v/>
      </c>
      <c r="K95">
        <f>IF(OR('titanium_s10_ap'!H15=-1, 'titanium_s10_no_ap'!H15=-1), "", 'titanium_s10_ap'!AD15/'titanium_s10_no_ap'!AD15)</f>
        <v/>
      </c>
    </row>
    <row r="96">
      <c r="A96" t="inlineStr">
        <is>
          <t>titanium_s10</t>
        </is>
      </c>
      <c r="B96" t="inlineStr">
        <is>
          <t>stratix10_arch.timing.xml</t>
        </is>
      </c>
      <c r="C96" t="inlineStr">
        <is>
          <t>matrix_mult_stratix10_arch_timing.blif</t>
        </is>
      </c>
      <c r="D96">
        <f>IF(OR('titanium_s10_ap'!H16=-1, 'titanium_s10_no_ap'!H16=-1), "", 'titanium_s10_ap'!F16/'titanium_s10_no_ap'!F16)</f>
        <v/>
      </c>
      <c r="E96">
        <f>IF(OR('titanium_s10_ap'!H16=-1, 'titanium_s10_no_ap'!H16=-1), "", 'titanium_s10_ap'!G16/'titanium_s10_no_ap'!G16)</f>
        <v/>
      </c>
      <c r="F96">
        <f>IF(OR('titanium_s10_ap'!H16=-1, 'titanium_s10_no_ap'!H16=-1), "", 'titanium_s10_ap'!H16/'titanium_s10_no_ap'!H16)</f>
        <v/>
      </c>
      <c r="G96">
        <f>IF(OR('titanium_s10_ap'!H16=-1, 'titanium_s10_no_ap'!H16=-1), "", 'titanium_s10_ap'!J16/'titanium_s10_no_ap'!J16)</f>
        <v/>
      </c>
      <c r="H96">
        <f>IF(OR('titanium_s10_ap'!H16=-1, 'titanium_s10_no_ap'!H16=-1), "", 'titanium_s10_ap'!K16/'titanium_s10_no_ap'!K16)</f>
        <v/>
      </c>
      <c r="I96">
        <f>IF(OR('titanium_s10_ap'!H16=-1, 'titanium_s10_no_ap'!H16=-1), "", 'titanium_s10_ap'!L16/'titanium_s10_no_ap'!L16)</f>
        <v/>
      </c>
      <c r="J96">
        <f>IF(OR('titanium_s10_ap'!H16=-1, 'titanium_s10_no_ap'!H16=-1), "", 'titanium_s10_ap'!AC16/'titanium_s10_no_ap'!AC16)</f>
        <v/>
      </c>
      <c r="K96">
        <f>IF(OR('titanium_s10_ap'!H16=-1, 'titanium_s10_no_ap'!H16=-1), "", 'titanium_s10_ap'!AD16/'titanium_s10_no_ap'!AD16)</f>
        <v/>
      </c>
    </row>
    <row r="97">
      <c r="A97" t="inlineStr">
        <is>
          <t>titanium_s10</t>
        </is>
      </c>
      <c r="B97" t="inlineStr">
        <is>
          <t>stratix10_arch.timing.xml</t>
        </is>
      </c>
      <c r="C97" t="inlineStr">
        <is>
          <t>fft1d_stratix10_arch_timing.blif</t>
        </is>
      </c>
      <c r="D97">
        <f>IF(OR('titanium_s10_ap'!H17=-1, 'titanium_s10_no_ap'!H17=-1), "", 'titanium_s10_ap'!F17/'titanium_s10_no_ap'!F17)</f>
        <v/>
      </c>
      <c r="E97">
        <f>IF(OR('titanium_s10_ap'!H17=-1, 'titanium_s10_no_ap'!H17=-1), "", 'titanium_s10_ap'!G17/'titanium_s10_no_ap'!G17)</f>
        <v/>
      </c>
      <c r="F97">
        <f>IF(OR('titanium_s10_ap'!H17=-1, 'titanium_s10_no_ap'!H17=-1), "", 'titanium_s10_ap'!H17/'titanium_s10_no_ap'!H17)</f>
        <v/>
      </c>
      <c r="G97">
        <f>IF(OR('titanium_s10_ap'!H17=-1, 'titanium_s10_no_ap'!H17=-1), "", 'titanium_s10_ap'!J17/'titanium_s10_no_ap'!J17)</f>
        <v/>
      </c>
      <c r="H97">
        <f>IF(OR('titanium_s10_ap'!H17=-1, 'titanium_s10_no_ap'!H17=-1), "", 'titanium_s10_ap'!K17/'titanium_s10_no_ap'!K17)</f>
        <v/>
      </c>
      <c r="I97">
        <f>IF(OR('titanium_s10_ap'!H17=-1, 'titanium_s10_no_ap'!H17=-1), "", 'titanium_s10_ap'!L17/'titanium_s10_no_ap'!L17)</f>
        <v/>
      </c>
      <c r="J97">
        <f>IF(OR('titanium_s10_ap'!H17=-1, 'titanium_s10_no_ap'!H17=-1), "", 'titanium_s10_ap'!AC17/'titanium_s10_no_ap'!AC17)</f>
        <v/>
      </c>
      <c r="K97">
        <f>IF(OR('titanium_s10_ap'!H17=-1, 'titanium_s10_no_ap'!H17=-1), "", 'titanium_s10_ap'!AD17/'titanium_s10_no_ap'!AD17)</f>
        <v/>
      </c>
    </row>
    <row r="98">
      <c r="A98" t="inlineStr">
        <is>
          <t>titanium_s10</t>
        </is>
      </c>
      <c r="B98" t="inlineStr">
        <is>
          <t>stratix10_arch.timing.xml</t>
        </is>
      </c>
      <c r="C98" t="inlineStr">
        <is>
          <t>fft2d_stratix10_arch_timing.blif</t>
        </is>
      </c>
      <c r="D98">
        <f>IF(OR('titanium_s10_ap'!H18=-1, 'titanium_s10_no_ap'!H18=-1), "", 'titanium_s10_ap'!F18/'titanium_s10_no_ap'!F18)</f>
        <v/>
      </c>
      <c r="E98">
        <f>IF(OR('titanium_s10_ap'!H18=-1, 'titanium_s10_no_ap'!H18=-1), "", 'titanium_s10_ap'!G18/'titanium_s10_no_ap'!G18)</f>
        <v/>
      </c>
      <c r="F98">
        <f>IF(OR('titanium_s10_ap'!H18=-1, 'titanium_s10_no_ap'!H18=-1), "", 'titanium_s10_ap'!H18/'titanium_s10_no_ap'!H18)</f>
        <v/>
      </c>
      <c r="G98">
        <f>IF(OR('titanium_s10_ap'!H18=-1, 'titanium_s10_no_ap'!H18=-1), "", 'titanium_s10_ap'!J18/'titanium_s10_no_ap'!J18)</f>
        <v/>
      </c>
      <c r="H98">
        <f>IF(OR('titanium_s10_ap'!H18=-1, 'titanium_s10_no_ap'!H18=-1), "", 'titanium_s10_ap'!K18/'titanium_s10_no_ap'!K18)</f>
        <v/>
      </c>
      <c r="I98">
        <f>IF(OR('titanium_s10_ap'!H18=-1, 'titanium_s10_no_ap'!H18=-1), "", 'titanium_s10_ap'!L18/'titanium_s10_no_ap'!L18)</f>
        <v/>
      </c>
      <c r="J98">
        <f>IF(OR('titanium_s10_ap'!H18=-1, 'titanium_s10_no_ap'!H18=-1), "", 'titanium_s10_ap'!AC18/'titanium_s10_no_ap'!AC18)</f>
        <v/>
      </c>
      <c r="K98">
        <f>IF(OR('titanium_s10_ap'!H18=-1, 'titanium_s10_no_ap'!H18=-1), "", 'titanium_s10_ap'!AD18/'titanium_s10_no_ap'!AD18)</f>
        <v/>
      </c>
    </row>
    <row r="99">
      <c r="A99" t="inlineStr">
        <is>
          <t>titanium_s10</t>
        </is>
      </c>
      <c r="B99" t="inlineStr">
        <is>
          <t>stratix10_arch.timing.xml</t>
        </is>
      </c>
      <c r="C99" t="inlineStr">
        <is>
          <t>DLA_ELT_stratix10_arch_timing.blif</t>
        </is>
      </c>
      <c r="D99">
        <f>IF(OR('titanium_s10_ap'!H19=-1, 'titanium_s10_no_ap'!H19=-1), "", 'titanium_s10_ap'!F19/'titanium_s10_no_ap'!F19)</f>
        <v/>
      </c>
      <c r="E99">
        <f>IF(OR('titanium_s10_ap'!H19=-1, 'titanium_s10_no_ap'!H19=-1), "", 'titanium_s10_ap'!G19/'titanium_s10_no_ap'!G19)</f>
        <v/>
      </c>
      <c r="F99">
        <f>IF(OR('titanium_s10_ap'!H19=-1, 'titanium_s10_no_ap'!H19=-1), "", 'titanium_s10_ap'!H19/'titanium_s10_no_ap'!H19)</f>
        <v/>
      </c>
      <c r="G99">
        <f>IF(OR('titanium_s10_ap'!H19=-1, 'titanium_s10_no_ap'!H19=-1), "", 'titanium_s10_ap'!J19/'titanium_s10_no_ap'!J19)</f>
        <v/>
      </c>
      <c r="H99">
        <f>IF(OR('titanium_s10_ap'!H19=-1, 'titanium_s10_no_ap'!H19=-1), "", 'titanium_s10_ap'!K19/'titanium_s10_no_ap'!K19)</f>
        <v/>
      </c>
      <c r="I99">
        <f>IF(OR('titanium_s10_ap'!H19=-1, 'titanium_s10_no_ap'!H19=-1), "", 'titanium_s10_ap'!L19/'titanium_s10_no_ap'!L19)</f>
        <v/>
      </c>
      <c r="J99">
        <f>IF(OR('titanium_s10_ap'!H19=-1, 'titanium_s10_no_ap'!H19=-1), "", 'titanium_s10_ap'!AC19/'titanium_s10_no_ap'!AC19)</f>
        <v/>
      </c>
      <c r="K99">
        <f>IF(OR('titanium_s10_ap'!H19=-1, 'titanium_s10_no_ap'!H19=-1), "", 'titanium_s10_ap'!AD19/'titanium_s10_no_ap'!AD19)</f>
        <v/>
      </c>
    </row>
    <row r="100">
      <c r="A100" t="inlineStr">
        <is>
          <t>titanium_s10</t>
        </is>
      </c>
      <c r="B100" t="inlineStr">
        <is>
          <t>stratix10_arch.timing.xml</t>
        </is>
      </c>
      <c r="C100" t="inlineStr">
        <is>
          <t>DLA_BSC_stratix10_arch_timing.blif</t>
        </is>
      </c>
      <c r="D100">
        <f>IF(OR('titanium_s10_ap'!H20=-1, 'titanium_s10_no_ap'!H20=-1), "", 'titanium_s10_ap'!F20/'titanium_s10_no_ap'!F20)</f>
        <v/>
      </c>
      <c r="E100">
        <f>IF(OR('titanium_s10_ap'!H20=-1, 'titanium_s10_no_ap'!H20=-1), "", 'titanium_s10_ap'!G20/'titanium_s10_no_ap'!G20)</f>
        <v/>
      </c>
      <c r="F100">
        <f>IF(OR('titanium_s10_ap'!H20=-1, 'titanium_s10_no_ap'!H20=-1), "", 'titanium_s10_ap'!H20/'titanium_s10_no_ap'!H20)</f>
        <v/>
      </c>
      <c r="G100">
        <f>IF(OR('titanium_s10_ap'!H20=-1, 'titanium_s10_no_ap'!H20=-1), "", 'titanium_s10_ap'!J20/'titanium_s10_no_ap'!J20)</f>
        <v/>
      </c>
      <c r="H100">
        <f>IF(OR('titanium_s10_ap'!H20=-1, 'titanium_s10_no_ap'!H20=-1), "", 'titanium_s10_ap'!K20/'titanium_s10_no_ap'!K20)</f>
        <v/>
      </c>
      <c r="I100">
        <f>IF(OR('titanium_s10_ap'!H20=-1, 'titanium_s10_no_ap'!H20=-1), "", 'titanium_s10_ap'!L20/'titanium_s10_no_ap'!L20)</f>
        <v/>
      </c>
      <c r="J100">
        <f>IF(OR('titanium_s10_ap'!H20=-1, 'titanium_s10_no_ap'!H20=-1), "", 'titanium_s10_ap'!AC20/'titanium_s10_no_ap'!AC20)</f>
        <v/>
      </c>
      <c r="K100">
        <f>IF(OR('titanium_s10_ap'!H20=-1, 'titanium_s10_no_ap'!H20=-1), "", 'titanium_s10_ap'!AD20/'titanium_s10_no_ap'!AD20)</f>
        <v/>
      </c>
    </row>
    <row r="101">
      <c r="A101" t="inlineStr">
        <is>
          <t>titanium_s10</t>
        </is>
      </c>
      <c r="B101" t="inlineStr">
        <is>
          <t>stratix10_arch.timing.xml</t>
        </is>
      </c>
      <c r="C101" t="inlineStr">
        <is>
          <t>jpeg_deco_stratix10_arch_timing.blif</t>
        </is>
      </c>
      <c r="D101">
        <f>IF(OR('titanium_s10_ap'!H21=-1, 'titanium_s10_no_ap'!H21=-1), "", 'titanium_s10_ap'!F21/'titanium_s10_no_ap'!F21)</f>
        <v/>
      </c>
      <c r="E101">
        <f>IF(OR('titanium_s10_ap'!H21=-1, 'titanium_s10_no_ap'!H21=-1), "", 'titanium_s10_ap'!G21/'titanium_s10_no_ap'!G21)</f>
        <v/>
      </c>
      <c r="F101">
        <f>IF(OR('titanium_s10_ap'!H21=-1, 'titanium_s10_no_ap'!H21=-1), "", 'titanium_s10_ap'!H21/'titanium_s10_no_ap'!H21)</f>
        <v/>
      </c>
      <c r="G101">
        <f>IF(OR('titanium_s10_ap'!H21=-1, 'titanium_s10_no_ap'!H21=-1), "", 'titanium_s10_ap'!J21/'titanium_s10_no_ap'!J21)</f>
        <v/>
      </c>
      <c r="H101">
        <f>IF(OR('titanium_s10_ap'!H21=-1, 'titanium_s10_no_ap'!H21=-1), "", 'titanium_s10_ap'!K21/'titanium_s10_no_ap'!K21)</f>
        <v/>
      </c>
      <c r="I101">
        <f>IF(OR('titanium_s10_ap'!H21=-1, 'titanium_s10_no_ap'!H21=-1), "", 'titanium_s10_ap'!L21/'titanium_s10_no_ap'!L21)</f>
        <v/>
      </c>
      <c r="J101">
        <f>IF(OR('titanium_s10_ap'!H21=-1, 'titanium_s10_no_ap'!H21=-1), "", 'titanium_s10_ap'!AC21/'titanium_s10_no_ap'!AC21)</f>
        <v/>
      </c>
      <c r="K101">
        <f>IF(OR('titanium_s10_ap'!H21=-1, 'titanium_s10_no_ap'!H21=-1), "", 'titanium_s10_ap'!AD21/'titanium_s10_no_ap'!AD21)</f>
        <v/>
      </c>
    </row>
    <row r="102">
      <c r="A102" t="inlineStr">
        <is>
          <t>titanium_s10</t>
        </is>
      </c>
      <c r="B102" t="inlineStr">
        <is>
          <t>stratix10_arch.timing.xml</t>
        </is>
      </c>
      <c r="C102" t="inlineStr">
        <is>
          <t>nyuzi_stratix10_arch_timing.blif</t>
        </is>
      </c>
      <c r="D102">
        <f>IF(OR('titanium_s10_ap'!H22=-1, 'titanium_s10_no_ap'!H22=-1), "", 'titanium_s10_ap'!F22/'titanium_s10_no_ap'!F22)</f>
        <v/>
      </c>
      <c r="E102">
        <f>IF(OR('titanium_s10_ap'!H22=-1, 'titanium_s10_no_ap'!H22=-1), "", 'titanium_s10_ap'!G22/'titanium_s10_no_ap'!G22)</f>
        <v/>
      </c>
      <c r="F102">
        <f>IF(OR('titanium_s10_ap'!H22=-1, 'titanium_s10_no_ap'!H22=-1), "", 'titanium_s10_ap'!H22/'titanium_s10_no_ap'!H22)</f>
        <v/>
      </c>
      <c r="G102">
        <f>IF(OR('titanium_s10_ap'!H22=-1, 'titanium_s10_no_ap'!H22=-1), "", 'titanium_s10_ap'!J22/'titanium_s10_no_ap'!J22)</f>
        <v/>
      </c>
      <c r="H102">
        <f>IF(OR('titanium_s10_ap'!H22=-1, 'titanium_s10_no_ap'!H22=-1), "", 'titanium_s10_ap'!K22/'titanium_s10_no_ap'!K22)</f>
        <v/>
      </c>
      <c r="I102">
        <f>IF(OR('titanium_s10_ap'!H22=-1, 'titanium_s10_no_ap'!H22=-1), "", 'titanium_s10_ap'!L22/'titanium_s10_no_ap'!L22)</f>
        <v/>
      </c>
      <c r="J102">
        <f>IF(OR('titanium_s10_ap'!H22=-1, 'titanium_s10_no_ap'!H22=-1), "", 'titanium_s10_ap'!AC22/'titanium_s10_no_ap'!AC22)</f>
        <v/>
      </c>
      <c r="K102">
        <f>IF(OR('titanium_s10_ap'!H22=-1, 'titanium_s10_no_ap'!H22=-1), "", 'titanium_s10_ap'!AD22/'titanium_s10_no_ap'!AD22)</f>
        <v/>
      </c>
    </row>
    <row r="103">
      <c r="A103" t="inlineStr">
        <is>
          <t>titanium_s10</t>
        </is>
      </c>
      <c r="B103" t="inlineStr">
        <is>
          <t>stratix10_arch.timing.xml</t>
        </is>
      </c>
      <c r="C103" t="inlineStr">
        <is>
          <t>sobel_stratix10_arch_timing.blif</t>
        </is>
      </c>
      <c r="D103">
        <f>IF(OR('titanium_s10_ap'!H23=-1, 'titanium_s10_no_ap'!H23=-1), "", 'titanium_s10_ap'!F23/'titanium_s10_no_ap'!F23)</f>
        <v/>
      </c>
      <c r="E103">
        <f>IF(OR('titanium_s10_ap'!H23=-1, 'titanium_s10_no_ap'!H23=-1), "", 'titanium_s10_ap'!G23/'titanium_s10_no_ap'!G23)</f>
        <v/>
      </c>
      <c r="F103">
        <f>IF(OR('titanium_s10_ap'!H23=-1, 'titanium_s10_no_ap'!H23=-1), "", 'titanium_s10_ap'!H23/'titanium_s10_no_ap'!H23)</f>
        <v/>
      </c>
      <c r="G103">
        <f>IF(OR('titanium_s10_ap'!H23=-1, 'titanium_s10_no_ap'!H23=-1), "", 'titanium_s10_ap'!J23/'titanium_s10_no_ap'!J23)</f>
        <v/>
      </c>
      <c r="H103">
        <f>IF(OR('titanium_s10_ap'!H23=-1, 'titanium_s10_no_ap'!H23=-1), "", 'titanium_s10_ap'!K23/'titanium_s10_no_ap'!K23)</f>
        <v/>
      </c>
      <c r="I103">
        <f>IF(OR('titanium_s10_ap'!H23=-1, 'titanium_s10_no_ap'!H23=-1), "", 'titanium_s10_ap'!L23/'titanium_s10_no_ap'!L23)</f>
        <v/>
      </c>
      <c r="J103">
        <f>IF(OR('titanium_s10_ap'!H23=-1, 'titanium_s10_no_ap'!H23=-1), "", 'titanium_s10_ap'!AC23/'titanium_s10_no_ap'!AC23)</f>
        <v/>
      </c>
      <c r="K103">
        <f>IF(OR('titanium_s10_ap'!H23=-1, 'titanium_s10_no_ap'!H23=-1), "", 'titanium_s10_ap'!AD23/'titanium_s10_no_ap'!AD23)</f>
        <v/>
      </c>
    </row>
    <row r="104">
      <c r="A104" t="inlineStr">
        <is>
          <t>titanium_s10</t>
        </is>
      </c>
      <c r="B104" t="inlineStr">
        <is>
          <t>stratix10_arch.timing.xml</t>
        </is>
      </c>
      <c r="C104" t="inlineStr">
        <is>
          <t>rocket31_stratix10_arch_timing.blif</t>
        </is>
      </c>
      <c r="D104">
        <f>IF(OR('titanium_s10_ap'!H24=-1, 'titanium_s10_no_ap'!H24=-1), "", 'titanium_s10_ap'!F24/'titanium_s10_no_ap'!F24)</f>
        <v/>
      </c>
      <c r="E104">
        <f>IF(OR('titanium_s10_ap'!H24=-1, 'titanium_s10_no_ap'!H24=-1), "", 'titanium_s10_ap'!G24/'titanium_s10_no_ap'!G24)</f>
        <v/>
      </c>
      <c r="F104">
        <f>IF(OR('titanium_s10_ap'!H24=-1, 'titanium_s10_no_ap'!H24=-1), "", 'titanium_s10_ap'!H24/'titanium_s10_no_ap'!H24)</f>
        <v/>
      </c>
      <c r="G104">
        <f>IF(OR('titanium_s10_ap'!H24=-1, 'titanium_s10_no_ap'!H24=-1), "", 'titanium_s10_ap'!J24/'titanium_s10_no_ap'!J24)</f>
        <v/>
      </c>
      <c r="H104">
        <f>IF(OR('titanium_s10_ap'!H24=-1, 'titanium_s10_no_ap'!H24=-1), "", 'titanium_s10_ap'!K24/'titanium_s10_no_ap'!K24)</f>
        <v/>
      </c>
      <c r="I104">
        <f>IF(OR('titanium_s10_ap'!H24=-1, 'titanium_s10_no_ap'!H24=-1), "", 'titanium_s10_ap'!L24/'titanium_s10_no_ap'!L24)</f>
        <v/>
      </c>
      <c r="J104">
        <f>IF(OR('titanium_s10_ap'!H24=-1, 'titanium_s10_no_ap'!H24=-1), "", 'titanium_s10_ap'!AC24/'titanium_s10_no_ap'!AC24)</f>
        <v/>
      </c>
      <c r="K104">
        <f>IF(OR('titanium_s10_ap'!H24=-1, 'titanium_s10_no_ap'!H24=-1), "", 'titanium_s10_ap'!AD24/'titanium_s10_no_ap'!AD24)</f>
        <v/>
      </c>
    </row>
    <row r="105">
      <c r="A105" t="inlineStr">
        <is>
          <t>titanium_s10</t>
        </is>
      </c>
      <c r="B105" t="inlineStr">
        <is>
          <t>stratix10_arch.timing.xml</t>
        </is>
      </c>
      <c r="C105" t="inlineStr">
        <is>
          <t>neko_stratix10_arch_timing.blif</t>
        </is>
      </c>
      <c r="D105">
        <f>IF(OR('titanium_s10_ap'!H25=-1, 'titanium_s10_no_ap'!H25=-1), "", 'titanium_s10_ap'!F25/'titanium_s10_no_ap'!F25)</f>
        <v/>
      </c>
      <c r="E105">
        <f>IF(OR('titanium_s10_ap'!H25=-1, 'titanium_s10_no_ap'!H25=-1), "", 'titanium_s10_ap'!G25/'titanium_s10_no_ap'!G25)</f>
        <v/>
      </c>
      <c r="F105">
        <f>IF(OR('titanium_s10_ap'!H25=-1, 'titanium_s10_no_ap'!H25=-1), "", 'titanium_s10_ap'!H25/'titanium_s10_no_ap'!H25)</f>
        <v/>
      </c>
      <c r="G105">
        <f>IF(OR('titanium_s10_ap'!H25=-1, 'titanium_s10_no_ap'!H25=-1), "", 'titanium_s10_ap'!J25/'titanium_s10_no_ap'!J25)</f>
        <v/>
      </c>
      <c r="H105">
        <f>IF(OR('titanium_s10_ap'!H25=-1, 'titanium_s10_no_ap'!H25=-1), "", 'titanium_s10_ap'!K25/'titanium_s10_no_ap'!K25)</f>
        <v/>
      </c>
      <c r="I105">
        <f>IF(OR('titanium_s10_ap'!H25=-1, 'titanium_s10_no_ap'!H25=-1), "", 'titanium_s10_ap'!L25/'titanium_s10_no_ap'!L25)</f>
        <v/>
      </c>
      <c r="J105">
        <f>IF(OR('titanium_s10_ap'!H25=-1, 'titanium_s10_no_ap'!H25=-1), "", 'titanium_s10_ap'!AC25/'titanium_s10_no_ap'!AC25)</f>
        <v/>
      </c>
      <c r="K105">
        <f>IF(OR('titanium_s10_ap'!H25=-1, 'titanium_s10_no_ap'!H25=-1), "", 'titanium_s10_ap'!AD25/'titanium_s10_no_ap'!AD25)</f>
        <v/>
      </c>
    </row>
    <row r="106">
      <c r="A106" t="inlineStr">
        <is>
          <t>titanium_s10</t>
        </is>
      </c>
      <c r="B106" t="inlineStr"/>
      <c r="C106" t="inlineStr">
        <is>
          <t>GEOMEAN</t>
        </is>
      </c>
      <c r="D106">
        <f>GEOMEAN(D82:D105)</f>
        <v/>
      </c>
      <c r="E106">
        <f>GEOMEAN(E82:E105)</f>
        <v/>
      </c>
      <c r="F106">
        <f>GEOMEAN(F82:F105)</f>
        <v/>
      </c>
      <c r="G106">
        <f>GEOMEAN(G82:G105)</f>
        <v/>
      </c>
      <c r="H106">
        <f>GEOMEAN(H82:H105)</f>
        <v/>
      </c>
      <c r="I106">
        <f>GEOMEAN(I82:I105)</f>
        <v/>
      </c>
      <c r="J106">
        <f>GEOMEAN(J82:J105)</f>
        <v/>
      </c>
      <c r="K106">
        <f>GEOMEAN(K82:K105)</f>
        <v/>
      </c>
    </row>
    <row r="107">
      <c r="A107" t="inlineStr">
        <is>
          <t>titanium_s10</t>
        </is>
      </c>
      <c r="B107" t="inlineStr"/>
      <c r="C107" t="inlineStr">
        <is>
          <t>UNROUTES</t>
        </is>
      </c>
      <c r="D107">
        <f>24 - COUNT(F82:F105)</f>
        <v/>
      </c>
    </row>
    <row r="108">
      <c r="A108" t="inlineStr"/>
    </row>
    <row r="109">
      <c r="A109" t="inlineStr">
        <is>
          <t>z1000</t>
        </is>
      </c>
      <c r="B109" t="inlineStr">
        <is>
          <t>z1000.xml</t>
        </is>
      </c>
      <c r="C109" t="inlineStr">
        <is>
          <t>alu4.blif</t>
        </is>
      </c>
      <c r="D109">
        <f>IF(OR('z1000_ap'!H2=-1, 'z1000_no_ap'!H2=-1), "", 'z1000_ap'!F2/'z1000_no_ap'!F2)</f>
        <v/>
      </c>
      <c r="E109">
        <f>IF(OR('z1000_ap'!H2=-1, 'z1000_no_ap'!H2=-1), "", 'z1000_ap'!G2/'z1000_no_ap'!G2)</f>
        <v/>
      </c>
      <c r="F109">
        <f>IF(OR('z1000_ap'!H2=-1, 'z1000_no_ap'!H2=-1), "", 'z1000_ap'!H2/'z1000_no_ap'!H2)</f>
        <v/>
      </c>
      <c r="G109">
        <f>IF(OR('z1000_ap'!H2=-1, 'z1000_no_ap'!H2=-1), "", 'z1000_ap'!J2/'z1000_no_ap'!J2)</f>
        <v/>
      </c>
      <c r="H109">
        <f>IF(OR('z1000_ap'!H2=-1, 'z1000_no_ap'!H2=-1), "", 'z1000_ap'!K2/'z1000_no_ap'!K2)</f>
        <v/>
      </c>
      <c r="I109">
        <f>IF(OR('z1000_ap'!H2=-1, 'z1000_no_ap'!H2=-1), "", 'z1000_ap'!L2/'z1000_no_ap'!L2)</f>
        <v/>
      </c>
      <c r="J109">
        <f>IF(OR('z1000_ap'!H2=-1, 'z1000_no_ap'!H2=-1), "", 'z1000_ap'!AC2/'z1000_no_ap'!AC2)</f>
        <v/>
      </c>
      <c r="K109">
        <f>IF(OR('z1000_ap'!H2=-1, 'z1000_no_ap'!H2=-1), "", 'z1000_ap'!AD2/'z1000_no_ap'!AD2)</f>
        <v/>
      </c>
    </row>
    <row r="110">
      <c r="A110" t="inlineStr">
        <is>
          <t>z1000</t>
        </is>
      </c>
      <c r="B110" t="inlineStr">
        <is>
          <t>z1000.xml</t>
        </is>
      </c>
      <c r="C110" t="inlineStr">
        <is>
          <t>apex4.blif</t>
        </is>
      </c>
      <c r="D110">
        <f>IF(OR('z1000_ap'!H3=-1, 'z1000_no_ap'!H3=-1), "", 'z1000_ap'!F3/'z1000_no_ap'!F3)</f>
        <v/>
      </c>
      <c r="E110">
        <f>IF(OR('z1000_ap'!H3=-1, 'z1000_no_ap'!H3=-1), "", 'z1000_ap'!G3/'z1000_no_ap'!G3)</f>
        <v/>
      </c>
      <c r="F110">
        <f>IF(OR('z1000_ap'!H3=-1, 'z1000_no_ap'!H3=-1), "", 'z1000_ap'!H3/'z1000_no_ap'!H3)</f>
        <v/>
      </c>
      <c r="G110">
        <f>IF(OR('z1000_ap'!H3=-1, 'z1000_no_ap'!H3=-1), "", 'z1000_ap'!J3/'z1000_no_ap'!J3)</f>
        <v/>
      </c>
      <c r="H110">
        <f>IF(OR('z1000_ap'!H3=-1, 'z1000_no_ap'!H3=-1), "", 'z1000_ap'!K3/'z1000_no_ap'!K3)</f>
        <v/>
      </c>
      <c r="I110">
        <f>IF(OR('z1000_ap'!H3=-1, 'z1000_no_ap'!H3=-1), "", 'z1000_ap'!L3/'z1000_no_ap'!L3)</f>
        <v/>
      </c>
      <c r="J110">
        <f>IF(OR('z1000_ap'!H3=-1, 'z1000_no_ap'!H3=-1), "", 'z1000_ap'!AC3/'z1000_no_ap'!AC3)</f>
        <v/>
      </c>
      <c r="K110">
        <f>IF(OR('z1000_ap'!H3=-1, 'z1000_no_ap'!H3=-1), "", 'z1000_ap'!AD3/'z1000_no_ap'!AD3)</f>
        <v/>
      </c>
    </row>
    <row r="111">
      <c r="A111" t="inlineStr">
        <is>
          <t>z1000</t>
        </is>
      </c>
      <c r="B111" t="inlineStr">
        <is>
          <t>z1000.xml</t>
        </is>
      </c>
      <c r="C111" t="inlineStr">
        <is>
          <t>bigkey.blif</t>
        </is>
      </c>
      <c r="D111">
        <f>IF(OR('z1000_ap'!H4=-1, 'z1000_no_ap'!H4=-1), "", 'z1000_ap'!F4/'z1000_no_ap'!F4)</f>
        <v/>
      </c>
      <c r="E111">
        <f>IF(OR('z1000_ap'!H4=-1, 'z1000_no_ap'!H4=-1), "", 'z1000_ap'!G4/'z1000_no_ap'!G4)</f>
        <v/>
      </c>
      <c r="F111">
        <f>IF(OR('z1000_ap'!H4=-1, 'z1000_no_ap'!H4=-1), "", 'z1000_ap'!H4/'z1000_no_ap'!H4)</f>
        <v/>
      </c>
      <c r="G111">
        <f>IF(OR('z1000_ap'!H4=-1, 'z1000_no_ap'!H4=-1), "", 'z1000_ap'!J4/'z1000_no_ap'!J4)</f>
        <v/>
      </c>
      <c r="H111">
        <f>IF(OR('z1000_ap'!H4=-1, 'z1000_no_ap'!H4=-1), "", 'z1000_ap'!K4/'z1000_no_ap'!K4)</f>
        <v/>
      </c>
      <c r="I111">
        <f>IF(OR('z1000_ap'!H4=-1, 'z1000_no_ap'!H4=-1), "", 'z1000_ap'!L4/'z1000_no_ap'!L4)</f>
        <v/>
      </c>
      <c r="J111">
        <f>IF(OR('z1000_ap'!H4=-1, 'z1000_no_ap'!H4=-1), "", 'z1000_ap'!AC4/'z1000_no_ap'!AC4)</f>
        <v/>
      </c>
      <c r="K111">
        <f>IF(OR('z1000_ap'!H4=-1, 'z1000_no_ap'!H4=-1), "", 'z1000_ap'!AD4/'z1000_no_ap'!AD4)</f>
        <v/>
      </c>
    </row>
    <row r="112">
      <c r="A112" t="inlineStr">
        <is>
          <t>z1000</t>
        </is>
      </c>
      <c r="B112" t="inlineStr">
        <is>
          <t>z1000.xml</t>
        </is>
      </c>
      <c r="C112" t="inlineStr">
        <is>
          <t>des.blif</t>
        </is>
      </c>
      <c r="D112">
        <f>IF(OR('z1000_ap'!H5=-1, 'z1000_no_ap'!H5=-1), "", 'z1000_ap'!F5/'z1000_no_ap'!F5)</f>
        <v/>
      </c>
      <c r="E112">
        <f>IF(OR('z1000_ap'!H5=-1, 'z1000_no_ap'!H5=-1), "", 'z1000_ap'!G5/'z1000_no_ap'!G5)</f>
        <v/>
      </c>
      <c r="F112">
        <f>IF(OR('z1000_ap'!H5=-1, 'z1000_no_ap'!H5=-1), "", 'z1000_ap'!H5/'z1000_no_ap'!H5)</f>
        <v/>
      </c>
      <c r="G112">
        <f>IF(OR('z1000_ap'!H5=-1, 'z1000_no_ap'!H5=-1), "", 'z1000_ap'!J5/'z1000_no_ap'!J5)</f>
        <v/>
      </c>
      <c r="H112">
        <f>IF(OR('z1000_ap'!H5=-1, 'z1000_no_ap'!H5=-1), "", 'z1000_ap'!K5/'z1000_no_ap'!K5)</f>
        <v/>
      </c>
      <c r="I112">
        <f>IF(OR('z1000_ap'!H5=-1, 'z1000_no_ap'!H5=-1), "", 'z1000_ap'!L5/'z1000_no_ap'!L5)</f>
        <v/>
      </c>
      <c r="J112">
        <f>IF(OR('z1000_ap'!H5=-1, 'z1000_no_ap'!H5=-1), "", 'z1000_ap'!AC5/'z1000_no_ap'!AC5)</f>
        <v/>
      </c>
      <c r="K112">
        <f>IF(OR('z1000_ap'!H5=-1, 'z1000_no_ap'!H5=-1), "", 'z1000_ap'!AD5/'z1000_no_ap'!AD5)</f>
        <v/>
      </c>
    </row>
    <row r="113">
      <c r="A113" t="inlineStr">
        <is>
          <t>z1000</t>
        </is>
      </c>
      <c r="B113" t="inlineStr">
        <is>
          <t>z1000.xml</t>
        </is>
      </c>
      <c r="C113" t="inlineStr">
        <is>
          <t>diffeq.blif</t>
        </is>
      </c>
      <c r="D113">
        <f>IF(OR('z1000_ap'!H6=-1, 'z1000_no_ap'!H6=-1), "", 'z1000_ap'!F6/'z1000_no_ap'!F6)</f>
        <v/>
      </c>
      <c r="E113">
        <f>IF(OR('z1000_ap'!H6=-1, 'z1000_no_ap'!H6=-1), "", 'z1000_ap'!G6/'z1000_no_ap'!G6)</f>
        <v/>
      </c>
      <c r="F113">
        <f>IF(OR('z1000_ap'!H6=-1, 'z1000_no_ap'!H6=-1), "", 'z1000_ap'!H6/'z1000_no_ap'!H6)</f>
        <v/>
      </c>
      <c r="G113">
        <f>IF(OR('z1000_ap'!H6=-1, 'z1000_no_ap'!H6=-1), "", 'z1000_ap'!J6/'z1000_no_ap'!J6)</f>
        <v/>
      </c>
      <c r="H113">
        <f>IF(OR('z1000_ap'!H6=-1, 'z1000_no_ap'!H6=-1), "", 'z1000_ap'!K6/'z1000_no_ap'!K6)</f>
        <v/>
      </c>
      <c r="I113">
        <f>IF(OR('z1000_ap'!H6=-1, 'z1000_no_ap'!H6=-1), "", 'z1000_ap'!L6/'z1000_no_ap'!L6)</f>
        <v/>
      </c>
      <c r="J113">
        <f>IF(OR('z1000_ap'!H6=-1, 'z1000_no_ap'!H6=-1), "", 'z1000_ap'!AC6/'z1000_no_ap'!AC6)</f>
        <v/>
      </c>
      <c r="K113">
        <f>IF(OR('z1000_ap'!H6=-1, 'z1000_no_ap'!H6=-1), "", 'z1000_ap'!AD6/'z1000_no_ap'!AD6)</f>
        <v/>
      </c>
    </row>
    <row r="114">
      <c r="A114" t="inlineStr">
        <is>
          <t>z1000</t>
        </is>
      </c>
      <c r="B114" t="inlineStr">
        <is>
          <t>z1000.xml</t>
        </is>
      </c>
      <c r="C114" t="inlineStr">
        <is>
          <t>dsip.blif</t>
        </is>
      </c>
      <c r="D114">
        <f>IF(OR('z1000_ap'!H7=-1, 'z1000_no_ap'!H7=-1), "", 'z1000_ap'!F7/'z1000_no_ap'!F7)</f>
        <v/>
      </c>
      <c r="E114">
        <f>IF(OR('z1000_ap'!H7=-1, 'z1000_no_ap'!H7=-1), "", 'z1000_ap'!G7/'z1000_no_ap'!G7)</f>
        <v/>
      </c>
      <c r="F114">
        <f>IF(OR('z1000_ap'!H7=-1, 'z1000_no_ap'!H7=-1), "", 'z1000_ap'!H7/'z1000_no_ap'!H7)</f>
        <v/>
      </c>
      <c r="G114">
        <f>IF(OR('z1000_ap'!H7=-1, 'z1000_no_ap'!H7=-1), "", 'z1000_ap'!J7/'z1000_no_ap'!J7)</f>
        <v/>
      </c>
      <c r="H114">
        <f>IF(OR('z1000_ap'!H7=-1, 'z1000_no_ap'!H7=-1), "", 'z1000_ap'!K7/'z1000_no_ap'!K7)</f>
        <v/>
      </c>
      <c r="I114">
        <f>IF(OR('z1000_ap'!H7=-1, 'z1000_no_ap'!H7=-1), "", 'z1000_ap'!L7/'z1000_no_ap'!L7)</f>
        <v/>
      </c>
      <c r="J114">
        <f>IF(OR('z1000_ap'!H7=-1, 'z1000_no_ap'!H7=-1), "", 'z1000_ap'!AC7/'z1000_no_ap'!AC7)</f>
        <v/>
      </c>
      <c r="K114">
        <f>IF(OR('z1000_ap'!H7=-1, 'z1000_no_ap'!H7=-1), "", 'z1000_ap'!AD7/'z1000_no_ap'!AD7)</f>
        <v/>
      </c>
    </row>
    <row r="115">
      <c r="A115" t="inlineStr">
        <is>
          <t>z1000</t>
        </is>
      </c>
      <c r="B115" t="inlineStr">
        <is>
          <t>z1000.xml</t>
        </is>
      </c>
      <c r="C115" t="inlineStr">
        <is>
          <t>ex5p.blif</t>
        </is>
      </c>
      <c r="D115">
        <f>IF(OR('z1000_ap'!H8=-1, 'z1000_no_ap'!H8=-1), "", 'z1000_ap'!F8/'z1000_no_ap'!F8)</f>
        <v/>
      </c>
      <c r="E115">
        <f>IF(OR('z1000_ap'!H8=-1, 'z1000_no_ap'!H8=-1), "", 'z1000_ap'!G8/'z1000_no_ap'!G8)</f>
        <v/>
      </c>
      <c r="F115">
        <f>IF(OR('z1000_ap'!H8=-1, 'z1000_no_ap'!H8=-1), "", 'z1000_ap'!H8/'z1000_no_ap'!H8)</f>
        <v/>
      </c>
      <c r="G115">
        <f>IF(OR('z1000_ap'!H8=-1, 'z1000_no_ap'!H8=-1), "", 'z1000_ap'!J8/'z1000_no_ap'!J8)</f>
        <v/>
      </c>
      <c r="H115">
        <f>IF(OR('z1000_ap'!H8=-1, 'z1000_no_ap'!H8=-1), "", 'z1000_ap'!K8/'z1000_no_ap'!K8)</f>
        <v/>
      </c>
      <c r="I115">
        <f>IF(OR('z1000_ap'!H8=-1, 'z1000_no_ap'!H8=-1), "", 'z1000_ap'!L8/'z1000_no_ap'!L8)</f>
        <v/>
      </c>
      <c r="J115">
        <f>IF(OR('z1000_ap'!H8=-1, 'z1000_no_ap'!H8=-1), "", 'z1000_ap'!AC8/'z1000_no_ap'!AC8)</f>
        <v/>
      </c>
      <c r="K115">
        <f>IF(OR('z1000_ap'!H8=-1, 'z1000_no_ap'!H8=-1), "", 'z1000_ap'!AD8/'z1000_no_ap'!AD8)</f>
        <v/>
      </c>
    </row>
    <row r="116">
      <c r="A116" t="inlineStr">
        <is>
          <t>z1000</t>
        </is>
      </c>
      <c r="B116" t="inlineStr">
        <is>
          <t>z1000.xml</t>
        </is>
      </c>
      <c r="C116" t="inlineStr">
        <is>
          <t>misex3.blif</t>
        </is>
      </c>
      <c r="D116">
        <f>IF(OR('z1000_ap'!H9=-1, 'z1000_no_ap'!H9=-1), "", 'z1000_ap'!F9/'z1000_no_ap'!F9)</f>
        <v/>
      </c>
      <c r="E116">
        <f>IF(OR('z1000_ap'!H9=-1, 'z1000_no_ap'!H9=-1), "", 'z1000_ap'!G9/'z1000_no_ap'!G9)</f>
        <v/>
      </c>
      <c r="F116">
        <f>IF(OR('z1000_ap'!H9=-1, 'z1000_no_ap'!H9=-1), "", 'z1000_ap'!H9/'z1000_no_ap'!H9)</f>
        <v/>
      </c>
      <c r="G116">
        <f>IF(OR('z1000_ap'!H9=-1, 'z1000_no_ap'!H9=-1), "", 'z1000_ap'!J9/'z1000_no_ap'!J9)</f>
        <v/>
      </c>
      <c r="H116">
        <f>IF(OR('z1000_ap'!H9=-1, 'z1000_no_ap'!H9=-1), "", 'z1000_ap'!K9/'z1000_no_ap'!K9)</f>
        <v/>
      </c>
      <c r="I116">
        <f>IF(OR('z1000_ap'!H9=-1, 'z1000_no_ap'!H9=-1), "", 'z1000_ap'!L9/'z1000_no_ap'!L9)</f>
        <v/>
      </c>
      <c r="J116">
        <f>IF(OR('z1000_ap'!H9=-1, 'z1000_no_ap'!H9=-1), "", 'z1000_ap'!AC9/'z1000_no_ap'!AC9)</f>
        <v/>
      </c>
      <c r="K116">
        <f>IF(OR('z1000_ap'!H9=-1, 'z1000_no_ap'!H9=-1), "", 'z1000_ap'!AD9/'z1000_no_ap'!AD9)</f>
        <v/>
      </c>
    </row>
    <row r="117">
      <c r="A117" t="inlineStr">
        <is>
          <t>z1000</t>
        </is>
      </c>
      <c r="B117" t="inlineStr">
        <is>
          <t>z1000.xml</t>
        </is>
      </c>
      <c r="C117" t="inlineStr">
        <is>
          <t>seq.blif</t>
        </is>
      </c>
      <c r="D117">
        <f>IF(OR('z1000_ap'!H10=-1, 'z1000_no_ap'!H10=-1), "", 'z1000_ap'!F10/'z1000_no_ap'!F10)</f>
        <v/>
      </c>
      <c r="E117">
        <f>IF(OR('z1000_ap'!H10=-1, 'z1000_no_ap'!H10=-1), "", 'z1000_ap'!G10/'z1000_no_ap'!G10)</f>
        <v/>
      </c>
      <c r="F117">
        <f>IF(OR('z1000_ap'!H10=-1, 'z1000_no_ap'!H10=-1), "", 'z1000_ap'!H10/'z1000_no_ap'!H10)</f>
        <v/>
      </c>
      <c r="G117">
        <f>IF(OR('z1000_ap'!H10=-1, 'z1000_no_ap'!H10=-1), "", 'z1000_ap'!J10/'z1000_no_ap'!J10)</f>
        <v/>
      </c>
      <c r="H117">
        <f>IF(OR('z1000_ap'!H10=-1, 'z1000_no_ap'!H10=-1), "", 'z1000_ap'!K10/'z1000_no_ap'!K10)</f>
        <v/>
      </c>
      <c r="I117">
        <f>IF(OR('z1000_ap'!H10=-1, 'z1000_no_ap'!H10=-1), "", 'z1000_ap'!L10/'z1000_no_ap'!L10)</f>
        <v/>
      </c>
      <c r="J117">
        <f>IF(OR('z1000_ap'!H10=-1, 'z1000_no_ap'!H10=-1), "", 'z1000_ap'!AC10/'z1000_no_ap'!AC10)</f>
        <v/>
      </c>
      <c r="K117">
        <f>IF(OR('z1000_ap'!H10=-1, 'z1000_no_ap'!H10=-1), "", 'z1000_ap'!AD10/'z1000_no_ap'!AD10)</f>
        <v/>
      </c>
    </row>
    <row r="118">
      <c r="A118" t="inlineStr">
        <is>
          <t>z1000</t>
        </is>
      </c>
      <c r="B118" t="inlineStr">
        <is>
          <t>z1000.xml</t>
        </is>
      </c>
      <c r="C118" t="inlineStr">
        <is>
          <t>tseng.blif</t>
        </is>
      </c>
      <c r="D118">
        <f>IF(OR('z1000_ap'!H11=-1, 'z1000_no_ap'!H11=-1), "", 'z1000_ap'!F11/'z1000_no_ap'!F11)</f>
        <v/>
      </c>
      <c r="E118">
        <f>IF(OR('z1000_ap'!H11=-1, 'z1000_no_ap'!H11=-1), "", 'z1000_ap'!G11/'z1000_no_ap'!G11)</f>
        <v/>
      </c>
      <c r="F118">
        <f>IF(OR('z1000_ap'!H11=-1, 'z1000_no_ap'!H11=-1), "", 'z1000_ap'!H11/'z1000_no_ap'!H11)</f>
        <v/>
      </c>
      <c r="G118">
        <f>IF(OR('z1000_ap'!H11=-1, 'z1000_no_ap'!H11=-1), "", 'z1000_ap'!J11/'z1000_no_ap'!J11)</f>
        <v/>
      </c>
      <c r="H118">
        <f>IF(OR('z1000_ap'!H11=-1, 'z1000_no_ap'!H11=-1), "", 'z1000_ap'!K11/'z1000_no_ap'!K11)</f>
        <v/>
      </c>
      <c r="I118">
        <f>IF(OR('z1000_ap'!H11=-1, 'z1000_no_ap'!H11=-1), "", 'z1000_ap'!L11/'z1000_no_ap'!L11)</f>
        <v/>
      </c>
      <c r="J118">
        <f>IF(OR('z1000_ap'!H11=-1, 'z1000_no_ap'!H11=-1), "", 'z1000_ap'!AC11/'z1000_no_ap'!AC11)</f>
        <v/>
      </c>
      <c r="K118">
        <f>IF(OR('z1000_ap'!H11=-1, 'z1000_no_ap'!H11=-1), "", 'z1000_ap'!AD11/'z1000_no_ap'!AD11)</f>
        <v/>
      </c>
    </row>
    <row r="119">
      <c r="A119" t="inlineStr">
        <is>
          <t>z1000</t>
        </is>
      </c>
      <c r="B119" t="inlineStr"/>
      <c r="C119" t="inlineStr">
        <is>
          <t>GEOMEAN</t>
        </is>
      </c>
      <c r="D119">
        <f>GEOMEAN(D109:D118)</f>
        <v/>
      </c>
      <c r="E119">
        <f>GEOMEAN(E109:E118)</f>
        <v/>
      </c>
      <c r="F119">
        <f>GEOMEAN(F109:F118)</f>
        <v/>
      </c>
      <c r="G119">
        <f>GEOMEAN(G109:G118)</f>
        <v/>
      </c>
      <c r="H119">
        <f>GEOMEAN(H109:H118)</f>
        <v/>
      </c>
      <c r="I119">
        <f>GEOMEAN(I109:I118)</f>
        <v/>
      </c>
      <c r="J119">
        <f>GEOMEAN(J109:J118)</f>
        <v/>
      </c>
      <c r="K119">
        <f>GEOMEAN(K109:K118)</f>
        <v/>
      </c>
    </row>
    <row r="120">
      <c r="A120" t="inlineStr">
        <is>
          <t>z1000</t>
        </is>
      </c>
      <c r="B120" t="inlineStr"/>
      <c r="C120" t="inlineStr">
        <is>
          <t>UNROUTES</t>
        </is>
      </c>
      <c r="D120">
        <f>10 - COUNT(F109:F118)</f>
        <v/>
      </c>
    </row>
    <row r="121">
      <c r="A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120581</v>
      </c>
      <c r="F2" t="n">
        <v>129620</v>
      </c>
      <c r="G2" t="n">
        <v>107787</v>
      </c>
      <c r="H2" t="n">
        <v>144282</v>
      </c>
      <c r="I2" t="n">
        <v>22.066996</v>
      </c>
      <c r="J2" t="n">
        <v>24.576</v>
      </c>
      <c r="K2" t="n">
        <v>22.3311</v>
      </c>
      <c r="L2" t="n">
        <v>23.0565</v>
      </c>
      <c r="M2" t="n">
        <v>-243842.640625</v>
      </c>
      <c r="N2" t="n">
        <v>-255843</v>
      </c>
      <c r="O2" t="n">
        <v>-221278</v>
      </c>
      <c r="P2" t="n">
        <v>-227709</v>
      </c>
      <c r="Q2" t="n">
        <v>13</v>
      </c>
      <c r="R2" t="n">
        <v>25.846153</v>
      </c>
      <c r="S2" t="n">
        <v>0</v>
      </c>
      <c r="T2" t="n">
        <v>67.318665</v>
      </c>
      <c r="U2" t="n">
        <v>58.998859</v>
      </c>
      <c r="V2" t="n">
        <v>24803.628906</v>
      </c>
      <c r="W2" t="n">
        <v>1.768656</v>
      </c>
      <c r="X2" t="n">
        <v>14.000199</v>
      </c>
      <c r="Y2" t="n">
        <v>33.47</v>
      </c>
      <c r="Z2" t="n">
        <v>9.9</v>
      </c>
      <c r="AA2" t="n">
        <v>14.97</v>
      </c>
      <c r="AB2" t="n">
        <v>5.49</v>
      </c>
      <c r="AC2" t="n">
        <v>2.75</v>
      </c>
      <c r="AD2" t="n">
        <v>37.95</v>
      </c>
      <c r="AE2" t="n">
        <v>891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358049</v>
      </c>
      <c r="F3" t="n">
        <v>479874</v>
      </c>
      <c r="G3" t="n">
        <v>255430</v>
      </c>
      <c r="H3" t="n">
        <v>354099</v>
      </c>
      <c r="I3" t="n">
        <v>27.551311</v>
      </c>
      <c r="J3" t="n">
        <v>37.6597</v>
      </c>
      <c r="K3" t="n">
        <v>21.0056</v>
      </c>
      <c r="L3" t="n">
        <v>21.5713</v>
      </c>
      <c r="M3" t="n">
        <v>-25881.724609</v>
      </c>
      <c r="N3" t="n">
        <v>-32415.7</v>
      </c>
      <c r="O3" t="n">
        <v>-26145.8</v>
      </c>
      <c r="P3" t="n">
        <v>-26574.4</v>
      </c>
      <c r="Q3" t="n">
        <v>52</v>
      </c>
      <c r="R3" t="n">
        <v>229.346161</v>
      </c>
      <c r="S3" t="n">
        <v>0</v>
      </c>
      <c r="T3" t="n">
        <v>82.53402699999999</v>
      </c>
      <c r="U3" t="n">
        <v>71.654732</v>
      </c>
      <c r="V3" t="n">
        <v>174486.5</v>
      </c>
      <c r="W3" t="n">
        <v>5.059193</v>
      </c>
      <c r="X3" t="n">
        <v>61.934437</v>
      </c>
      <c r="Y3" t="n">
        <v>183.03</v>
      </c>
      <c r="Z3" t="n">
        <v>29.93</v>
      </c>
      <c r="AA3" t="n">
        <v>113.07</v>
      </c>
      <c r="AB3" t="n">
        <v>33.2</v>
      </c>
      <c r="AC3" t="n">
        <v>8.539999999999999</v>
      </c>
      <c r="AD3" t="n">
        <v>196.69</v>
      </c>
      <c r="AE3" t="n">
        <v>2786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40415.8</v>
      </c>
      <c r="F4" t="n">
        <v>44229.3</v>
      </c>
      <c r="G4" t="n">
        <v>38556</v>
      </c>
      <c r="H4" t="n">
        <v>54286</v>
      </c>
      <c r="I4" t="n">
        <v>4.130682</v>
      </c>
      <c r="J4" t="n">
        <v>4.35373</v>
      </c>
      <c r="K4" t="n">
        <v>3.43744</v>
      </c>
      <c r="L4" t="n">
        <v>3.66449</v>
      </c>
      <c r="M4" t="n">
        <v>-13372.56543</v>
      </c>
      <c r="N4" t="n">
        <v>-16280.6</v>
      </c>
      <c r="O4" t="n">
        <v>-14650</v>
      </c>
      <c r="P4" t="n">
        <v>-15763.4</v>
      </c>
      <c r="Q4" t="n">
        <v>33</v>
      </c>
      <c r="R4" t="n">
        <v>10.090909</v>
      </c>
      <c r="S4" t="n">
        <v>0</v>
      </c>
      <c r="T4" t="n">
        <v>58.333332</v>
      </c>
      <c r="U4" t="n">
        <v>43.358807</v>
      </c>
      <c r="V4" t="n">
        <v>21144.078125</v>
      </c>
      <c r="W4" t="n">
        <v>0.99133</v>
      </c>
      <c r="X4" t="n">
        <v>13.222509</v>
      </c>
      <c r="Y4" t="n">
        <v>18.45</v>
      </c>
      <c r="Z4" t="n">
        <v>4.89</v>
      </c>
      <c r="AA4" t="n">
        <v>8.6</v>
      </c>
      <c r="AB4" t="n">
        <v>3.36</v>
      </c>
      <c r="AC4" t="n">
        <v>1.52</v>
      </c>
      <c r="AD4" t="n">
        <v>21.56</v>
      </c>
      <c r="AE4" t="n">
        <v>750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74095.3</v>
      </c>
      <c r="F5" t="n">
        <v>95506.7</v>
      </c>
      <c r="G5" t="n">
        <v>72946</v>
      </c>
      <c r="H5" t="n">
        <v>109779</v>
      </c>
      <c r="I5" t="n">
        <v>4.919597</v>
      </c>
      <c r="J5" t="n">
        <v>5.84795</v>
      </c>
      <c r="K5" t="n">
        <v>4.99493</v>
      </c>
      <c r="L5" t="n">
        <v>5.17959</v>
      </c>
      <c r="M5" t="n">
        <v>-23958.197266</v>
      </c>
      <c r="N5" t="n">
        <v>-26201.5</v>
      </c>
      <c r="O5" t="n">
        <v>-22947.5</v>
      </c>
      <c r="P5" t="n">
        <v>-24789.1</v>
      </c>
      <c r="Q5" t="n">
        <v>125</v>
      </c>
      <c r="R5" t="n">
        <v>30.247999</v>
      </c>
      <c r="S5" t="n">
        <v>0</v>
      </c>
      <c r="T5" t="n">
        <v>60.933449</v>
      </c>
      <c r="U5" t="n">
        <v>56.795059</v>
      </c>
      <c r="V5" t="n">
        <v>35955.074219</v>
      </c>
      <c r="W5" t="n">
        <v>1.866439</v>
      </c>
      <c r="X5" t="n">
        <v>19.572651</v>
      </c>
      <c r="Y5" t="n">
        <v>21.17</v>
      </c>
      <c r="Z5" t="n">
        <v>5.18</v>
      </c>
      <c r="AA5" t="n">
        <v>9.109999999999999</v>
      </c>
      <c r="AB5" t="n">
        <v>4.73</v>
      </c>
      <c r="AC5" t="n">
        <v>2.59</v>
      </c>
      <c r="AD5" t="n">
        <v>25.44</v>
      </c>
      <c r="AE5" t="n">
        <v>855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240428</v>
      </c>
      <c r="F6" t="n">
        <v>350673</v>
      </c>
      <c r="G6" t="n">
        <v>227973</v>
      </c>
      <c r="H6" t="n">
        <v>317724</v>
      </c>
      <c r="I6" t="n">
        <v>13.546613</v>
      </c>
      <c r="J6" t="n">
        <v>16.001</v>
      </c>
      <c r="K6" t="n">
        <v>12.5819</v>
      </c>
      <c r="L6" t="n">
        <v>12.8007</v>
      </c>
      <c r="M6" t="n">
        <v>-37241.226562</v>
      </c>
      <c r="N6" t="n">
        <v>-60140.5</v>
      </c>
      <c r="O6" t="n">
        <v>-47823.2</v>
      </c>
      <c r="P6" t="n">
        <v>-52588.1</v>
      </c>
      <c r="Q6" t="n">
        <v>551</v>
      </c>
      <c r="R6" t="n">
        <v>32.713249</v>
      </c>
      <c r="S6" t="n">
        <v>0</v>
      </c>
      <c r="T6" t="n">
        <v>49.745762</v>
      </c>
      <c r="U6" t="n">
        <v>64.95594800000001</v>
      </c>
      <c r="V6" t="n">
        <v>80736.5625</v>
      </c>
      <c r="W6" t="n">
        <v>2.188873</v>
      </c>
      <c r="X6" t="n">
        <v>60</v>
      </c>
      <c r="Y6" t="n">
        <v>75.14</v>
      </c>
      <c r="Z6" t="n">
        <v>12.12</v>
      </c>
      <c r="AA6" t="n">
        <v>20.44</v>
      </c>
      <c r="AB6" t="n">
        <v>26.77</v>
      </c>
      <c r="AC6" t="n">
        <v>6.91</v>
      </c>
      <c r="AD6" t="n">
        <v>86.20999999999999</v>
      </c>
      <c r="AE6" t="n">
        <v>1805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349366</v>
      </c>
      <c r="F7" t="n">
        <v>395143</v>
      </c>
      <c r="G7" t="n">
        <v>220336</v>
      </c>
      <c r="H7" t="n">
        <v>302346</v>
      </c>
      <c r="I7" t="n">
        <v>120.157242</v>
      </c>
      <c r="J7" t="n">
        <v>117.35</v>
      </c>
      <c r="K7" t="n">
        <v>79.39060000000001</v>
      </c>
      <c r="L7" t="n">
        <v>78.8921</v>
      </c>
      <c r="M7" t="n">
        <v>-53771.75</v>
      </c>
      <c r="N7" t="n">
        <v>-58388.6</v>
      </c>
      <c r="O7" t="n">
        <v>-55864.4</v>
      </c>
      <c r="P7" t="n">
        <v>-67915.89999999999</v>
      </c>
      <c r="Q7" t="n">
        <v>117</v>
      </c>
      <c r="R7" t="n">
        <v>2590.98291</v>
      </c>
      <c r="S7" t="n">
        <v>0</v>
      </c>
      <c r="T7" t="n">
        <v>79.27542099999999</v>
      </c>
      <c r="U7" t="n">
        <v>60.558674</v>
      </c>
      <c r="V7" t="n">
        <v>101603.773438</v>
      </c>
      <c r="W7" t="n">
        <v>3.203347</v>
      </c>
      <c r="X7" t="n">
        <v>48.943413</v>
      </c>
      <c r="Y7" t="n">
        <v>101.54</v>
      </c>
      <c r="Z7" t="n">
        <v>23</v>
      </c>
      <c r="AA7" t="n">
        <v>45.16</v>
      </c>
      <c r="AB7" t="n">
        <v>26.89</v>
      </c>
      <c r="AC7" t="n">
        <v>8.42</v>
      </c>
      <c r="AD7" t="n">
        <v>114.29</v>
      </c>
      <c r="AE7" t="n">
        <v>2298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1233510</v>
      </c>
      <c r="F8" t="n">
        <v>1122210</v>
      </c>
      <c r="G8" t="n">
        <v>798977</v>
      </c>
      <c r="H8" t="n">
        <v>1077904</v>
      </c>
      <c r="I8" t="n">
        <v>97.073425</v>
      </c>
      <c r="J8" t="n">
        <v>77.4085</v>
      </c>
      <c r="K8" t="n">
        <v>71.449</v>
      </c>
      <c r="L8" t="n">
        <v>71.5498</v>
      </c>
      <c r="M8" t="n">
        <v>-325415.875</v>
      </c>
      <c r="N8" t="n">
        <v>-338272</v>
      </c>
      <c r="O8" t="n">
        <v>-298780</v>
      </c>
      <c r="P8" t="n">
        <v>-400360</v>
      </c>
      <c r="Q8" t="n">
        <v>321</v>
      </c>
      <c r="R8" t="n">
        <v>72.576324</v>
      </c>
      <c r="S8" t="n">
        <v>0</v>
      </c>
      <c r="T8" t="n">
        <v>86.53273799999999</v>
      </c>
      <c r="U8" t="n">
        <v>57.636776</v>
      </c>
      <c r="V8" t="n">
        <v>304033.4375</v>
      </c>
      <c r="W8" t="n">
        <v>2.830298</v>
      </c>
      <c r="X8" t="n">
        <v>66.926979</v>
      </c>
      <c r="Y8" t="n">
        <v>565.72</v>
      </c>
      <c r="Z8" t="n">
        <v>105.54</v>
      </c>
      <c r="AA8" t="n">
        <v>170.65</v>
      </c>
      <c r="AB8" t="n">
        <v>265.3</v>
      </c>
      <c r="AC8" t="n">
        <v>32.56</v>
      </c>
      <c r="AD8" t="n">
        <v>614.84</v>
      </c>
      <c r="AE8" t="n">
        <v>7648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955528</v>
      </c>
      <c r="F9" t="n">
        <v>1110330</v>
      </c>
      <c r="G9" t="n">
        <v>681391</v>
      </c>
      <c r="H9" t="n">
        <v>874574</v>
      </c>
      <c r="I9" t="n">
        <v>59.717281</v>
      </c>
      <c r="J9" t="n">
        <v>63.4466</v>
      </c>
      <c r="K9" t="n">
        <v>47.3176</v>
      </c>
      <c r="L9" t="n">
        <v>46.3625</v>
      </c>
      <c r="M9" t="n">
        <v>-413186.5625</v>
      </c>
      <c r="N9" t="n">
        <v>-358351</v>
      </c>
      <c r="O9" t="n">
        <v>-323238</v>
      </c>
      <c r="P9" t="n">
        <v>-387228</v>
      </c>
      <c r="Q9" t="n">
        <v>1628</v>
      </c>
      <c r="R9" t="n">
        <v>38.407864</v>
      </c>
      <c r="S9" t="n">
        <v>0</v>
      </c>
      <c r="T9" t="n">
        <v>74.34474899999999</v>
      </c>
      <c r="U9" t="n">
        <v>76.85153200000001</v>
      </c>
      <c r="V9" t="n">
        <v>1032531.5625</v>
      </c>
      <c r="W9" t="n">
        <v>6.506472</v>
      </c>
      <c r="X9" t="n">
        <v>121.99604</v>
      </c>
      <c r="Y9" t="n">
        <v>804.9</v>
      </c>
      <c r="Z9" t="n">
        <v>80.69</v>
      </c>
      <c r="AA9" t="n">
        <v>389.1</v>
      </c>
      <c r="AB9" t="n">
        <v>306.32</v>
      </c>
      <c r="AC9" t="n">
        <v>24.66</v>
      </c>
      <c r="AD9" t="n">
        <v>846.27</v>
      </c>
      <c r="AE9" t="n">
        <v>6633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294162</v>
      </c>
      <c r="G2" t="n">
        <v>115295</v>
      </c>
      <c r="H2" t="n">
        <v>158875</v>
      </c>
      <c r="I2" t="n">
        <v>-1</v>
      </c>
      <c r="J2" t="n">
        <v>35.0936</v>
      </c>
      <c r="K2" t="n">
        <v>22.1867</v>
      </c>
      <c r="L2" t="n">
        <v>23.3394</v>
      </c>
      <c r="M2" t="n">
        <v>-1</v>
      </c>
      <c r="N2" t="n">
        <v>-356055</v>
      </c>
      <c r="O2" t="n">
        <v>-206089</v>
      </c>
      <c r="P2" t="n">
        <v>-213416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3.01</v>
      </c>
      <c r="AD2" t="n">
        <v>44.7</v>
      </c>
      <c r="AE2" t="n">
        <v>862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1277140</v>
      </c>
      <c r="G3" t="n">
        <v>247963</v>
      </c>
      <c r="H3" t="n">
        <v>356202</v>
      </c>
      <c r="I3" t="n">
        <v>-1</v>
      </c>
      <c r="J3" t="n">
        <v>58.417</v>
      </c>
      <c r="K3" t="n">
        <v>18.9108</v>
      </c>
      <c r="L3" t="n">
        <v>19.2414</v>
      </c>
      <c r="M3" t="n">
        <v>-1</v>
      </c>
      <c r="N3" t="n">
        <v>-54642</v>
      </c>
      <c r="O3" t="n">
        <v>-24846.3</v>
      </c>
      <c r="P3" t="n">
        <v>-25216.8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9.27</v>
      </c>
      <c r="AD3" t="n">
        <v>151.68</v>
      </c>
      <c r="AE3" t="n">
        <v>2799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147118</v>
      </c>
      <c r="G4" t="n">
        <v>40132</v>
      </c>
      <c r="H4" t="n">
        <v>55478</v>
      </c>
      <c r="I4" t="n">
        <v>-1</v>
      </c>
      <c r="J4" t="n">
        <v>8.924149999999999</v>
      </c>
      <c r="K4" t="n">
        <v>3.54344</v>
      </c>
      <c r="L4" t="n">
        <v>3.81109</v>
      </c>
      <c r="M4" t="n">
        <v>-1</v>
      </c>
      <c r="N4" t="n">
        <v>-19262.7</v>
      </c>
      <c r="O4" t="n">
        <v>-13643.9</v>
      </c>
      <c r="P4" t="n">
        <v>-14903.2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1.27</v>
      </c>
      <c r="AD4" t="n">
        <v>17.49</v>
      </c>
      <c r="AE4" t="n">
        <v>712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232156</v>
      </c>
      <c r="G5" t="n">
        <v>77437</v>
      </c>
      <c r="H5" t="n">
        <v>114627</v>
      </c>
      <c r="I5" t="n">
        <v>-1</v>
      </c>
      <c r="J5" t="n">
        <v>7.69616</v>
      </c>
      <c r="K5" t="n">
        <v>5.20031</v>
      </c>
      <c r="L5" t="n">
        <v>5.44732</v>
      </c>
      <c r="M5" t="n">
        <v>-1</v>
      </c>
      <c r="N5" t="n">
        <v>-29604.5</v>
      </c>
      <c r="O5" t="n">
        <v>-22727</v>
      </c>
      <c r="P5" t="n">
        <v>-24855.7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2.49</v>
      </c>
      <c r="AD5" t="n">
        <v>20.85</v>
      </c>
      <c r="AE5" t="n">
        <v>765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1199790</v>
      </c>
      <c r="G6" t="n">
        <v>276100</v>
      </c>
      <c r="H6" t="n">
        <v>365493</v>
      </c>
      <c r="I6" t="n">
        <v>-1</v>
      </c>
      <c r="J6" t="n">
        <v>30.5236</v>
      </c>
      <c r="K6" t="n">
        <v>13.1409</v>
      </c>
      <c r="L6" t="n">
        <v>14.2003</v>
      </c>
      <c r="M6" t="n">
        <v>-1</v>
      </c>
      <c r="N6" t="n">
        <v>-77888.89999999999</v>
      </c>
      <c r="O6" t="n">
        <v>-50832.6</v>
      </c>
      <c r="P6" t="n">
        <v>-56912.5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6.38</v>
      </c>
      <c r="AD6" t="n">
        <v>83.59999999999999</v>
      </c>
      <c r="AE6" t="n">
        <v>1683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966191</v>
      </c>
      <c r="G7" t="n">
        <v>210256</v>
      </c>
      <c r="H7" t="n">
        <v>296437</v>
      </c>
      <c r="I7" t="n">
        <v>-1</v>
      </c>
      <c r="J7" t="n">
        <v>169.949</v>
      </c>
      <c r="K7" t="n">
        <v>72.3254</v>
      </c>
      <c r="L7" t="n">
        <v>73.13330000000001</v>
      </c>
      <c r="M7" t="n">
        <v>-1</v>
      </c>
      <c r="N7" t="n">
        <v>-78952.10000000001</v>
      </c>
      <c r="O7" t="n">
        <v>-55771.3</v>
      </c>
      <c r="P7" t="n">
        <v>-67200.39999999999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7.8</v>
      </c>
      <c r="AD7" t="n">
        <v>112.99</v>
      </c>
      <c r="AE7" t="n">
        <v>2139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5950070</v>
      </c>
      <c r="G8" t="n">
        <v>929518</v>
      </c>
      <c r="H8" t="n">
        <v>1204657</v>
      </c>
      <c r="I8" t="n">
        <v>-1</v>
      </c>
      <c r="J8" t="n">
        <v>169.589</v>
      </c>
      <c r="K8" t="n">
        <v>74.7944</v>
      </c>
      <c r="L8" t="n">
        <v>76.4984</v>
      </c>
      <c r="M8" t="n">
        <v>-1</v>
      </c>
      <c r="N8" t="n">
        <v>-448189</v>
      </c>
      <c r="O8" t="n">
        <v>-316506</v>
      </c>
      <c r="P8" t="n">
        <v>-458377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32.24</v>
      </c>
      <c r="AD8" t="n">
        <v>679.3099999999999</v>
      </c>
      <c r="AE8" t="n">
        <v>7443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4741870</v>
      </c>
      <c r="G9" t="n">
        <v>709916</v>
      </c>
      <c r="H9" t="n">
        <v>902121</v>
      </c>
      <c r="I9" t="n">
        <v>-1</v>
      </c>
      <c r="J9" t="n">
        <v>147.344</v>
      </c>
      <c r="K9" t="n">
        <v>50.7923</v>
      </c>
      <c r="L9" t="n">
        <v>50.9395</v>
      </c>
      <c r="M9" t="n">
        <v>-1</v>
      </c>
      <c r="N9" t="n">
        <v>-649123</v>
      </c>
      <c r="O9" t="n">
        <v>-307046</v>
      </c>
      <c r="P9" t="n">
        <v>-360165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19.53</v>
      </c>
      <c r="AD9" t="n">
        <v>765.45</v>
      </c>
      <c r="AE9" t="n">
        <v>6659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140481</v>
      </c>
      <c r="F2" t="n">
        <v>154853</v>
      </c>
      <c r="G2" t="n">
        <v>127361</v>
      </c>
      <c r="H2" t="n">
        <v>158813</v>
      </c>
      <c r="I2" t="n">
        <v>21.059555</v>
      </c>
      <c r="J2" t="n">
        <v>22.1445</v>
      </c>
      <c r="K2" t="n">
        <v>19.6583</v>
      </c>
      <c r="L2" t="n">
        <v>23.7298</v>
      </c>
      <c r="M2" t="n">
        <v>-202755.1875</v>
      </c>
      <c r="N2" t="n">
        <v>-208815</v>
      </c>
      <c r="O2" t="n">
        <v>-188317</v>
      </c>
      <c r="P2" t="n">
        <v>-228464</v>
      </c>
      <c r="Q2" t="n">
        <v>1</v>
      </c>
      <c r="R2" t="n">
        <v>2560</v>
      </c>
      <c r="S2" t="n">
        <v>0</v>
      </c>
      <c r="T2" t="n">
        <v>68.276321</v>
      </c>
      <c r="U2" t="n">
        <v>55.447803</v>
      </c>
      <c r="V2" t="n">
        <v>23922.439453</v>
      </c>
      <c r="W2" t="n">
        <v>1.705821</v>
      </c>
      <c r="X2" t="n">
        <v>14.190552</v>
      </c>
      <c r="Y2" t="n">
        <v>544.63</v>
      </c>
      <c r="Z2" t="n">
        <v>10.39</v>
      </c>
      <c r="AA2" t="n">
        <v>39.81</v>
      </c>
      <c r="AB2" t="n">
        <v>9.42</v>
      </c>
      <c r="AC2" t="n">
        <v>10.67</v>
      </c>
      <c r="AD2" t="n">
        <v>562.15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252642</v>
      </c>
      <c r="F3" t="n">
        <v>331016</v>
      </c>
      <c r="G3" t="n">
        <v>275201</v>
      </c>
      <c r="H3" t="n">
        <v>395680</v>
      </c>
      <c r="I3" t="n">
        <v>25.41894</v>
      </c>
      <c r="J3" t="n">
        <v>24.8236</v>
      </c>
      <c r="K3" t="n">
        <v>23.2605</v>
      </c>
      <c r="L3" t="n">
        <v>23.5495</v>
      </c>
      <c r="M3" t="n">
        <v>-29265.642578</v>
      </c>
      <c r="N3" t="n">
        <v>-29193.5</v>
      </c>
      <c r="O3" t="n">
        <v>-28460.9</v>
      </c>
      <c r="P3" t="n">
        <v>-29880.1</v>
      </c>
      <c r="Q3" t="n">
        <v>5</v>
      </c>
      <c r="R3" t="n">
        <v>11</v>
      </c>
      <c r="S3" t="n">
        <v>0</v>
      </c>
      <c r="T3" t="n">
        <v>82.902534</v>
      </c>
      <c r="U3" t="n">
        <v>63.189068</v>
      </c>
      <c r="V3" t="n">
        <v>67070.734375</v>
      </c>
      <c r="W3" t="n">
        <v>1.966653</v>
      </c>
      <c r="X3" t="n">
        <v>53.000099</v>
      </c>
      <c r="Y3" t="n">
        <v>736.29</v>
      </c>
      <c r="Z3" t="n">
        <v>29.02</v>
      </c>
      <c r="AA3" t="n">
        <v>475.54</v>
      </c>
      <c r="AB3" t="n">
        <v>69.34999999999999</v>
      </c>
      <c r="AC3" t="n">
        <v>30.52</v>
      </c>
      <c r="AD3" t="n">
        <v>773.49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66361.5</v>
      </c>
      <c r="F4" t="n">
        <v>101581</v>
      </c>
      <c r="G4" t="n">
        <v>82651</v>
      </c>
      <c r="H4" t="n">
        <v>76870</v>
      </c>
      <c r="I4" t="n">
        <v>5.606674</v>
      </c>
      <c r="J4" t="n">
        <v>5.44261</v>
      </c>
      <c r="K4" t="n">
        <v>3.84254</v>
      </c>
      <c r="L4" t="n">
        <v>4.91417</v>
      </c>
      <c r="M4" t="n">
        <v>-16651.181641</v>
      </c>
      <c r="N4" t="n">
        <v>-18421.8</v>
      </c>
      <c r="O4" t="n">
        <v>-16310.7</v>
      </c>
      <c r="P4" t="n">
        <v>-22780.3</v>
      </c>
      <c r="Q4" t="n">
        <v>30</v>
      </c>
      <c r="R4" t="n">
        <v>9.9</v>
      </c>
      <c r="S4" t="n">
        <v>0</v>
      </c>
      <c r="T4" t="n">
        <v>59.425785</v>
      </c>
      <c r="U4" t="n">
        <v>65.966522</v>
      </c>
      <c r="V4" t="n">
        <v>56996.195312</v>
      </c>
      <c r="W4" t="n">
        <v>2.67224</v>
      </c>
      <c r="X4" t="n">
        <v>40.911156</v>
      </c>
      <c r="Y4" t="n">
        <v>827.3</v>
      </c>
      <c r="Z4" t="n">
        <v>5.55</v>
      </c>
      <c r="AA4" t="n">
        <v>306.93</v>
      </c>
      <c r="AB4" t="n">
        <v>12.33</v>
      </c>
      <c r="AC4" t="n">
        <v>4.27</v>
      </c>
      <c r="AD4" t="n">
        <v>838.09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133970</v>
      </c>
      <c r="F5" t="n">
        <v>177002</v>
      </c>
      <c r="G5" t="n">
        <v>123315</v>
      </c>
      <c r="H5" t="n">
        <v>116165</v>
      </c>
      <c r="I5" t="n">
        <v>7.08984</v>
      </c>
      <c r="J5" t="n">
        <v>5.31611</v>
      </c>
      <c r="K5" t="n">
        <v>4.75964</v>
      </c>
      <c r="L5" t="n">
        <v>4.83669</v>
      </c>
      <c r="M5" t="n">
        <v>-22181.455078</v>
      </c>
      <c r="N5" t="n">
        <v>-23447.7</v>
      </c>
      <c r="O5" t="n">
        <v>-21833.3</v>
      </c>
      <c r="P5" t="n">
        <v>-27672.4</v>
      </c>
      <c r="Q5" t="n">
        <v>20</v>
      </c>
      <c r="R5" t="n">
        <v>41.099998</v>
      </c>
      <c r="S5" t="n">
        <v>0</v>
      </c>
      <c r="T5" t="n">
        <v>68.95088199999999</v>
      </c>
      <c r="U5" t="n">
        <v>76.475471</v>
      </c>
      <c r="V5" t="n">
        <v>55957.046875</v>
      </c>
      <c r="W5" t="n">
        <v>2.904596</v>
      </c>
      <c r="X5" t="n">
        <v>83.00009900000001</v>
      </c>
      <c r="Y5" t="n">
        <v>527.08</v>
      </c>
      <c r="Z5" t="n">
        <v>5.5</v>
      </c>
      <c r="AA5" t="n">
        <v>355.23</v>
      </c>
      <c r="AB5" t="n">
        <v>13.08</v>
      </c>
      <c r="AC5" t="n">
        <v>3.89</v>
      </c>
      <c r="AD5" t="n">
        <v>534.25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393242</v>
      </c>
      <c r="F6" t="n">
        <v>639581</v>
      </c>
      <c r="G6" t="n">
        <v>341024</v>
      </c>
      <c r="H6" t="n">
        <v>314699</v>
      </c>
      <c r="I6" t="n">
        <v>16.336382</v>
      </c>
      <c r="J6" t="n">
        <v>18.5504</v>
      </c>
      <c r="K6" t="n">
        <v>13.7976</v>
      </c>
      <c r="L6" t="n">
        <v>13.9362</v>
      </c>
      <c r="M6" t="n">
        <v>-41821.03125</v>
      </c>
      <c r="N6" t="n">
        <v>-55444.7</v>
      </c>
      <c r="O6" t="n">
        <v>-43720.2</v>
      </c>
      <c r="P6" t="n">
        <v>-60295.8</v>
      </c>
      <c r="Q6" t="n">
        <v>37</v>
      </c>
      <c r="R6" t="n">
        <v>51</v>
      </c>
      <c r="S6" t="n">
        <v>0</v>
      </c>
      <c r="T6" t="n">
        <v>53.006107</v>
      </c>
      <c r="U6" t="n">
        <v>88.387291</v>
      </c>
      <c r="V6" t="n">
        <v>220911.484375</v>
      </c>
      <c r="W6" t="n">
        <v>5.989683</v>
      </c>
      <c r="X6" t="n">
        <v>80.272797</v>
      </c>
      <c r="Y6" t="n">
        <v>1212.1</v>
      </c>
      <c r="Z6" t="n">
        <v>13.59</v>
      </c>
      <c r="AA6" t="n">
        <v>588.97</v>
      </c>
      <c r="AB6" t="n">
        <v>111.78</v>
      </c>
      <c r="AC6" t="n">
        <v>14.59</v>
      </c>
      <c r="AD6" t="n">
        <v>1235.58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291108</v>
      </c>
      <c r="F7" t="n">
        <v>370102</v>
      </c>
      <c r="G7" t="n">
        <v>276461</v>
      </c>
      <c r="H7" t="n">
        <v>336912</v>
      </c>
      <c r="I7" t="n">
        <v>151.034592</v>
      </c>
      <c r="J7" t="n">
        <v>112.535</v>
      </c>
      <c r="K7" t="n">
        <v>111.678</v>
      </c>
      <c r="L7" t="n">
        <v>94.4372</v>
      </c>
      <c r="M7" t="n">
        <v>-49027.980469</v>
      </c>
      <c r="N7" t="n">
        <v>-51398.5</v>
      </c>
      <c r="O7" t="n">
        <v>-50488.2</v>
      </c>
      <c r="P7" t="n">
        <v>-75906.60000000001</v>
      </c>
      <c r="Q7" t="n">
        <v>3</v>
      </c>
      <c r="R7" t="n">
        <v>1368.333374</v>
      </c>
      <c r="S7" t="n">
        <v>0</v>
      </c>
      <c r="T7" t="n">
        <v>77.939392</v>
      </c>
      <c r="U7" t="n">
        <v>71.78025100000001</v>
      </c>
      <c r="V7" t="n">
        <v>103093.617188</v>
      </c>
      <c r="W7" t="n">
        <v>3.21254</v>
      </c>
      <c r="X7" t="n">
        <v>31.78001</v>
      </c>
      <c r="Y7" t="n">
        <v>895.8200000000001</v>
      </c>
      <c r="Z7" t="n">
        <v>23.32</v>
      </c>
      <c r="AA7" t="n">
        <v>663.92</v>
      </c>
      <c r="AB7" t="n">
        <v>102.37</v>
      </c>
      <c r="AC7" t="n">
        <v>24.93</v>
      </c>
      <c r="AD7" t="n">
        <v>926.36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1474400</v>
      </c>
      <c r="F8" t="n">
        <v>1420910</v>
      </c>
      <c r="G8" t="n">
        <v>1086927</v>
      </c>
      <c r="H8" t="n">
        <v>1283206</v>
      </c>
      <c r="I8" t="n">
        <v>135.838882</v>
      </c>
      <c r="J8" t="n">
        <v>105.954</v>
      </c>
      <c r="K8" t="n">
        <v>102.714</v>
      </c>
      <c r="L8" t="n">
        <v>90.06870000000001</v>
      </c>
      <c r="M8" t="n">
        <v>-199651.265625</v>
      </c>
      <c r="N8" t="n">
        <v>-265232</v>
      </c>
      <c r="O8" t="n">
        <v>-246412</v>
      </c>
      <c r="P8" t="n">
        <v>-495516</v>
      </c>
      <c r="Q8" t="n">
        <v>13</v>
      </c>
      <c r="R8" t="n">
        <v>556.923096</v>
      </c>
      <c r="S8" t="n">
        <v>0</v>
      </c>
      <c r="T8" t="n">
        <v>82.556961</v>
      </c>
      <c r="U8" t="n">
        <v>67.551323</v>
      </c>
      <c r="V8" t="n">
        <v>331137.1875</v>
      </c>
      <c r="W8" t="n">
        <v>3.043037</v>
      </c>
      <c r="X8" t="n">
        <v>46.08712</v>
      </c>
      <c r="Y8" t="n">
        <v>3851.94</v>
      </c>
      <c r="Z8" t="n">
        <v>98.27</v>
      </c>
      <c r="AA8" t="n">
        <v>2414.34</v>
      </c>
      <c r="AB8" t="n">
        <v>819.92</v>
      </c>
      <c r="AC8" t="n">
        <v>104.1</v>
      </c>
      <c r="AD8" t="n">
        <v>3980.26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1302150</v>
      </c>
      <c r="F9" t="n">
        <v>2869040</v>
      </c>
      <c r="G9" t="n">
        <v>1640899</v>
      </c>
      <c r="H9" t="n">
        <v>1085680</v>
      </c>
      <c r="I9" t="n">
        <v>87.83399199999999</v>
      </c>
      <c r="J9" t="n">
        <v>88.96040000000001</v>
      </c>
      <c r="K9" t="n">
        <v>67.7321</v>
      </c>
      <c r="L9" t="n">
        <v>62.5056</v>
      </c>
      <c r="M9" t="n">
        <v>-446264.875</v>
      </c>
      <c r="N9" t="n">
        <v>-425495</v>
      </c>
      <c r="O9" t="n">
        <v>-380094</v>
      </c>
      <c r="P9" t="n">
        <v>-640336</v>
      </c>
      <c r="Q9" t="n">
        <v>22</v>
      </c>
      <c r="R9" t="n">
        <v>18263.773438</v>
      </c>
      <c r="S9" t="n">
        <v>0</v>
      </c>
      <c r="T9" t="n">
        <v>58.556053</v>
      </c>
      <c r="U9" t="n">
        <v>80.704514</v>
      </c>
      <c r="V9" t="n">
        <v>3083671</v>
      </c>
      <c r="W9" t="n">
        <v>18.657593</v>
      </c>
      <c r="X9" t="n">
        <v>196.184631</v>
      </c>
      <c r="Y9" t="n">
        <v>6823.18</v>
      </c>
      <c r="Z9" t="n">
        <v>74.34999999999999</v>
      </c>
      <c r="AA9" t="n">
        <v>1681.63</v>
      </c>
      <c r="AB9" t="n">
        <v>4551.64</v>
      </c>
      <c r="AC9" t="n">
        <v>71.5</v>
      </c>
      <c r="AD9" t="n">
        <v>7014.46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648527</v>
      </c>
      <c r="G2" t="n">
        <v>144562</v>
      </c>
      <c r="H2" t="n">
        <v>182196</v>
      </c>
      <c r="I2" t="n">
        <v>-1</v>
      </c>
      <c r="J2" t="n">
        <v>28.4673</v>
      </c>
      <c r="K2" t="n">
        <v>18.833</v>
      </c>
      <c r="L2" t="n">
        <v>23.5849</v>
      </c>
      <c r="M2" t="n">
        <v>-1</v>
      </c>
      <c r="N2" t="n">
        <v>-292224</v>
      </c>
      <c r="O2" t="n">
        <v>-180382</v>
      </c>
      <c r="P2" t="n">
        <v>-226097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14.15</v>
      </c>
      <c r="AD2" t="n">
        <v>611.36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1591260</v>
      </c>
      <c r="G3" t="n">
        <v>287142</v>
      </c>
      <c r="H3" t="n">
        <v>427861</v>
      </c>
      <c r="I3" t="n">
        <v>-1</v>
      </c>
      <c r="J3" t="n">
        <v>40.5903</v>
      </c>
      <c r="K3" t="n">
        <v>22.5566</v>
      </c>
      <c r="L3" t="n">
        <v>22.4924</v>
      </c>
      <c r="M3" t="n">
        <v>-1</v>
      </c>
      <c r="N3" t="n">
        <v>-41181.5</v>
      </c>
      <c r="O3" t="n">
        <v>-27652.3</v>
      </c>
      <c r="P3" t="n">
        <v>-28991.5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34.83</v>
      </c>
      <c r="AD3" t="n">
        <v>1030.76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397184</v>
      </c>
      <c r="G4" t="n">
        <v>88894</v>
      </c>
      <c r="H4" t="n">
        <v>85328</v>
      </c>
      <c r="I4" t="n">
        <v>-1</v>
      </c>
      <c r="J4" t="n">
        <v>8.91391</v>
      </c>
      <c r="K4" t="n">
        <v>4.20506</v>
      </c>
      <c r="L4" t="n">
        <v>4.25608</v>
      </c>
      <c r="M4" t="n">
        <v>-1</v>
      </c>
      <c r="N4" t="n">
        <v>-22286.9</v>
      </c>
      <c r="O4" t="n">
        <v>-15677.7</v>
      </c>
      <c r="P4" t="n">
        <v>-21173.4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4.12</v>
      </c>
      <c r="AD4" t="n">
        <v>862.6900000000001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380516</v>
      </c>
      <c r="G5" t="n">
        <v>122334</v>
      </c>
      <c r="H5" t="n">
        <v>118551</v>
      </c>
      <c r="I5" t="n">
        <v>-1</v>
      </c>
      <c r="J5" t="n">
        <v>6.17464</v>
      </c>
      <c r="K5" t="n">
        <v>5.18226</v>
      </c>
      <c r="L5" t="n">
        <v>4.85733</v>
      </c>
      <c r="M5" t="n">
        <v>-1</v>
      </c>
      <c r="N5" t="n">
        <v>-25922.1</v>
      </c>
      <c r="O5" t="n">
        <v>-21344</v>
      </c>
      <c r="P5" t="n">
        <v>-26684.2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3.77</v>
      </c>
      <c r="AD5" t="n">
        <v>487.9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2247050</v>
      </c>
      <c r="G6" t="n">
        <v>472310</v>
      </c>
      <c r="H6" t="n">
        <v>446953</v>
      </c>
      <c r="I6" t="n">
        <v>-1</v>
      </c>
      <c r="J6" t="n">
        <v>25.7253</v>
      </c>
      <c r="K6" t="n">
        <v>14.5368</v>
      </c>
      <c r="L6" t="n">
        <v>15.7562</v>
      </c>
      <c r="M6" t="n">
        <v>-1</v>
      </c>
      <c r="N6" t="n">
        <v>-68752.7</v>
      </c>
      <c r="O6" t="n">
        <v>-47532</v>
      </c>
      <c r="P6" t="n">
        <v>-66685.5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16.57</v>
      </c>
      <c r="AD6" t="n">
        <v>1727.25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1238390</v>
      </c>
      <c r="G7" t="n">
        <v>294897</v>
      </c>
      <c r="H7" t="n">
        <v>361194</v>
      </c>
      <c r="I7" t="n">
        <v>-1</v>
      </c>
      <c r="J7" t="n">
        <v>130.833</v>
      </c>
      <c r="K7" t="n">
        <v>108.786</v>
      </c>
      <c r="L7" t="n">
        <v>91.1028</v>
      </c>
      <c r="M7" t="n">
        <v>-1</v>
      </c>
      <c r="N7" t="n">
        <v>-60370</v>
      </c>
      <c r="O7" t="n">
        <v>-50295.1</v>
      </c>
      <c r="P7" t="n">
        <v>-75991.2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26.94</v>
      </c>
      <c r="AD7" t="n">
        <v>1111.92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8162750</v>
      </c>
      <c r="G8" t="n">
        <v>1288359</v>
      </c>
      <c r="H8" t="n">
        <v>1503791</v>
      </c>
      <c r="I8" t="n">
        <v>-1</v>
      </c>
      <c r="J8" t="n">
        <v>153.413</v>
      </c>
      <c r="K8" t="n">
        <v>102.382</v>
      </c>
      <c r="L8" t="n">
        <v>89.5124</v>
      </c>
      <c r="M8" t="n">
        <v>-1</v>
      </c>
      <c r="N8" t="n">
        <v>-310648</v>
      </c>
      <c r="O8" t="n">
        <v>-242449</v>
      </c>
      <c r="P8" t="n">
        <v>-499472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128.13</v>
      </c>
      <c r="AD8" t="n">
        <v>5197.99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7472460</v>
      </c>
      <c r="G9" t="n">
        <v>1549733</v>
      </c>
      <c r="H9" t="n">
        <v>1043328</v>
      </c>
      <c r="I9" t="n">
        <v>-1</v>
      </c>
      <c r="J9" t="n">
        <v>100.956</v>
      </c>
      <c r="K9" t="n">
        <v>69.49379999999999</v>
      </c>
      <c r="L9" t="n">
        <v>63.6921</v>
      </c>
      <c r="M9" t="n">
        <v>-1</v>
      </c>
      <c r="N9" t="n">
        <v>-467613</v>
      </c>
      <c r="O9" t="n">
        <v>-351945</v>
      </c>
      <c r="P9" t="n">
        <v>-617344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70.56999999999999</v>
      </c>
      <c r="AD9" t="n">
        <v>7505.51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17658600</v>
      </c>
      <c r="F2" t="n">
        <v>24483000</v>
      </c>
      <c r="G2" t="n">
        <v>12784005</v>
      </c>
      <c r="H2" t="n">
        <v>13486332</v>
      </c>
      <c r="I2" t="n">
        <v>32.893135</v>
      </c>
      <c r="J2" t="n">
        <v>27.8903</v>
      </c>
      <c r="K2" t="n">
        <v>26.0492</v>
      </c>
      <c r="L2" t="n">
        <v>23.8814</v>
      </c>
      <c r="M2" t="n">
        <v>-1733848.375</v>
      </c>
      <c r="N2" t="n">
        <v>-3677430</v>
      </c>
      <c r="O2" t="n">
        <v>-3146050</v>
      </c>
      <c r="P2" t="n">
        <v>-5354900</v>
      </c>
      <c r="Q2" t="n">
        <v>2402</v>
      </c>
      <c r="R2" t="n">
        <v>141.700668</v>
      </c>
      <c r="S2" t="n">
        <v>0</v>
      </c>
      <c r="T2" t="n">
        <v>70.43225099999999</v>
      </c>
      <c r="U2" t="n">
        <v>60.500774</v>
      </c>
      <c r="V2" t="n">
        <v>9089614</v>
      </c>
      <c r="W2" t="n">
        <v>16.002813</v>
      </c>
      <c r="X2" t="n">
        <v>333.099548</v>
      </c>
      <c r="Y2" t="n">
        <v>5022.34</v>
      </c>
      <c r="Z2" t="n">
        <v>645.73</v>
      </c>
      <c r="AA2" t="n">
        <v>736.2</v>
      </c>
      <c r="AB2" t="n">
        <v>2623.11</v>
      </c>
      <c r="AC2" t="n">
        <v>381.2</v>
      </c>
      <c r="AD2" t="n">
        <v>5562.21</v>
      </c>
      <c r="AE2" t="n">
        <v>-1</v>
      </c>
      <c r="AF2" t="n">
        <v>17459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6955520</v>
      </c>
      <c r="F3" t="n">
        <v>13253200</v>
      </c>
      <c r="G3" t="n">
        <v>4748603</v>
      </c>
      <c r="H3" t="n">
        <v>5779032</v>
      </c>
      <c r="I3" t="n">
        <v>10.494129</v>
      </c>
      <c r="J3" t="n">
        <v>24.0281</v>
      </c>
      <c r="K3" t="n">
        <v>10.2361</v>
      </c>
      <c r="L3" t="n">
        <v>11.8374</v>
      </c>
      <c r="M3" t="n">
        <v>-460584.71875</v>
      </c>
      <c r="N3" t="n">
        <v>-1336910</v>
      </c>
      <c r="O3" t="n">
        <v>-641155</v>
      </c>
      <c r="P3" t="n">
        <v>-852956</v>
      </c>
      <c r="Q3" t="n">
        <v>3578</v>
      </c>
      <c r="R3" t="n">
        <v>345.475128</v>
      </c>
      <c r="S3" t="n">
        <v>0</v>
      </c>
      <c r="T3" t="n">
        <v>64.57254</v>
      </c>
      <c r="U3" t="n">
        <v>67.294258</v>
      </c>
      <c r="V3" t="n">
        <v>10740273</v>
      </c>
      <c r="W3" t="n">
        <v>17.045916</v>
      </c>
      <c r="X3" t="n">
        <v>233</v>
      </c>
      <c r="Y3" t="n">
        <v>6466.34</v>
      </c>
      <c r="Z3" t="n">
        <v>966.76</v>
      </c>
      <c r="AA3" t="n">
        <v>1900.83</v>
      </c>
      <c r="AB3" t="n">
        <v>3337.31</v>
      </c>
      <c r="AC3" t="n">
        <v>264.37</v>
      </c>
      <c r="AD3" t="n">
        <v>6911.84</v>
      </c>
      <c r="AE3" t="n">
        <v>-1</v>
      </c>
      <c r="AF3" t="n">
        <v>31110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989928</v>
      </c>
      <c r="F4" t="n">
        <v>3055740</v>
      </c>
      <c r="G4" t="n">
        <v>1131725</v>
      </c>
      <c r="H4" t="n">
        <v>1471959</v>
      </c>
      <c r="I4" t="n">
        <v>104.197441</v>
      </c>
      <c r="J4" t="n">
        <v>92.24639999999999</v>
      </c>
      <c r="K4" t="n">
        <v>83.51260000000001</v>
      </c>
      <c r="L4" t="n">
        <v>74.0291</v>
      </c>
      <c r="M4" t="n">
        <v>-328375.78125</v>
      </c>
      <c r="N4" t="n">
        <v>-543366</v>
      </c>
      <c r="O4" t="n">
        <v>-400667</v>
      </c>
      <c r="P4" t="n">
        <v>-402686</v>
      </c>
      <c r="Q4" t="n">
        <v>447</v>
      </c>
      <c r="R4" t="n">
        <v>1088.362427</v>
      </c>
      <c r="S4" t="n">
        <v>0</v>
      </c>
      <c r="T4" t="n">
        <v>64.64773599999999</v>
      </c>
      <c r="U4" t="n">
        <v>71.20444500000001</v>
      </c>
      <c r="V4" t="n">
        <v>1768258.125</v>
      </c>
      <c r="W4" t="n">
        <v>15.87961</v>
      </c>
      <c r="X4" t="n">
        <v>91.429306</v>
      </c>
      <c r="Y4" t="n">
        <v>897.26</v>
      </c>
      <c r="Z4" t="n">
        <v>150.88</v>
      </c>
      <c r="AA4" t="n">
        <v>378.77</v>
      </c>
      <c r="AB4" t="n">
        <v>321.02</v>
      </c>
      <c r="AC4" t="n">
        <v>102.88</v>
      </c>
      <c r="AD4" t="n">
        <v>1041.62</v>
      </c>
      <c r="AE4" t="n">
        <v>-1</v>
      </c>
      <c r="AF4" t="n">
        <v>5857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success</t>
        </is>
      </c>
      <c r="E5" t="n">
        <v>11571200</v>
      </c>
      <c r="F5" t="n">
        <v>33995300</v>
      </c>
      <c r="G5" t="n">
        <v>8067151</v>
      </c>
      <c r="H5" t="n">
        <v>9509294</v>
      </c>
      <c r="I5" t="n">
        <v>11.50311</v>
      </c>
      <c r="J5" t="n">
        <v>16.589</v>
      </c>
      <c r="K5" t="n">
        <v>6.74932</v>
      </c>
      <c r="L5" t="n">
        <v>7.81849</v>
      </c>
      <c r="M5" t="n">
        <v>-1486056</v>
      </c>
      <c r="N5" t="n">
        <v>-1614350</v>
      </c>
      <c r="O5" t="n">
        <v>-985467</v>
      </c>
      <c r="P5" t="n">
        <v>-1329770</v>
      </c>
      <c r="Q5" t="n">
        <v>10778</v>
      </c>
      <c r="R5" t="n">
        <v>509.70755</v>
      </c>
      <c r="S5" t="n">
        <v>0</v>
      </c>
      <c r="T5" t="n">
        <v>63.958706</v>
      </c>
      <c r="U5" t="n">
        <v>81.402473</v>
      </c>
      <c r="V5" t="n">
        <v>29263272</v>
      </c>
      <c r="W5" t="n">
        <v>26.907841</v>
      </c>
      <c r="X5" t="n">
        <v>230</v>
      </c>
      <c r="Y5" t="n">
        <v>11538.7</v>
      </c>
      <c r="Z5" t="n">
        <v>970.55</v>
      </c>
      <c r="AA5" t="n">
        <v>4296.01</v>
      </c>
      <c r="AB5" t="n">
        <v>5990.77</v>
      </c>
      <c r="AC5" t="n">
        <v>1815.98</v>
      </c>
      <c r="AD5" t="n">
        <v>13547.85</v>
      </c>
      <c r="AE5" t="n">
        <v>-1</v>
      </c>
      <c r="AF5" t="n">
        <v>30829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4353590</v>
      </c>
      <c r="F6" t="n">
        <v>5700100</v>
      </c>
      <c r="G6" t="n">
        <v>2880433</v>
      </c>
      <c r="H6" t="n">
        <v>3908022</v>
      </c>
      <c r="I6" t="n">
        <v>11.878563</v>
      </c>
      <c r="J6" t="n">
        <v>16.4887</v>
      </c>
      <c r="K6" t="n">
        <v>11.0297</v>
      </c>
      <c r="L6" t="n">
        <v>11.4094</v>
      </c>
      <c r="M6" t="n">
        <v>-944365.3125</v>
      </c>
      <c r="N6" t="n">
        <v>-2056860</v>
      </c>
      <c r="O6" t="n">
        <v>-1652050</v>
      </c>
      <c r="P6" t="n">
        <v>-1879060</v>
      </c>
      <c r="Q6" t="n">
        <v>516</v>
      </c>
      <c r="R6" t="n">
        <v>123.05426</v>
      </c>
      <c r="S6" t="n">
        <v>0</v>
      </c>
      <c r="T6" t="n">
        <v>73.734917</v>
      </c>
      <c r="U6" t="n">
        <v>64.04695100000001</v>
      </c>
      <c r="V6" t="n">
        <v>1605511.75</v>
      </c>
      <c r="W6" t="n">
        <v>8.417014</v>
      </c>
      <c r="X6" t="n">
        <v>156.833633</v>
      </c>
      <c r="Y6" t="n">
        <v>1701.02</v>
      </c>
      <c r="Z6" t="n">
        <v>286.89</v>
      </c>
      <c r="AA6" t="n">
        <v>369.87</v>
      </c>
      <c r="AB6" t="n">
        <v>645.26</v>
      </c>
      <c r="AC6" t="n">
        <v>247.85</v>
      </c>
      <c r="AD6" t="n">
        <v>2020.42</v>
      </c>
      <c r="AE6" t="n">
        <v>-1</v>
      </c>
      <c r="AF6" t="n">
        <v>7956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4015340</v>
      </c>
      <c r="F7" t="n">
        <v>2166120</v>
      </c>
      <c r="G7" t="n">
        <v>1574854</v>
      </c>
      <c r="H7" t="n">
        <v>2006223</v>
      </c>
      <c r="I7" t="n">
        <v>11.482806</v>
      </c>
      <c r="J7" t="n">
        <v>10.069</v>
      </c>
      <c r="K7" t="n">
        <v>7.53344</v>
      </c>
      <c r="L7" t="n">
        <v>8.2539</v>
      </c>
      <c r="M7" t="n">
        <v>-299615.625</v>
      </c>
      <c r="N7" t="n">
        <v>-721381</v>
      </c>
      <c r="O7" t="n">
        <v>-624217</v>
      </c>
      <c r="P7" t="n">
        <v>-820586</v>
      </c>
      <c r="Q7" t="n">
        <v>897</v>
      </c>
      <c r="R7" t="n">
        <v>2336.26416</v>
      </c>
      <c r="S7" t="n">
        <v>0</v>
      </c>
      <c r="T7" t="n">
        <v>84.45893100000001</v>
      </c>
      <c r="U7" t="n">
        <v>55.762138</v>
      </c>
      <c r="V7" t="n">
        <v>439056.25</v>
      </c>
      <c r="W7" t="n">
        <v>1.718568</v>
      </c>
      <c r="X7" t="n">
        <v>89.943535</v>
      </c>
      <c r="Y7" t="n">
        <v>1311.55</v>
      </c>
      <c r="Z7" t="n">
        <v>250.26</v>
      </c>
      <c r="AA7" t="n">
        <v>337.52</v>
      </c>
      <c r="AB7" t="n">
        <v>497.19</v>
      </c>
      <c r="AC7" t="n">
        <v>171.13</v>
      </c>
      <c r="AD7" t="n">
        <v>1548.41</v>
      </c>
      <c r="AE7" t="n">
        <v>-1</v>
      </c>
      <c r="AF7" t="n">
        <v>11058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1456360</v>
      </c>
      <c r="F8" t="n">
        <v>995546</v>
      </c>
      <c r="G8" t="n">
        <v>696255</v>
      </c>
      <c r="H8" t="n">
        <v>956077</v>
      </c>
      <c r="I8" t="n">
        <v>9.224792000000001</v>
      </c>
      <c r="J8" t="n">
        <v>8.935409999999999</v>
      </c>
      <c r="K8" t="n">
        <v>6.81745</v>
      </c>
      <c r="L8" t="n">
        <v>7.26452</v>
      </c>
      <c r="M8" t="n">
        <v>-75595.398438</v>
      </c>
      <c r="N8" t="n">
        <v>-319677</v>
      </c>
      <c r="O8" t="n">
        <v>-231631</v>
      </c>
      <c r="P8" t="n">
        <v>-315529</v>
      </c>
      <c r="Q8" t="n">
        <v>345</v>
      </c>
      <c r="R8" t="n">
        <v>2857.892822</v>
      </c>
      <c r="S8" t="n">
        <v>0</v>
      </c>
      <c r="T8" t="n">
        <v>71.030006</v>
      </c>
      <c r="U8" t="n">
        <v>58.513519</v>
      </c>
      <c r="V8" t="n">
        <v>236608.40625</v>
      </c>
      <c r="W8" t="n">
        <v>2.178875</v>
      </c>
      <c r="X8" t="n">
        <v>113.000198</v>
      </c>
      <c r="Y8" t="n">
        <v>539.5700000000001</v>
      </c>
      <c r="Z8" t="n">
        <v>117.74</v>
      </c>
      <c r="AA8" t="n">
        <v>140.81</v>
      </c>
      <c r="AB8" t="n">
        <v>175.15</v>
      </c>
      <c r="AC8" t="n">
        <v>84.70999999999999</v>
      </c>
      <c r="AD8" t="n">
        <v>661.9400000000001</v>
      </c>
      <c r="AE8" t="n">
        <v>-1</v>
      </c>
      <c r="AF8" t="n">
        <v>5076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2487380</v>
      </c>
      <c r="F9" t="n">
        <v>1690840</v>
      </c>
      <c r="G9" t="n">
        <v>1368793</v>
      </c>
      <c r="H9" t="n">
        <v>1591418</v>
      </c>
      <c r="I9" t="n">
        <v>16.825911</v>
      </c>
      <c r="J9" t="n">
        <v>19.6906</v>
      </c>
      <c r="K9" t="n">
        <v>16.3612</v>
      </c>
      <c r="L9" t="n">
        <v>17.1658</v>
      </c>
      <c r="M9" t="n">
        <v>-1121900</v>
      </c>
      <c r="N9" t="n">
        <v>-1877730</v>
      </c>
      <c r="O9" t="n">
        <v>-1633020</v>
      </c>
      <c r="P9" t="n">
        <v>-1822390</v>
      </c>
      <c r="Q9" t="n">
        <v>447</v>
      </c>
      <c r="R9" t="n">
        <v>63.27964</v>
      </c>
      <c r="S9" t="n">
        <v>0</v>
      </c>
      <c r="T9" t="n">
        <v>82.145821</v>
      </c>
      <c r="U9" t="n">
        <v>47.485931</v>
      </c>
      <c r="V9" t="n">
        <v>265483.21875</v>
      </c>
      <c r="W9" t="n">
        <v>1.311669</v>
      </c>
      <c r="X9" t="n">
        <v>84.817429</v>
      </c>
      <c r="Y9" t="n">
        <v>1002.26</v>
      </c>
      <c r="Z9" t="n">
        <v>249.32</v>
      </c>
      <c r="AA9" t="n">
        <v>365.3</v>
      </c>
      <c r="AB9" t="n">
        <v>290.07</v>
      </c>
      <c r="AC9" t="n">
        <v>79.61</v>
      </c>
      <c r="AD9" t="n">
        <v>1135.59</v>
      </c>
      <c r="AE9" t="n">
        <v>-1</v>
      </c>
      <c r="AF9" t="n">
        <v>7836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2094240</v>
      </c>
      <c r="F10" t="n">
        <v>9988460</v>
      </c>
      <c r="G10" t="n">
        <v>2171492</v>
      </c>
      <c r="H10" t="n">
        <v>2837536</v>
      </c>
      <c r="I10" t="n">
        <v>1151.705811</v>
      </c>
      <c r="J10" t="n">
        <v>1842.68</v>
      </c>
      <c r="K10" t="n">
        <v>939.679</v>
      </c>
      <c r="L10" t="n">
        <v>842.8</v>
      </c>
      <c r="M10" t="n">
        <v>-766269.5625</v>
      </c>
      <c r="N10" t="n">
        <v>-1845600</v>
      </c>
      <c r="O10" t="n">
        <v>-982217</v>
      </c>
      <c r="P10" t="n">
        <v>-1125230</v>
      </c>
      <c r="Q10" t="n">
        <v>1955</v>
      </c>
      <c r="R10" t="n">
        <v>882.744263</v>
      </c>
      <c r="S10" t="n">
        <v>0</v>
      </c>
      <c r="T10" t="n">
        <v>45.808483</v>
      </c>
      <c r="U10" t="n">
        <v>81.192635</v>
      </c>
      <c r="V10" t="n">
        <v>6957655.5</v>
      </c>
      <c r="W10" t="n">
        <v>25.320269</v>
      </c>
      <c r="X10" t="n">
        <v>199</v>
      </c>
      <c r="Y10" t="n">
        <v>2861.1</v>
      </c>
      <c r="Z10" t="n">
        <v>356.14</v>
      </c>
      <c r="AA10" t="n">
        <v>777.05</v>
      </c>
      <c r="AB10" t="n">
        <v>1612.81</v>
      </c>
      <c r="AC10" t="n">
        <v>212.62</v>
      </c>
      <c r="AD10" t="n">
        <v>3161.96</v>
      </c>
      <c r="AE10" t="n">
        <v>-1</v>
      </c>
      <c r="AF10" t="n">
        <v>14006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2043990</v>
      </c>
      <c r="F11" t="n">
        <v>2480140</v>
      </c>
      <c r="G11" t="n">
        <v>1318427</v>
      </c>
      <c r="H11" t="n">
        <v>1911704</v>
      </c>
      <c r="I11" t="n">
        <v>11.427784</v>
      </c>
      <c r="J11" t="n">
        <v>14.6819</v>
      </c>
      <c r="K11" t="n">
        <v>11.4687</v>
      </c>
      <c r="L11" t="n">
        <v>11.5774</v>
      </c>
      <c r="M11" t="n">
        <v>-547521.3125</v>
      </c>
      <c r="N11" t="n">
        <v>-1040150</v>
      </c>
      <c r="O11" t="n">
        <v>-828875</v>
      </c>
      <c r="P11" t="n">
        <v>-895583</v>
      </c>
      <c r="Q11" t="n">
        <v>565</v>
      </c>
      <c r="R11" t="n">
        <v>114.587608</v>
      </c>
      <c r="S11" t="n">
        <v>0</v>
      </c>
      <c r="T11" t="n">
        <v>74.38423899999999</v>
      </c>
      <c r="U11" t="n">
        <v>72.69989</v>
      </c>
      <c r="V11" t="n">
        <v>726910.125</v>
      </c>
      <c r="W11" t="n">
        <v>6.575456</v>
      </c>
      <c r="X11" t="n">
        <v>97.99999200000001</v>
      </c>
      <c r="Y11" t="n">
        <v>866.25</v>
      </c>
      <c r="Z11" t="n">
        <v>147</v>
      </c>
      <c r="AA11" t="n">
        <v>218.93</v>
      </c>
      <c r="AB11" t="n">
        <v>284.69</v>
      </c>
      <c r="AC11" t="n">
        <v>122.06</v>
      </c>
      <c r="AD11" t="n">
        <v>1030.77</v>
      </c>
      <c r="AE11" t="n">
        <v>-1</v>
      </c>
      <c r="AF11" t="n">
        <v>4646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20816600</v>
      </c>
      <c r="F12" t="n">
        <v>36896600</v>
      </c>
      <c r="G12" t="n">
        <v>12528911</v>
      </c>
      <c r="H12" t="n">
        <v>13340009</v>
      </c>
      <c r="I12" t="n">
        <v>11.161656</v>
      </c>
      <c r="J12" t="n">
        <v>30.4756</v>
      </c>
      <c r="K12" t="n">
        <v>12.4976</v>
      </c>
      <c r="L12" t="n">
        <v>12.4932</v>
      </c>
      <c r="M12" t="n">
        <v>-409715.4375</v>
      </c>
      <c r="N12" t="n">
        <v>-2699930</v>
      </c>
      <c r="O12" t="n">
        <v>-1887210</v>
      </c>
      <c r="P12" t="n">
        <v>-2598730</v>
      </c>
      <c r="Q12" t="n">
        <v>21449</v>
      </c>
      <c r="R12" t="n">
        <v>369.747742</v>
      </c>
      <c r="S12" t="n">
        <v>0</v>
      </c>
      <c r="T12" t="n">
        <v>47.639763</v>
      </c>
      <c r="U12" t="n">
        <v>84.83332799999999</v>
      </c>
      <c r="V12" t="n">
        <v>27188632</v>
      </c>
      <c r="W12" t="n">
        <v>29.204031</v>
      </c>
      <c r="X12" t="n">
        <v>470.403259</v>
      </c>
      <c r="Y12" t="n">
        <v>13312.77</v>
      </c>
      <c r="Z12" t="n">
        <v>785.99</v>
      </c>
      <c r="AA12" t="n">
        <v>3974</v>
      </c>
      <c r="AB12" t="n">
        <v>8115.92</v>
      </c>
      <c r="AC12" t="n">
        <v>3337.6</v>
      </c>
      <c r="AD12" t="n">
        <v>16908.93</v>
      </c>
      <c r="AE12" t="n">
        <v>-1</v>
      </c>
      <c r="AF12" t="n">
        <v>58651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8990740</v>
      </c>
      <c r="F13" t="n">
        <v>9539800</v>
      </c>
      <c r="G13" t="n">
        <v>4285311</v>
      </c>
      <c r="H13" t="n">
        <v>5049137</v>
      </c>
      <c r="I13" t="n">
        <v>10.373495</v>
      </c>
      <c r="J13" t="n">
        <v>22.2559</v>
      </c>
      <c r="K13" t="n">
        <v>9.81451</v>
      </c>
      <c r="L13" t="n">
        <v>9.87022</v>
      </c>
      <c r="M13" t="n">
        <v>-667540.4375</v>
      </c>
      <c r="N13" t="n">
        <v>-2055700</v>
      </c>
      <c r="O13" t="n">
        <v>-1286270</v>
      </c>
      <c r="P13" t="n">
        <v>-1658500</v>
      </c>
      <c r="Q13" t="n">
        <v>159</v>
      </c>
      <c r="R13" t="n">
        <v>250.031448</v>
      </c>
      <c r="S13" t="n">
        <v>0</v>
      </c>
      <c r="T13" t="n">
        <v>53.1675</v>
      </c>
      <c r="U13" t="n">
        <v>47.327309</v>
      </c>
      <c r="V13" t="n">
        <v>3931477.25</v>
      </c>
      <c r="W13" t="n">
        <v>8.022309</v>
      </c>
      <c r="X13" t="n">
        <v>259.000092</v>
      </c>
      <c r="Y13" t="n">
        <v>3667.46</v>
      </c>
      <c r="Z13" t="n">
        <v>579.8099999999999</v>
      </c>
      <c r="AA13" t="n">
        <v>611</v>
      </c>
      <c r="AB13" t="n">
        <v>2070.28</v>
      </c>
      <c r="AC13" t="n">
        <v>199.07</v>
      </c>
      <c r="AD13" t="n">
        <v>3991.34</v>
      </c>
      <c r="AE13" t="n">
        <v>-1</v>
      </c>
      <c r="AF13" t="n">
        <v>34558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7605310</v>
      </c>
      <c r="F14" t="n">
        <v>4738960</v>
      </c>
      <c r="G14" t="n">
        <v>3469340</v>
      </c>
      <c r="H14" t="n">
        <v>4358652</v>
      </c>
      <c r="I14" t="n">
        <v>13.909263</v>
      </c>
      <c r="J14" t="n">
        <v>13.8612</v>
      </c>
      <c r="K14" t="n">
        <v>9.33995</v>
      </c>
      <c r="L14" t="n">
        <v>9.57945</v>
      </c>
      <c r="M14" t="n">
        <v>-2807116.5</v>
      </c>
      <c r="N14" t="n">
        <v>-3880250</v>
      </c>
      <c r="O14" t="n">
        <v>-3208370</v>
      </c>
      <c r="P14" t="n">
        <v>-3401730</v>
      </c>
      <c r="Q14" t="n">
        <v>1766</v>
      </c>
      <c r="R14" t="n">
        <v>56.271801</v>
      </c>
      <c r="S14" t="n">
        <v>0</v>
      </c>
      <c r="T14" t="n">
        <v>88.58691399999999</v>
      </c>
      <c r="U14" t="n">
        <v>53.846645</v>
      </c>
      <c r="V14" t="n">
        <v>765676.625</v>
      </c>
      <c r="W14" t="n">
        <v>1.398322</v>
      </c>
      <c r="X14" t="n">
        <v>30.383583</v>
      </c>
      <c r="Y14" t="n">
        <v>5020.08</v>
      </c>
      <c r="Z14" t="n">
        <v>847.27</v>
      </c>
      <c r="AA14" t="n">
        <v>1604.07</v>
      </c>
      <c r="AB14" t="n">
        <v>2320.68</v>
      </c>
      <c r="AC14" t="n">
        <v>400.96</v>
      </c>
      <c r="AD14" t="n">
        <v>5610.22</v>
      </c>
      <c r="AE14" t="n">
        <v>-1</v>
      </c>
      <c r="AF14" t="n">
        <v>25017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3816840</v>
      </c>
      <c r="F15" t="n">
        <v>2997390</v>
      </c>
      <c r="G15" t="n">
        <v>1671018</v>
      </c>
      <c r="H15" t="n">
        <v>2195650</v>
      </c>
      <c r="I15" t="n">
        <v>7.216483</v>
      </c>
      <c r="J15" t="n">
        <v>6.71259</v>
      </c>
      <c r="K15" t="n">
        <v>7.93342</v>
      </c>
      <c r="L15" t="n">
        <v>8.35528</v>
      </c>
      <c r="M15" t="n">
        <v>-304899.84375</v>
      </c>
      <c r="N15" t="n">
        <v>-493447</v>
      </c>
      <c r="O15" t="n">
        <v>-353182</v>
      </c>
      <c r="P15" t="n">
        <v>-481533</v>
      </c>
      <c r="Q15" t="n">
        <v>1507</v>
      </c>
      <c r="R15" t="n">
        <v>1669.817505</v>
      </c>
      <c r="S15" t="n">
        <v>0</v>
      </c>
      <c r="T15" t="n">
        <v>80.130959</v>
      </c>
      <c r="U15" t="n">
        <v>53.392883</v>
      </c>
      <c r="V15" t="n">
        <v>549611.25</v>
      </c>
      <c r="W15" t="n">
        <v>2.134578</v>
      </c>
      <c r="X15" t="n">
        <v>210.453522</v>
      </c>
      <c r="Y15" t="n">
        <v>1311.92</v>
      </c>
      <c r="Z15" t="n">
        <v>283.92</v>
      </c>
      <c r="AA15" t="n">
        <v>351.33</v>
      </c>
      <c r="AB15" t="n">
        <v>460.06</v>
      </c>
      <c r="AC15" t="n">
        <v>132.38</v>
      </c>
      <c r="AD15" t="n">
        <v>1520.78</v>
      </c>
      <c r="AE15" t="n">
        <v>-1</v>
      </c>
      <c r="AF15" t="n">
        <v>9156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1020230</v>
      </c>
      <c r="F16" t="n">
        <v>836209</v>
      </c>
      <c r="G16" t="n">
        <v>550661</v>
      </c>
      <c r="H16" t="n">
        <v>719628</v>
      </c>
      <c r="I16" t="n">
        <v>6.112595</v>
      </c>
      <c r="J16" t="n">
        <v>9.492459999999999</v>
      </c>
      <c r="K16" t="n">
        <v>8.51126</v>
      </c>
      <c r="L16" t="n">
        <v>8.87238</v>
      </c>
      <c r="M16" t="n">
        <v>-45839.914062</v>
      </c>
      <c r="N16" t="n">
        <v>-140065</v>
      </c>
      <c r="O16" t="n">
        <v>-82149.7</v>
      </c>
      <c r="P16" t="n">
        <v>-111792</v>
      </c>
      <c r="Q16" t="n">
        <v>378</v>
      </c>
      <c r="R16" t="n">
        <v>72.55291</v>
      </c>
      <c r="S16" t="n">
        <v>0</v>
      </c>
      <c r="T16" t="n">
        <v>84.271355</v>
      </c>
      <c r="U16" t="n">
        <v>49.332951</v>
      </c>
      <c r="V16" t="n">
        <v>131885.421875</v>
      </c>
      <c r="W16" t="n">
        <v>1.518106</v>
      </c>
      <c r="X16" t="n">
        <v>127.000198</v>
      </c>
      <c r="Y16" t="n">
        <v>518.25</v>
      </c>
      <c r="Z16" t="n">
        <v>77.38</v>
      </c>
      <c r="AA16" t="n">
        <v>259.45</v>
      </c>
      <c r="AB16" t="n">
        <v>89.88</v>
      </c>
      <c r="AC16" t="n">
        <v>40.77</v>
      </c>
      <c r="AD16" t="n">
        <v>591.04</v>
      </c>
      <c r="AE16" t="n">
        <v>-1</v>
      </c>
      <c r="AF16" t="n">
        <v>3677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3368400</v>
      </c>
      <c r="F17" t="n">
        <v>3576650</v>
      </c>
      <c r="G17" t="n">
        <v>2436242</v>
      </c>
      <c r="H17" t="n">
        <v>3029293</v>
      </c>
      <c r="I17" t="n">
        <v>15.906105</v>
      </c>
      <c r="J17" t="n">
        <v>13.7708</v>
      </c>
      <c r="K17" t="n">
        <v>11.0281</v>
      </c>
      <c r="L17" t="n">
        <v>11.3363</v>
      </c>
      <c r="M17" t="n">
        <v>-679787.75</v>
      </c>
      <c r="N17" t="n">
        <v>-880742</v>
      </c>
      <c r="O17" t="n">
        <v>-573539</v>
      </c>
      <c r="P17" t="n">
        <v>-737559</v>
      </c>
      <c r="Q17" t="n">
        <v>1712</v>
      </c>
      <c r="R17" t="n">
        <v>482.257019</v>
      </c>
      <c r="S17" t="n">
        <v>0</v>
      </c>
      <c r="T17" t="n">
        <v>78.652939</v>
      </c>
      <c r="U17" t="n">
        <v>50.581036</v>
      </c>
      <c r="V17" t="n">
        <v>387777.03125</v>
      </c>
      <c r="W17" t="n">
        <v>1.824387</v>
      </c>
      <c r="X17" t="n">
        <v>218.193878</v>
      </c>
      <c r="Y17" t="n">
        <v>1465.06</v>
      </c>
      <c r="Z17" t="n">
        <v>237.66</v>
      </c>
      <c r="AA17" t="n">
        <v>609.89</v>
      </c>
      <c r="AB17" t="n">
        <v>398.09</v>
      </c>
      <c r="AC17" t="n">
        <v>165.75</v>
      </c>
      <c r="AD17" t="n">
        <v>1693.79</v>
      </c>
      <c r="AE17" t="n">
        <v>-1</v>
      </c>
      <c r="AF17" t="n">
        <v>7945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1630930</v>
      </c>
      <c r="F18" t="n">
        <v>1656710</v>
      </c>
      <c r="G18" t="n">
        <v>1121531</v>
      </c>
      <c r="H18" t="n">
        <v>1478221</v>
      </c>
      <c r="I18" t="n">
        <v>1258.75</v>
      </c>
      <c r="J18" t="n">
        <v>975.018</v>
      </c>
      <c r="K18" t="n">
        <v>903.687</v>
      </c>
      <c r="L18" t="n">
        <v>805.23</v>
      </c>
      <c r="M18" t="n">
        <v>-391998.25</v>
      </c>
      <c r="N18" t="n">
        <v>-488345</v>
      </c>
      <c r="O18" t="n">
        <v>-422487</v>
      </c>
      <c r="P18" t="n">
        <v>-492656</v>
      </c>
      <c r="Q18" t="n">
        <v>2015</v>
      </c>
      <c r="R18" t="n">
        <v>88.749878</v>
      </c>
      <c r="S18" t="n">
        <v>0</v>
      </c>
      <c r="T18" t="n">
        <v>69.05851</v>
      </c>
      <c r="U18" t="n">
        <v>60.835655</v>
      </c>
      <c r="V18" t="n">
        <v>314283.90625</v>
      </c>
      <c r="W18" t="n">
        <v>2.280195</v>
      </c>
      <c r="X18" t="n">
        <v>116.109314</v>
      </c>
      <c r="Y18" t="n">
        <v>834.8099999999999</v>
      </c>
      <c r="Z18" t="n">
        <v>159.46</v>
      </c>
      <c r="AA18" t="n">
        <v>181</v>
      </c>
      <c r="AB18" t="n">
        <v>393.6</v>
      </c>
      <c r="AC18" t="n">
        <v>100.23</v>
      </c>
      <c r="AD18" t="n">
        <v>986.49</v>
      </c>
      <c r="AE18" t="n">
        <v>-1</v>
      </c>
      <c r="AF18" t="n">
        <v>7362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13843600</v>
      </c>
      <c r="F19" t="n">
        <v>14262200</v>
      </c>
      <c r="G19" t="n">
        <v>5403414</v>
      </c>
      <c r="H19" t="n">
        <v>6383630</v>
      </c>
      <c r="I19" t="n">
        <v>26.359171</v>
      </c>
      <c r="J19" t="n">
        <v>41.3436</v>
      </c>
      <c r="K19" t="n">
        <v>18.5071</v>
      </c>
      <c r="L19" t="n">
        <v>19.1569</v>
      </c>
      <c r="M19" t="n">
        <v>-5645566.5</v>
      </c>
      <c r="N19" t="n">
        <v>-8283200</v>
      </c>
      <c r="O19" t="n">
        <v>-4596050</v>
      </c>
      <c r="P19" t="n">
        <v>-5054700</v>
      </c>
      <c r="Q19" t="n">
        <v>248</v>
      </c>
      <c r="R19" t="n">
        <v>89.3871</v>
      </c>
      <c r="S19" t="n">
        <v>0</v>
      </c>
      <c r="T19" t="n">
        <v>78.99842099999999</v>
      </c>
      <c r="U19" t="n">
        <v>75.461197</v>
      </c>
      <c r="V19" t="n">
        <v>5807207</v>
      </c>
      <c r="W19" t="n">
        <v>7.636922</v>
      </c>
      <c r="X19" t="n">
        <v>389.000183</v>
      </c>
      <c r="Y19" t="n">
        <v>8553.290000000001</v>
      </c>
      <c r="Z19" t="n">
        <v>972.2</v>
      </c>
      <c r="AA19" t="n">
        <v>2387.07</v>
      </c>
      <c r="AB19" t="n">
        <v>4730.56</v>
      </c>
      <c r="AC19" t="n">
        <v>305.23</v>
      </c>
      <c r="AD19" t="n">
        <v>9199.23</v>
      </c>
      <c r="AE19" t="n">
        <v>-1</v>
      </c>
      <c r="AF19" t="n">
        <v>45646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978630</v>
      </c>
      <c r="F20" t="n">
        <v>870550</v>
      </c>
      <c r="G20" t="n">
        <v>690186</v>
      </c>
      <c r="H20" t="n">
        <v>943326</v>
      </c>
      <c r="I20" t="n">
        <v>10.2698</v>
      </c>
      <c r="J20" t="n">
        <v>9.89969</v>
      </c>
      <c r="K20" t="n">
        <v>9.03064</v>
      </c>
      <c r="L20" t="n">
        <v>9.31555</v>
      </c>
      <c r="M20" t="n">
        <v>-401159.8125</v>
      </c>
      <c r="N20" t="n">
        <v>-675795</v>
      </c>
      <c r="O20" t="n">
        <v>-566426</v>
      </c>
      <c r="P20" t="n">
        <v>-627471</v>
      </c>
      <c r="Q20" t="n">
        <v>31</v>
      </c>
      <c r="R20" t="n">
        <v>157.322586</v>
      </c>
      <c r="S20" t="n">
        <v>0</v>
      </c>
      <c r="T20" t="n">
        <v>81.407562</v>
      </c>
      <c r="U20" t="n">
        <v>55.146507</v>
      </c>
      <c r="V20" t="n">
        <v>161670.8125</v>
      </c>
      <c r="W20" t="n">
        <v>1.757769</v>
      </c>
      <c r="X20" t="n">
        <v>31.842209</v>
      </c>
      <c r="Y20" t="n">
        <v>491.51</v>
      </c>
      <c r="Z20" t="n">
        <v>107.76</v>
      </c>
      <c r="AA20" t="n">
        <v>235.72</v>
      </c>
      <c r="AB20" t="n">
        <v>106.8</v>
      </c>
      <c r="AC20" t="n">
        <v>48.86</v>
      </c>
      <c r="AD20" t="n">
        <v>571.38</v>
      </c>
      <c r="AE20" t="n">
        <v>-1</v>
      </c>
      <c r="AF20" t="n">
        <v>4322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3687090</v>
      </c>
      <c r="F21" t="n">
        <v>7547040</v>
      </c>
      <c r="G21" t="n">
        <v>3832243</v>
      </c>
      <c r="H21" t="n">
        <v>4787198</v>
      </c>
      <c r="I21" t="n">
        <v>13.204467</v>
      </c>
      <c r="J21" t="n">
        <v>23.7881</v>
      </c>
      <c r="K21" t="n">
        <v>12.1749</v>
      </c>
      <c r="L21" t="n">
        <v>12.4088</v>
      </c>
      <c r="M21" t="n">
        <v>-543118.4375</v>
      </c>
      <c r="N21" t="n">
        <v>-1079530</v>
      </c>
      <c r="O21" t="n">
        <v>-783653</v>
      </c>
      <c r="P21" t="n">
        <v>-1041590</v>
      </c>
      <c r="Q21" t="n">
        <v>872</v>
      </c>
      <c r="R21" t="n">
        <v>630.7476809999999</v>
      </c>
      <c r="S21" t="n">
        <v>0</v>
      </c>
      <c r="T21" t="n">
        <v>93.85556</v>
      </c>
      <c r="U21" t="n">
        <v>72.56111900000001</v>
      </c>
      <c r="V21" t="n">
        <v>3491163.75</v>
      </c>
      <c r="W21" t="n">
        <v>11.628685</v>
      </c>
      <c r="X21" t="n">
        <v>189.000214</v>
      </c>
      <c r="Y21" t="n">
        <v>6514.27</v>
      </c>
      <c r="Z21" t="n">
        <v>422.33</v>
      </c>
      <c r="AA21" t="n">
        <v>4555.57</v>
      </c>
      <c r="AB21" t="n">
        <v>1430.71</v>
      </c>
      <c r="AC21" t="n">
        <v>385.09</v>
      </c>
      <c r="AD21" t="n">
        <v>6980.77</v>
      </c>
      <c r="AE21" t="n">
        <v>-1</v>
      </c>
      <c r="AF21" t="n">
        <v>13676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3422960</v>
      </c>
      <c r="F22" t="n">
        <v>2693740</v>
      </c>
      <c r="G22" t="n">
        <v>1573517</v>
      </c>
      <c r="H22" t="n">
        <v>1886802</v>
      </c>
      <c r="I22" t="n">
        <v>10.066453</v>
      </c>
      <c r="J22" t="n">
        <v>9.35735</v>
      </c>
      <c r="K22" t="n">
        <v>7.17299</v>
      </c>
      <c r="L22" t="n">
        <v>7.42117</v>
      </c>
      <c r="M22" t="n">
        <v>-152655.453125</v>
      </c>
      <c r="N22" t="n">
        <v>-651665</v>
      </c>
      <c r="O22" t="n">
        <v>-468278</v>
      </c>
      <c r="P22" t="n">
        <v>-575633</v>
      </c>
      <c r="Q22" t="n">
        <v>742</v>
      </c>
      <c r="R22" t="n">
        <v>1952.124023</v>
      </c>
      <c r="S22" t="n">
        <v>0</v>
      </c>
      <c r="T22" t="n">
        <v>47.861927</v>
      </c>
      <c r="U22" t="n">
        <v>62.275116</v>
      </c>
      <c r="V22" t="n">
        <v>1155566.75</v>
      </c>
      <c r="W22" t="n">
        <v>4.934587</v>
      </c>
      <c r="X22" t="n">
        <v>80.88819100000001</v>
      </c>
      <c r="Y22" t="n">
        <v>1759.17</v>
      </c>
      <c r="Z22" t="n">
        <v>223.12</v>
      </c>
      <c r="AA22" t="n">
        <v>307.01</v>
      </c>
      <c r="AB22" t="n">
        <v>1014.66</v>
      </c>
      <c r="AC22" t="n">
        <v>106.27</v>
      </c>
      <c r="AD22" t="n">
        <v>1933.5</v>
      </c>
      <c r="AE22" t="n">
        <v>-1</v>
      </c>
      <c r="AF22" t="n">
        <v>19144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676949</v>
      </c>
      <c r="F23" t="n">
        <v>674674</v>
      </c>
      <c r="G23" t="n">
        <v>494935</v>
      </c>
      <c r="H23" t="n">
        <v>561746</v>
      </c>
      <c r="I23" t="n">
        <v>9.568770000000001</v>
      </c>
      <c r="J23" t="n">
        <v>9.088699999999999</v>
      </c>
      <c r="K23" t="n">
        <v>7.7398</v>
      </c>
      <c r="L23" t="n">
        <v>8.2803</v>
      </c>
      <c r="M23" t="n">
        <v>-54304.429688</v>
      </c>
      <c r="N23" t="n">
        <v>-68081.60000000001</v>
      </c>
      <c r="O23" t="n">
        <v>-57936.2</v>
      </c>
      <c r="P23" t="n">
        <v>-67197.8</v>
      </c>
      <c r="Q23" t="n">
        <v>1321</v>
      </c>
      <c r="R23" t="n">
        <v>53.327782</v>
      </c>
      <c r="S23" t="n">
        <v>0</v>
      </c>
      <c r="T23" t="n">
        <v>78.41284899999999</v>
      </c>
      <c r="U23" t="n">
        <v>42.684662</v>
      </c>
      <c r="V23" t="n">
        <v>124097.0625</v>
      </c>
      <c r="W23" t="n">
        <v>1.318919</v>
      </c>
      <c r="X23" t="n">
        <v>139.843323</v>
      </c>
      <c r="Y23" t="n">
        <v>285.63</v>
      </c>
      <c r="Z23" t="n">
        <v>60.88</v>
      </c>
      <c r="AA23" t="n">
        <v>73.16</v>
      </c>
      <c r="AB23" t="n">
        <v>63.75</v>
      </c>
      <c r="AC23" t="n">
        <v>23.29</v>
      </c>
      <c r="AD23" t="n">
        <v>338.83</v>
      </c>
      <c r="AE23" t="n">
        <v>-1</v>
      </c>
      <c r="AF23" t="n">
        <v>3537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57117000</v>
      </c>
      <c r="F24" t="n">
        <v>41091500</v>
      </c>
      <c r="G24" t="n">
        <v>31510275</v>
      </c>
      <c r="H24" t="n">
        <v>23419394</v>
      </c>
      <c r="I24" t="n">
        <v>1227.989136</v>
      </c>
      <c r="J24" t="n">
        <v>987.803</v>
      </c>
      <c r="K24" t="n">
        <v>907.841</v>
      </c>
      <c r="L24" t="n">
        <v>809.005</v>
      </c>
      <c r="M24" t="n">
        <v>-63418096</v>
      </c>
      <c r="N24" t="n">
        <v>-97998000</v>
      </c>
      <c r="O24" t="n">
        <v>-93431800</v>
      </c>
      <c r="P24" t="n">
        <v>-122818000</v>
      </c>
      <c r="Q24" t="n">
        <v>736</v>
      </c>
      <c r="R24" t="n">
        <v>73.80571</v>
      </c>
      <c r="S24" t="n">
        <v>0</v>
      </c>
      <c r="T24" t="n">
        <v>93.803436</v>
      </c>
      <c r="U24" t="n">
        <v>58.770401</v>
      </c>
      <c r="V24" t="n">
        <v>4274400.5</v>
      </c>
      <c r="W24" t="n">
        <v>2.299284</v>
      </c>
      <c r="X24" t="n">
        <v>66.459946</v>
      </c>
      <c r="Y24" t="n">
        <v>31881.62</v>
      </c>
      <c r="Z24" t="n">
        <v>2390.3</v>
      </c>
      <c r="AA24" t="n">
        <v>6266.85</v>
      </c>
      <c r="AB24" t="n">
        <v>22159.24</v>
      </c>
      <c r="AC24" t="n">
        <v>1965.72</v>
      </c>
      <c r="AD24" t="n">
        <v>34326.54</v>
      </c>
      <c r="AE24" t="n">
        <v>-1</v>
      </c>
      <c r="AF24" t="n">
        <v>108198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63023700</v>
      </c>
      <c r="G2" t="n">
        <v>15156882</v>
      </c>
      <c r="H2" t="n">
        <v>16050197</v>
      </c>
      <c r="I2" t="n">
        <v>-1</v>
      </c>
      <c r="J2" t="n">
        <v>61.4139</v>
      </c>
      <c r="K2" t="n">
        <v>26.5017</v>
      </c>
      <c r="L2" t="n">
        <v>23.7167</v>
      </c>
      <c r="M2" t="n">
        <v>-1</v>
      </c>
      <c r="N2" t="n">
        <v>-4704110</v>
      </c>
      <c r="O2" t="n">
        <v>-3141170</v>
      </c>
      <c r="P2" t="n">
        <v>-5564920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680.46</v>
      </c>
      <c r="AD2" t="n">
        <v>5936.37</v>
      </c>
      <c r="AE2" t="n">
        <v>-1</v>
      </c>
      <c r="AF2" t="n">
        <v>16697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48997300</v>
      </c>
      <c r="G3" t="n">
        <v>5084526</v>
      </c>
      <c r="H3" t="n">
        <v>6138053</v>
      </c>
      <c r="I3" t="n">
        <v>-1</v>
      </c>
      <c r="J3" t="n">
        <v>23.7216</v>
      </c>
      <c r="K3" t="n">
        <v>7.6282</v>
      </c>
      <c r="L3" t="n">
        <v>8.2125</v>
      </c>
      <c r="M3" t="n">
        <v>-1</v>
      </c>
      <c r="N3" t="n">
        <v>-3092750</v>
      </c>
      <c r="O3" t="n">
        <v>-626359</v>
      </c>
      <c r="P3" t="n">
        <v>-829963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270.99</v>
      </c>
      <c r="AD3" t="n">
        <v>5422.11</v>
      </c>
      <c r="AE3" t="n">
        <v>-1</v>
      </c>
      <c r="AF3" t="n">
        <v>31242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5647430</v>
      </c>
      <c r="G4" t="n">
        <v>1165256</v>
      </c>
      <c r="H4" t="n">
        <v>1525889</v>
      </c>
      <c r="I4" t="n">
        <v>-1</v>
      </c>
      <c r="J4" t="n">
        <v>136.099</v>
      </c>
      <c r="K4" t="n">
        <v>88.0519</v>
      </c>
      <c r="L4" t="n">
        <v>78.0949</v>
      </c>
      <c r="M4" t="n">
        <v>-1</v>
      </c>
      <c r="N4" t="n">
        <v>-729665</v>
      </c>
      <c r="O4" t="n">
        <v>-405561</v>
      </c>
      <c r="P4" t="n">
        <v>-414945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92.03</v>
      </c>
      <c r="AD4" t="n">
        <v>742.2</v>
      </c>
      <c r="AE4" t="n">
        <v>-1</v>
      </c>
      <c r="AF4" t="n">
        <v>5345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exited with return code -15</t>
        </is>
      </c>
      <c r="E5" t="n">
        <v>-1</v>
      </c>
      <c r="F5" t="n">
        <v>104376000</v>
      </c>
      <c r="G5" t="n">
        <v>10637537</v>
      </c>
      <c r="H5" t="n">
        <v>-1</v>
      </c>
      <c r="I5" t="n">
        <v>-1</v>
      </c>
      <c r="J5" t="n">
        <v>26.564</v>
      </c>
      <c r="K5" t="n">
        <v>8.4466</v>
      </c>
      <c r="L5" t="n">
        <v>-1</v>
      </c>
      <c r="M5" t="n">
        <v>-1</v>
      </c>
      <c r="N5" t="n">
        <v>-2694270</v>
      </c>
      <c r="O5" t="n">
        <v>-951012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29836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20501200</v>
      </c>
      <c r="G6" t="n">
        <v>3436369</v>
      </c>
      <c r="H6" t="n">
        <v>4495956</v>
      </c>
      <c r="I6" t="n">
        <v>-1</v>
      </c>
      <c r="J6" t="n">
        <v>57.4082</v>
      </c>
      <c r="K6" t="n">
        <v>14.1523</v>
      </c>
      <c r="L6" t="n">
        <v>14.7107</v>
      </c>
      <c r="M6" t="n">
        <v>-1</v>
      </c>
      <c r="N6" t="n">
        <v>-4112280</v>
      </c>
      <c r="O6" t="n">
        <v>-1665010</v>
      </c>
      <c r="P6" t="n">
        <v>-1893050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221.43</v>
      </c>
      <c r="AD6" t="n">
        <v>2021.47</v>
      </c>
      <c r="AE6" t="n">
        <v>-1</v>
      </c>
      <c r="AF6" t="n">
        <v>7303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12618800</v>
      </c>
      <c r="G7" t="n">
        <v>2163733</v>
      </c>
      <c r="H7" t="n">
        <v>2774242</v>
      </c>
      <c r="I7" t="n">
        <v>-1</v>
      </c>
      <c r="J7" t="n">
        <v>27.0574</v>
      </c>
      <c r="K7" t="n">
        <v>9.50145</v>
      </c>
      <c r="L7" t="n">
        <v>10.2087</v>
      </c>
      <c r="M7" t="n">
        <v>-1</v>
      </c>
      <c r="N7" t="n">
        <v>-1136050</v>
      </c>
      <c r="O7" t="n">
        <v>-528678</v>
      </c>
      <c r="P7" t="n">
        <v>-764112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226.55</v>
      </c>
      <c r="AD7" t="n">
        <v>1521.77</v>
      </c>
      <c r="AE7" t="n">
        <v>-1</v>
      </c>
      <c r="AF7" t="n">
        <v>9665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3679590</v>
      </c>
      <c r="G8" t="n">
        <v>825673</v>
      </c>
      <c r="H8" t="n">
        <v>1132040</v>
      </c>
      <c r="I8" t="n">
        <v>-1</v>
      </c>
      <c r="J8" t="n">
        <v>13.1792</v>
      </c>
      <c r="K8" t="n">
        <v>7.24719</v>
      </c>
      <c r="L8" t="n">
        <v>7.69557</v>
      </c>
      <c r="M8" t="n">
        <v>-1</v>
      </c>
      <c r="N8" t="n">
        <v>-351110</v>
      </c>
      <c r="O8" t="n">
        <v>-202951</v>
      </c>
      <c r="P8" t="n">
        <v>-300626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61.52</v>
      </c>
      <c r="AD8" t="n">
        <v>536.6900000000001</v>
      </c>
      <c r="AE8" t="n">
        <v>-1</v>
      </c>
      <c r="AF8" t="n">
        <v>4733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10315900</v>
      </c>
      <c r="G9" t="n">
        <v>1739196</v>
      </c>
      <c r="H9" t="n">
        <v>2064807</v>
      </c>
      <c r="I9" t="n">
        <v>-1</v>
      </c>
      <c r="J9" t="n">
        <v>37.2867</v>
      </c>
      <c r="K9" t="n">
        <v>13.7966</v>
      </c>
      <c r="L9" t="n">
        <v>14.3494</v>
      </c>
      <c r="M9" t="n">
        <v>-1</v>
      </c>
      <c r="N9" t="n">
        <v>-3434860</v>
      </c>
      <c r="O9" t="n">
        <v>-1589490</v>
      </c>
      <c r="P9" t="n">
        <v>-1774050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94.63</v>
      </c>
      <c r="AD9" t="n">
        <v>1171.87</v>
      </c>
      <c r="AE9" t="n">
        <v>-1</v>
      </c>
      <c r="AF9" t="n">
        <v>6942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23173800</v>
      </c>
      <c r="G10" t="n">
        <v>2380295</v>
      </c>
      <c r="H10" t="n">
        <v>3020717</v>
      </c>
      <c r="I10" t="n">
        <v>-1</v>
      </c>
      <c r="J10" t="n">
        <v>2151</v>
      </c>
      <c r="K10" t="n">
        <v>972.046</v>
      </c>
      <c r="L10" t="n">
        <v>885.0700000000001</v>
      </c>
      <c r="M10" t="n">
        <v>-1</v>
      </c>
      <c r="N10" t="n">
        <v>-2077650</v>
      </c>
      <c r="O10" t="n">
        <v>-913581</v>
      </c>
      <c r="P10" t="n">
        <v>-1023990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183.77</v>
      </c>
      <c r="AD10" t="n">
        <v>3201.54</v>
      </c>
      <c r="AE10" t="n">
        <v>-1</v>
      </c>
      <c r="AF10" t="n">
        <v>13983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8961240</v>
      </c>
      <c r="G11" t="n">
        <v>1457397</v>
      </c>
      <c r="H11" t="n">
        <v>2087467</v>
      </c>
      <c r="I11" t="n">
        <v>-1</v>
      </c>
      <c r="J11" t="n">
        <v>40.4865</v>
      </c>
      <c r="K11" t="n">
        <v>12.2162</v>
      </c>
      <c r="L11" t="n">
        <v>12.418</v>
      </c>
      <c r="M11" t="n">
        <v>-1</v>
      </c>
      <c r="N11" t="n">
        <v>-1947140</v>
      </c>
      <c r="O11" t="n">
        <v>-836835</v>
      </c>
      <c r="P11" t="n">
        <v>-912575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115.46</v>
      </c>
      <c r="AD11" t="n">
        <v>1012.41</v>
      </c>
      <c r="AE11" t="n">
        <v>-1</v>
      </c>
      <c r="AF11" t="n">
        <v>4253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exited with return code -15</t>
        </is>
      </c>
      <c r="E12" t="n">
        <v>-1</v>
      </c>
      <c r="F12" t="n">
        <v>96436600</v>
      </c>
      <c r="G12" t="n">
        <v>15582064</v>
      </c>
      <c r="H12" t="n">
        <v>-1</v>
      </c>
      <c r="I12" t="n">
        <v>-1</v>
      </c>
      <c r="J12" t="n">
        <v>37.6501</v>
      </c>
      <c r="K12" t="n">
        <v>12.2986</v>
      </c>
      <c r="L12" t="n">
        <v>-1</v>
      </c>
      <c r="M12" t="n">
        <v>-1</v>
      </c>
      <c r="N12" t="n">
        <v>-3558900</v>
      </c>
      <c r="O12" t="n">
        <v>-2155260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57279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30967000</v>
      </c>
      <c r="G13" t="n">
        <v>4796267</v>
      </c>
      <c r="H13" t="n">
        <v>5695719</v>
      </c>
      <c r="I13" t="n">
        <v>-1</v>
      </c>
      <c r="J13" t="n">
        <v>38.1071</v>
      </c>
      <c r="K13" t="n">
        <v>10.6663</v>
      </c>
      <c r="L13" t="n">
        <v>11.022</v>
      </c>
      <c r="M13" t="n">
        <v>-1</v>
      </c>
      <c r="N13" t="n">
        <v>-4410400</v>
      </c>
      <c r="O13" t="n">
        <v>-1529240</v>
      </c>
      <c r="P13" t="n">
        <v>-1985290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392.39</v>
      </c>
      <c r="AD13" t="n">
        <v>3429.58</v>
      </c>
      <c r="AE13" t="n">
        <v>-1</v>
      </c>
      <c r="AF13" t="n">
        <v>21658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51002700</v>
      </c>
      <c r="G14" t="n">
        <v>4048915</v>
      </c>
      <c r="H14" t="n">
        <v>5066631</v>
      </c>
      <c r="I14" t="n">
        <v>-1</v>
      </c>
      <c r="J14" t="n">
        <v>44.0195</v>
      </c>
      <c r="K14" t="n">
        <v>10.0835</v>
      </c>
      <c r="L14" t="n">
        <v>10.9629</v>
      </c>
      <c r="M14" t="n">
        <v>-1</v>
      </c>
      <c r="N14" t="n">
        <v>-8184300</v>
      </c>
      <c r="O14" t="n">
        <v>-3149790</v>
      </c>
      <c r="P14" t="n">
        <v>-3475570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364.26</v>
      </c>
      <c r="AD14" t="n">
        <v>5733.49</v>
      </c>
      <c r="AE14" t="n">
        <v>-1</v>
      </c>
      <c r="AF14" t="n">
        <v>23953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12519300</v>
      </c>
      <c r="G15" t="n">
        <v>2093314</v>
      </c>
      <c r="H15" t="n">
        <v>2736058</v>
      </c>
      <c r="I15" t="n">
        <v>-1</v>
      </c>
      <c r="J15" t="n">
        <v>20.4814</v>
      </c>
      <c r="K15" t="n">
        <v>7.51101</v>
      </c>
      <c r="L15" t="n">
        <v>9.020770000000001</v>
      </c>
      <c r="M15" t="n">
        <v>-1</v>
      </c>
      <c r="N15" t="n">
        <v>-773416</v>
      </c>
      <c r="O15" t="n">
        <v>-362093</v>
      </c>
      <c r="P15" t="n">
        <v>-524235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116.01</v>
      </c>
      <c r="AD15" t="n">
        <v>1505.43</v>
      </c>
      <c r="AE15" t="n">
        <v>-1</v>
      </c>
      <c r="AF15" t="n">
        <v>7903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2231970</v>
      </c>
      <c r="G16" t="n">
        <v>593529</v>
      </c>
      <c r="H16" t="n">
        <v>768362</v>
      </c>
      <c r="I16" t="n">
        <v>-1</v>
      </c>
      <c r="J16" t="n">
        <v>12.8894</v>
      </c>
      <c r="K16" t="n">
        <v>8.215299999999999</v>
      </c>
      <c r="L16" t="n">
        <v>8.765499999999999</v>
      </c>
      <c r="M16" t="n">
        <v>-1</v>
      </c>
      <c r="N16" t="n">
        <v>-153164</v>
      </c>
      <c r="O16" t="n">
        <v>-83711.60000000001</v>
      </c>
      <c r="P16" t="n">
        <v>-116633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35.62</v>
      </c>
      <c r="AD16" t="n">
        <v>370.37</v>
      </c>
      <c r="AE16" t="n">
        <v>-1</v>
      </c>
      <c r="AF16" t="n">
        <v>3128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12305200</v>
      </c>
      <c r="G17" t="n">
        <v>2363101</v>
      </c>
      <c r="H17" t="n">
        <v>3020773</v>
      </c>
      <c r="I17" t="n">
        <v>-1</v>
      </c>
      <c r="J17" t="n">
        <v>28.4269</v>
      </c>
      <c r="K17" t="n">
        <v>11.9344</v>
      </c>
      <c r="L17" t="n">
        <v>12.4351</v>
      </c>
      <c r="M17" t="n">
        <v>-1</v>
      </c>
      <c r="N17" t="n">
        <v>-1186230</v>
      </c>
      <c r="O17" t="n">
        <v>-635647</v>
      </c>
      <c r="P17" t="n">
        <v>-836402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149.1</v>
      </c>
      <c r="AD17" t="n">
        <v>1437.45</v>
      </c>
      <c r="AE17" t="n">
        <v>-1</v>
      </c>
      <c r="AF17" t="n">
        <v>7149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8769110</v>
      </c>
      <c r="G18" t="n">
        <v>1323228</v>
      </c>
      <c r="H18" t="n">
        <v>1729371</v>
      </c>
      <c r="I18" t="n">
        <v>-1</v>
      </c>
      <c r="J18" t="n">
        <v>2388.17</v>
      </c>
      <c r="K18" t="n">
        <v>944.838</v>
      </c>
      <c r="L18" t="n">
        <v>854.333</v>
      </c>
      <c r="M18" t="n">
        <v>-1</v>
      </c>
      <c r="N18" t="n">
        <v>-817759</v>
      </c>
      <c r="O18" t="n">
        <v>-445539</v>
      </c>
      <c r="P18" t="n">
        <v>-552338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132.88</v>
      </c>
      <c r="AD18" t="n">
        <v>1223.56</v>
      </c>
      <c r="AE18" t="n">
        <v>-1</v>
      </c>
      <c r="AF18" t="n">
        <v>6905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64313100</v>
      </c>
      <c r="G19" t="n">
        <v>6429385</v>
      </c>
      <c r="H19" t="n">
        <v>7514215</v>
      </c>
      <c r="I19" t="n">
        <v>-1</v>
      </c>
      <c r="J19" t="n">
        <v>98.8198</v>
      </c>
      <c r="K19" t="n">
        <v>18.6769</v>
      </c>
      <c r="L19" t="n">
        <v>19.4783</v>
      </c>
      <c r="M19" t="n">
        <v>-1</v>
      </c>
      <c r="N19" t="n">
        <v>-9581980</v>
      </c>
      <c r="O19" t="n">
        <v>-4274800</v>
      </c>
      <c r="P19" t="n">
        <v>-4932900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303.78</v>
      </c>
      <c r="AD19" t="n">
        <v>7456.49</v>
      </c>
      <c r="AE19" t="n">
        <v>-1</v>
      </c>
      <c r="AF19" t="n">
        <v>33827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3731650</v>
      </c>
      <c r="G20" t="n">
        <v>892883</v>
      </c>
      <c r="H20" t="n">
        <v>1202354</v>
      </c>
      <c r="I20" t="n">
        <v>-1</v>
      </c>
      <c r="J20" t="n">
        <v>18.1223</v>
      </c>
      <c r="K20" t="n">
        <v>8.86957</v>
      </c>
      <c r="L20" t="n">
        <v>8.916880000000001</v>
      </c>
      <c r="M20" t="n">
        <v>-1</v>
      </c>
      <c r="N20" t="n">
        <v>-987202</v>
      </c>
      <c r="O20" t="n">
        <v>-578534</v>
      </c>
      <c r="P20" t="n">
        <v>-648750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63.71</v>
      </c>
      <c r="AD20" t="n">
        <v>553.27</v>
      </c>
      <c r="AE20" t="n">
        <v>-1</v>
      </c>
      <c r="AF20" t="n">
        <v>3983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20298600</v>
      </c>
      <c r="G21" t="n">
        <v>4285087</v>
      </c>
      <c r="H21" t="n">
        <v>5352793</v>
      </c>
      <c r="I21" t="n">
        <v>-1</v>
      </c>
      <c r="J21" t="n">
        <v>37.3725</v>
      </c>
      <c r="K21" t="n">
        <v>11.8751</v>
      </c>
      <c r="L21" t="n">
        <v>12.1348</v>
      </c>
      <c r="M21" t="n">
        <v>-1</v>
      </c>
      <c r="N21" t="n">
        <v>-1501730</v>
      </c>
      <c r="O21" t="n">
        <v>-817370</v>
      </c>
      <c r="P21" t="n">
        <v>-1145260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2149.27</v>
      </c>
      <c r="AD21" t="n">
        <v>5421.31</v>
      </c>
      <c r="AE21" t="n">
        <v>-1</v>
      </c>
      <c r="AF21" t="n">
        <v>14136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13285500</v>
      </c>
      <c r="G22" t="n">
        <v>2158322</v>
      </c>
      <c r="H22" t="n">
        <v>2554892</v>
      </c>
      <c r="I22" t="n">
        <v>-1</v>
      </c>
      <c r="J22" t="n">
        <v>18.6495</v>
      </c>
      <c r="K22" t="n">
        <v>9.08464</v>
      </c>
      <c r="L22" t="n">
        <v>9.53735</v>
      </c>
      <c r="M22" t="n">
        <v>-1</v>
      </c>
      <c r="N22" t="n">
        <v>-881397</v>
      </c>
      <c r="O22" t="n">
        <v>-406654</v>
      </c>
      <c r="P22" t="n">
        <v>-561119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98.66</v>
      </c>
      <c r="AD22" t="n">
        <v>1861.5</v>
      </c>
      <c r="AE22" t="n">
        <v>-1</v>
      </c>
      <c r="AF22" t="n">
        <v>15837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2453770</v>
      </c>
      <c r="G23" t="n">
        <v>491174</v>
      </c>
      <c r="H23" t="n">
        <v>568678</v>
      </c>
      <c r="I23" t="n">
        <v>-1</v>
      </c>
      <c r="J23" t="n">
        <v>21.3409</v>
      </c>
      <c r="K23" t="n">
        <v>7.81499</v>
      </c>
      <c r="L23" t="n">
        <v>7.6728</v>
      </c>
      <c r="M23" t="n">
        <v>-1</v>
      </c>
      <c r="N23" t="n">
        <v>-131891</v>
      </c>
      <c r="O23" t="n">
        <v>-60017.4</v>
      </c>
      <c r="P23" t="n">
        <v>-72368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22.16</v>
      </c>
      <c r="AD23" t="n">
        <v>318.35</v>
      </c>
      <c r="AE23" t="n">
        <v>-1</v>
      </c>
      <c r="AF23" t="n">
        <v>3316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-1</v>
      </c>
      <c r="F24" t="n">
        <v>409832000</v>
      </c>
      <c r="G24" t="n">
        <v>40101768</v>
      </c>
      <c r="H24" t="n">
        <v>-1</v>
      </c>
      <c r="I24" t="n">
        <v>-1</v>
      </c>
      <c r="J24" t="n">
        <v>3274.18</v>
      </c>
      <c r="K24" t="n">
        <v>930.454</v>
      </c>
      <c r="L24" t="n">
        <v>-1</v>
      </c>
      <c r="M24" t="n">
        <v>-1</v>
      </c>
      <c r="N24" t="n">
        <v>-242238000</v>
      </c>
      <c r="O24" t="n">
        <v>-102558000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101607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success</t>
        </is>
      </c>
      <c r="E2" t="n">
        <v>517821</v>
      </c>
      <c r="F2" t="n">
        <v>362784</v>
      </c>
      <c r="G2" t="n">
        <v>277742</v>
      </c>
      <c r="H2" t="n">
        <v>420851</v>
      </c>
      <c r="I2" t="n">
        <v>14.544897</v>
      </c>
      <c r="J2" t="n">
        <v>7.13078</v>
      </c>
      <c r="K2" t="n">
        <v>6.04857</v>
      </c>
      <c r="L2" t="n">
        <v>6.84652</v>
      </c>
      <c r="M2" t="n">
        <v>-63255.125</v>
      </c>
      <c r="N2" t="n">
        <v>-134059</v>
      </c>
      <c r="O2" t="n">
        <v>-108114</v>
      </c>
      <c r="P2" t="n">
        <v>-146336</v>
      </c>
      <c r="Q2" t="n">
        <v>2</v>
      </c>
      <c r="R2" t="n">
        <v>59</v>
      </c>
      <c r="S2" t="n">
        <v>0</v>
      </c>
      <c r="T2" t="n">
        <v>34.92194</v>
      </c>
      <c r="U2" t="n">
        <v>30.197939</v>
      </c>
      <c r="V2" t="n">
        <v>23407.357422</v>
      </c>
      <c r="W2" t="n">
        <v>0.641719</v>
      </c>
      <c r="X2" t="n">
        <v>43.539154</v>
      </c>
      <c r="Y2" t="n">
        <v>451.89</v>
      </c>
      <c r="Z2" t="n">
        <v>15.3</v>
      </c>
      <c r="AA2" t="n">
        <v>310.83</v>
      </c>
      <c r="AB2" t="n">
        <v>17.06</v>
      </c>
      <c r="AC2" t="n">
        <v>9.01</v>
      </c>
      <c r="AD2" t="n">
        <v>466.35</v>
      </c>
      <c r="AE2" t="n">
        <v>1058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958380</v>
      </c>
      <c r="F3" t="n">
        <v>2515120</v>
      </c>
      <c r="G3" t="n">
        <v>872435</v>
      </c>
      <c r="H3" t="n">
        <v>1183488</v>
      </c>
      <c r="I3" t="n">
        <v>11.929104</v>
      </c>
      <c r="J3" t="n">
        <v>16.2915</v>
      </c>
      <c r="K3" t="n">
        <v>8.06424</v>
      </c>
      <c r="L3" t="n">
        <v>8.12933</v>
      </c>
      <c r="M3" t="n">
        <v>-206889.484375</v>
      </c>
      <c r="N3" t="n">
        <v>-226828</v>
      </c>
      <c r="O3" t="n">
        <v>-162836</v>
      </c>
      <c r="P3" t="n">
        <v>-180309</v>
      </c>
      <c r="Q3" t="n">
        <v>5</v>
      </c>
      <c r="R3" t="n">
        <v>55.400002</v>
      </c>
      <c r="S3" t="n">
        <v>0</v>
      </c>
      <c r="T3" t="n">
        <v>76.056335</v>
      </c>
      <c r="U3" t="n">
        <v>78.01438899999999</v>
      </c>
      <c r="V3" t="n">
        <v>2911028.25</v>
      </c>
      <c r="W3" t="n">
        <v>18.853687</v>
      </c>
      <c r="X3" t="n">
        <v>126.992493</v>
      </c>
      <c r="Y3" t="n">
        <v>632.78</v>
      </c>
      <c r="Z3" t="n">
        <v>56.95</v>
      </c>
      <c r="AA3" t="n">
        <v>349.38</v>
      </c>
      <c r="AB3" t="n">
        <v>177.38</v>
      </c>
      <c r="AC3" t="n">
        <v>28.77</v>
      </c>
      <c r="AD3" t="n">
        <v>678.05</v>
      </c>
      <c r="AE3" t="n">
        <v>6059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2987560</v>
      </c>
      <c r="F4" t="n">
        <v>2200250</v>
      </c>
      <c r="G4" t="n">
        <v>1775340</v>
      </c>
      <c r="H4" t="n">
        <v>2134146</v>
      </c>
      <c r="I4" t="n">
        <v>10.752469</v>
      </c>
      <c r="J4" t="n">
        <v>14.1093</v>
      </c>
      <c r="K4" t="n">
        <v>9.587</v>
      </c>
      <c r="L4" t="n">
        <v>10.883</v>
      </c>
      <c r="M4" t="n">
        <v>-482220.40625</v>
      </c>
      <c r="N4" t="n">
        <v>-552475</v>
      </c>
      <c r="O4" t="n">
        <v>-546163</v>
      </c>
      <c r="P4" t="n">
        <v>-871832</v>
      </c>
      <c r="Q4" t="n">
        <v>27</v>
      </c>
      <c r="R4" t="n">
        <v>2533.037109</v>
      </c>
      <c r="S4" t="n">
        <v>0</v>
      </c>
      <c r="T4" t="n">
        <v>44.375813</v>
      </c>
      <c r="U4" t="n">
        <v>48.693153</v>
      </c>
      <c r="V4" t="n">
        <v>85484.46875</v>
      </c>
      <c r="W4" t="n">
        <v>1.949653</v>
      </c>
      <c r="X4" t="n">
        <v>196.000107</v>
      </c>
      <c r="Y4" t="n">
        <v>593.4</v>
      </c>
      <c r="Z4" t="n">
        <v>53.03</v>
      </c>
      <c r="AA4" t="n">
        <v>31.58</v>
      </c>
      <c r="AB4" t="n">
        <v>192.98</v>
      </c>
      <c r="AC4" t="n">
        <v>125.6</v>
      </c>
      <c r="AD4" t="n">
        <v>734.02</v>
      </c>
      <c r="AE4" t="n">
        <v>1685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560556</v>
      </c>
      <c r="F5" t="n">
        <v>424387</v>
      </c>
      <c r="G5" t="n">
        <v>320222</v>
      </c>
      <c r="H5" t="n">
        <v>425023</v>
      </c>
      <c r="I5" t="n">
        <v>11.489305</v>
      </c>
      <c r="J5" t="n">
        <v>10.4242</v>
      </c>
      <c r="K5" t="n">
        <v>8.75909</v>
      </c>
      <c r="L5" t="n">
        <v>9.440899999999999</v>
      </c>
      <c r="M5" t="n">
        <v>-88849.84375</v>
      </c>
      <c r="N5" t="n">
        <v>-131928</v>
      </c>
      <c r="O5" t="n">
        <v>-130534</v>
      </c>
      <c r="P5" t="n">
        <v>-181114</v>
      </c>
      <c r="Q5" t="n">
        <v>13</v>
      </c>
      <c r="R5" t="n">
        <v>2856.076904</v>
      </c>
      <c r="S5" t="n">
        <v>0</v>
      </c>
      <c r="T5" t="n">
        <v>37.551022</v>
      </c>
      <c r="U5" t="n">
        <v>41.661518</v>
      </c>
      <c r="V5" t="n">
        <v>17724.955078</v>
      </c>
      <c r="W5" t="n">
        <v>1.368511</v>
      </c>
      <c r="X5" t="n">
        <v>91.000198</v>
      </c>
      <c r="Y5" t="n">
        <v>156.4</v>
      </c>
      <c r="Z5" t="n">
        <v>14.45</v>
      </c>
      <c r="AA5" t="n">
        <v>11.52</v>
      </c>
      <c r="AB5" t="n">
        <v>20.84</v>
      </c>
      <c r="AC5" t="n">
        <v>9.02</v>
      </c>
      <c r="AD5" t="n">
        <v>169.87</v>
      </c>
      <c r="AE5" t="n">
        <v>468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success</t>
        </is>
      </c>
      <c r="E6" t="n">
        <v>8606150</v>
      </c>
      <c r="F6" t="n">
        <v>6182220</v>
      </c>
      <c r="G6" t="n">
        <v>4498830</v>
      </c>
      <c r="H6" t="n">
        <v>5297885</v>
      </c>
      <c r="I6" t="n">
        <v>18.062696</v>
      </c>
      <c r="J6" t="n">
        <v>15.5564</v>
      </c>
      <c r="K6" t="n">
        <v>12.2051</v>
      </c>
      <c r="L6" t="n">
        <v>13.8966</v>
      </c>
      <c r="M6" t="n">
        <v>-1586490.5</v>
      </c>
      <c r="N6" t="n">
        <v>-1651630</v>
      </c>
      <c r="O6" t="n">
        <v>-1565420</v>
      </c>
      <c r="P6" t="n">
        <v>-2565660</v>
      </c>
      <c r="Q6" t="n">
        <v>59</v>
      </c>
      <c r="R6" t="n">
        <v>3931.322021</v>
      </c>
      <c r="S6" t="n">
        <v>0</v>
      </c>
      <c r="T6" t="n">
        <v>57.658115</v>
      </c>
      <c r="U6" t="n">
        <v>37.881954</v>
      </c>
      <c r="V6" t="n">
        <v>323576.28125</v>
      </c>
      <c r="W6" t="n">
        <v>1.389258</v>
      </c>
      <c r="X6" t="n">
        <v>165</v>
      </c>
      <c r="Y6" t="n">
        <v>1448.37</v>
      </c>
      <c r="Z6" t="n">
        <v>167.66</v>
      </c>
      <c r="AA6" t="n">
        <v>135.22</v>
      </c>
      <c r="AB6" t="n">
        <v>832.61</v>
      </c>
      <c r="AC6" t="n">
        <v>2641.28</v>
      </c>
      <c r="AD6" t="n">
        <v>4126.44</v>
      </c>
      <c r="AE6" t="n">
        <v>8896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1317870</v>
      </c>
      <c r="F7" t="n">
        <v>1047040</v>
      </c>
      <c r="G7" t="n">
        <v>786886</v>
      </c>
      <c r="H7" t="n">
        <v>1066302</v>
      </c>
      <c r="I7" t="n">
        <v>15.725485</v>
      </c>
      <c r="J7" t="n">
        <v>8.83351</v>
      </c>
      <c r="K7" t="n">
        <v>7.92114</v>
      </c>
      <c r="L7" t="n">
        <v>9.04236</v>
      </c>
      <c r="M7" t="n">
        <v>-296451.1875</v>
      </c>
      <c r="N7" t="n">
        <v>-349136</v>
      </c>
      <c r="O7" t="n">
        <v>-323484</v>
      </c>
      <c r="P7" t="n">
        <v>-477412</v>
      </c>
      <c r="Q7" t="n">
        <v>26</v>
      </c>
      <c r="R7" t="n">
        <v>3801.807617</v>
      </c>
      <c r="S7" t="n">
        <v>0</v>
      </c>
      <c r="T7" t="n">
        <v>64.93955200000001</v>
      </c>
      <c r="U7" t="n">
        <v>40.411171</v>
      </c>
      <c r="V7" t="n">
        <v>76296</v>
      </c>
      <c r="W7" t="n">
        <v>1.181126</v>
      </c>
      <c r="X7" t="n">
        <v>47.000099</v>
      </c>
      <c r="Y7" t="n">
        <v>260.95</v>
      </c>
      <c r="Z7" t="n">
        <v>41.72</v>
      </c>
      <c r="AA7" t="n">
        <v>41.05</v>
      </c>
      <c r="AB7" t="n">
        <v>65.70999999999999</v>
      </c>
      <c r="AC7" t="n">
        <v>29.02</v>
      </c>
      <c r="AD7" t="n">
        <v>299.89</v>
      </c>
      <c r="AE7" t="n">
        <v>2195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10176900</v>
      </c>
      <c r="F8" t="n">
        <v>9097920</v>
      </c>
      <c r="G8" t="n">
        <v>4135263</v>
      </c>
      <c r="H8" t="n">
        <v>4288170</v>
      </c>
      <c r="I8" t="n">
        <v>11.576592</v>
      </c>
      <c r="J8" t="n">
        <v>16.0244</v>
      </c>
      <c r="K8" t="n">
        <v>7.99702</v>
      </c>
      <c r="L8" t="n">
        <v>9.122719999999999</v>
      </c>
      <c r="M8" t="n">
        <v>-1002565.125</v>
      </c>
      <c r="N8" t="n">
        <v>-2135490</v>
      </c>
      <c r="O8" t="n">
        <v>-1743770</v>
      </c>
      <c r="P8" t="n">
        <v>-2183020</v>
      </c>
      <c r="Q8" t="n">
        <v>89</v>
      </c>
      <c r="R8" t="n">
        <v>121.842697</v>
      </c>
      <c r="S8" t="n">
        <v>0</v>
      </c>
      <c r="T8" t="n">
        <v>69.67292</v>
      </c>
      <c r="U8" t="n">
        <v>61.892868</v>
      </c>
      <c r="V8" t="n">
        <v>9752484</v>
      </c>
      <c r="W8" t="n">
        <v>12.138288</v>
      </c>
      <c r="X8" t="n">
        <v>228</v>
      </c>
      <c r="Y8" t="n">
        <v>3258.48</v>
      </c>
      <c r="Z8" t="n">
        <v>311.99</v>
      </c>
      <c r="AA8" t="n">
        <v>674.2</v>
      </c>
      <c r="AB8" t="n">
        <v>1940.05</v>
      </c>
      <c r="AC8" t="n">
        <v>118.23</v>
      </c>
      <c r="AD8" t="n">
        <v>3457.65</v>
      </c>
      <c r="AE8" t="n">
        <v>32332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6067040</v>
      </c>
      <c r="F9" t="n">
        <v>4425520</v>
      </c>
      <c r="G9" t="n">
        <v>2489428</v>
      </c>
      <c r="H9" t="n">
        <v>2672620</v>
      </c>
      <c r="I9" t="n">
        <v>11.723502</v>
      </c>
      <c r="J9" t="n">
        <v>14.4876</v>
      </c>
      <c r="K9" t="n">
        <v>7.16166</v>
      </c>
      <c r="L9" t="n">
        <v>8.629910000000001</v>
      </c>
      <c r="M9" t="n">
        <v>-824228.8125</v>
      </c>
      <c r="N9" t="n">
        <v>-1417260</v>
      </c>
      <c r="O9" t="n">
        <v>-1085170</v>
      </c>
      <c r="P9" t="n">
        <v>-1398280</v>
      </c>
      <c r="Q9" t="n">
        <v>54</v>
      </c>
      <c r="R9" t="n">
        <v>479.537048</v>
      </c>
      <c r="S9" t="n">
        <v>0</v>
      </c>
      <c r="T9" t="n">
        <v>71.056496</v>
      </c>
      <c r="U9" t="n">
        <v>61.128971</v>
      </c>
      <c r="V9" t="n">
        <v>4058467.25</v>
      </c>
      <c r="W9" t="n">
        <v>7.532782</v>
      </c>
      <c r="X9" t="n">
        <v>119.000206</v>
      </c>
      <c r="Y9" t="n">
        <v>1801.37</v>
      </c>
      <c r="Z9" t="n">
        <v>185.64</v>
      </c>
      <c r="AA9" t="n">
        <v>483.42</v>
      </c>
      <c r="AB9" t="n">
        <v>814.1900000000001</v>
      </c>
      <c r="AC9" t="n">
        <v>71.97</v>
      </c>
      <c r="AD9" t="n">
        <v>1925.16</v>
      </c>
      <c r="AE9" t="n">
        <v>21010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2350950</v>
      </c>
      <c r="F10" t="n">
        <v>1656240</v>
      </c>
      <c r="G10" t="n">
        <v>965756</v>
      </c>
      <c r="H10" t="n">
        <v>1170420</v>
      </c>
      <c r="I10" t="n">
        <v>14.136705</v>
      </c>
      <c r="J10" t="n">
        <v>10.4602</v>
      </c>
      <c r="K10" t="n">
        <v>6.02934</v>
      </c>
      <c r="L10" t="n">
        <v>6.43664</v>
      </c>
      <c r="M10" t="n">
        <v>-355305.75</v>
      </c>
      <c r="N10" t="n">
        <v>-569057</v>
      </c>
      <c r="O10" t="n">
        <v>-443397</v>
      </c>
      <c r="P10" t="n">
        <v>-554764</v>
      </c>
      <c r="Q10" t="n">
        <v>59</v>
      </c>
      <c r="R10" t="n">
        <v>90.69491600000001</v>
      </c>
      <c r="S10" t="n">
        <v>0</v>
      </c>
      <c r="T10" t="n">
        <v>75.31989299999999</v>
      </c>
      <c r="U10" t="n">
        <v>62.036331</v>
      </c>
      <c r="V10" t="n">
        <v>1272132.5</v>
      </c>
      <c r="W10" t="n">
        <v>4.641278</v>
      </c>
      <c r="X10" t="n">
        <v>95.000198</v>
      </c>
      <c r="Y10" t="n">
        <v>789.17</v>
      </c>
      <c r="Z10" t="n">
        <v>86.98999999999999</v>
      </c>
      <c r="AA10" t="n">
        <v>321.41</v>
      </c>
      <c r="AB10" t="n">
        <v>264.88</v>
      </c>
      <c r="AC10" t="n">
        <v>32.37</v>
      </c>
      <c r="AD10" t="n">
        <v>845.28</v>
      </c>
      <c r="AE10" t="n">
        <v>9439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221210</v>
      </c>
      <c r="F11" t="n">
        <v>234651</v>
      </c>
      <c r="G11" t="n">
        <v>166347</v>
      </c>
      <c r="H11" t="n">
        <v>240869</v>
      </c>
      <c r="I11" t="n">
        <v>13.362755</v>
      </c>
      <c r="J11" t="n">
        <v>5.84649</v>
      </c>
      <c r="K11" t="n">
        <v>5.25221</v>
      </c>
      <c r="L11" t="n">
        <v>5.4934</v>
      </c>
      <c r="M11" t="n">
        <v>-65433.175781</v>
      </c>
      <c r="N11" t="n">
        <v>-63715.9</v>
      </c>
      <c r="O11" t="n">
        <v>-58176.4</v>
      </c>
      <c r="P11" t="n">
        <v>-58530.4</v>
      </c>
      <c r="Q11" t="n">
        <v>8</v>
      </c>
      <c r="R11" t="n">
        <v>12288</v>
      </c>
      <c r="S11" t="n">
        <v>0</v>
      </c>
      <c r="T11" t="n">
        <v>69.432312</v>
      </c>
      <c r="U11" t="n">
        <v>60.415627</v>
      </c>
      <c r="V11" t="n">
        <v>54250.75</v>
      </c>
      <c r="W11" t="n">
        <v>1.933797</v>
      </c>
      <c r="X11" t="n">
        <v>35.148888</v>
      </c>
      <c r="Y11" t="n">
        <v>73.70999999999999</v>
      </c>
      <c r="Z11" t="n">
        <v>11.59</v>
      </c>
      <c r="AA11" t="n">
        <v>11.4</v>
      </c>
      <c r="AB11" t="n">
        <v>8.52</v>
      </c>
      <c r="AC11" t="n">
        <v>4.38</v>
      </c>
      <c r="AD11" t="n">
        <v>81.3</v>
      </c>
      <c r="AE11" t="n">
        <v>886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68210</v>
      </c>
      <c r="F12" t="n">
        <v>70621.2</v>
      </c>
      <c r="G12" t="n">
        <v>59834</v>
      </c>
      <c r="H12" t="n">
        <v>82921</v>
      </c>
      <c r="I12" t="n">
        <v>9.011915</v>
      </c>
      <c r="J12" t="n">
        <v>9.126860000000001</v>
      </c>
      <c r="K12" t="n">
        <v>8.609859999999999</v>
      </c>
      <c r="L12" t="n">
        <v>9.137689999999999</v>
      </c>
      <c r="M12" t="n">
        <v>-22445.289062</v>
      </c>
      <c r="N12" t="n">
        <v>-21387.4</v>
      </c>
      <c r="O12" t="n">
        <v>-19482.1</v>
      </c>
      <c r="P12" t="n">
        <v>-21482.4</v>
      </c>
      <c r="Q12" t="n">
        <v>3</v>
      </c>
      <c r="R12" t="n">
        <v>8208</v>
      </c>
      <c r="S12" t="n">
        <v>0</v>
      </c>
      <c r="T12" t="n">
        <v>6.716713</v>
      </c>
      <c r="U12" t="n">
        <v>44.760448</v>
      </c>
      <c r="V12" t="n">
        <v>18464.599609</v>
      </c>
      <c r="W12" t="n">
        <v>1.283958</v>
      </c>
      <c r="X12" t="n">
        <v>11.998092</v>
      </c>
      <c r="Y12" t="n">
        <v>179.5</v>
      </c>
      <c r="Z12" t="n">
        <v>10.13</v>
      </c>
      <c r="AA12" t="n">
        <v>46.89</v>
      </c>
      <c r="AB12" t="n">
        <v>13.98</v>
      </c>
      <c r="AC12" t="n">
        <v>2.65</v>
      </c>
      <c r="AD12" t="n">
        <v>185.04</v>
      </c>
      <c r="AE12" t="n">
        <v>1769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14730100</v>
      </c>
      <c r="F13" t="n">
        <v>15909900</v>
      </c>
      <c r="G13" t="n">
        <v>5585174</v>
      </c>
      <c r="H13" t="n">
        <v>7218985</v>
      </c>
      <c r="I13" t="n">
        <v>14.924679</v>
      </c>
      <c r="J13" t="n">
        <v>14.7214</v>
      </c>
      <c r="K13" t="n">
        <v>7.75119</v>
      </c>
      <c r="L13" t="n">
        <v>8.60192</v>
      </c>
      <c r="M13" t="n">
        <v>-2226265.25</v>
      </c>
      <c r="N13" t="n">
        <v>-2177730</v>
      </c>
      <c r="O13" t="n">
        <v>-1364550</v>
      </c>
      <c r="P13" t="n">
        <v>-1815370</v>
      </c>
      <c r="Q13" t="n">
        <v>1098</v>
      </c>
      <c r="R13" t="n">
        <v>283.030975</v>
      </c>
      <c r="S13" t="n">
        <v>0</v>
      </c>
      <c r="T13" t="n">
        <v>75.681511</v>
      </c>
      <c r="U13" t="n">
        <v>75.152565</v>
      </c>
      <c r="V13" t="n">
        <v>9782370</v>
      </c>
      <c r="W13" t="n">
        <v>10.111604</v>
      </c>
      <c r="X13" t="n">
        <v>244</v>
      </c>
      <c r="Y13" t="n">
        <v>13902.16</v>
      </c>
      <c r="Z13" t="n">
        <v>413.95</v>
      </c>
      <c r="AA13" t="n">
        <v>6460.33</v>
      </c>
      <c r="AB13" t="n">
        <v>6205.29</v>
      </c>
      <c r="AC13" t="n">
        <v>160.4</v>
      </c>
      <c r="AD13" t="n">
        <v>14170.4</v>
      </c>
      <c r="AE13" t="n">
        <v>31214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2562290</v>
      </c>
      <c r="F14" t="n">
        <v>3052030</v>
      </c>
      <c r="G14" t="n">
        <v>1684418</v>
      </c>
      <c r="H14" t="n">
        <v>2299015</v>
      </c>
      <c r="I14" t="n">
        <v>11.236635</v>
      </c>
      <c r="J14" t="n">
        <v>11.7285</v>
      </c>
      <c r="K14" t="n">
        <v>5.93976</v>
      </c>
      <c r="L14" t="n">
        <v>6.20372</v>
      </c>
      <c r="M14" t="n">
        <v>-598602.0625</v>
      </c>
      <c r="N14" t="n">
        <v>-545982</v>
      </c>
      <c r="O14" t="n">
        <v>-457955</v>
      </c>
      <c r="P14" t="n">
        <v>-540485</v>
      </c>
      <c r="Q14" t="n">
        <v>386</v>
      </c>
      <c r="R14" t="n">
        <v>285.704651</v>
      </c>
      <c r="S14" t="n">
        <v>0</v>
      </c>
      <c r="T14" t="n">
        <v>77.09683200000001</v>
      </c>
      <c r="U14" t="n">
        <v>71.031609</v>
      </c>
      <c r="V14" t="n">
        <v>1447417.5</v>
      </c>
      <c r="W14" t="n">
        <v>4.345281</v>
      </c>
      <c r="X14" t="n">
        <v>107.722336</v>
      </c>
      <c r="Y14" t="n">
        <v>4392.34</v>
      </c>
      <c r="Z14" t="n">
        <v>140.84</v>
      </c>
      <c r="AA14" t="n">
        <v>3438.5</v>
      </c>
      <c r="AB14" t="n">
        <v>492.73</v>
      </c>
      <c r="AC14" t="n">
        <v>55.11</v>
      </c>
      <c r="AD14" t="n">
        <v>4485.42</v>
      </c>
      <c r="AE14" t="n">
        <v>9680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642611</v>
      </c>
      <c r="F15" t="n">
        <v>956553</v>
      </c>
      <c r="G15" t="n">
        <v>559877</v>
      </c>
      <c r="H15" t="n">
        <v>834585</v>
      </c>
      <c r="I15" t="n">
        <v>13.492678</v>
      </c>
      <c r="J15" t="n">
        <v>8.377370000000001</v>
      </c>
      <c r="K15" t="n">
        <v>6.31303</v>
      </c>
      <c r="L15" t="n">
        <v>6.22998</v>
      </c>
      <c r="M15" t="n">
        <v>-280448.9375</v>
      </c>
      <c r="N15" t="n">
        <v>-206141</v>
      </c>
      <c r="O15" t="n">
        <v>-179488</v>
      </c>
      <c r="P15" t="n">
        <v>-193102</v>
      </c>
      <c r="Q15" t="n">
        <v>149</v>
      </c>
      <c r="R15" t="n">
        <v>371.838928</v>
      </c>
      <c r="S15" t="n">
        <v>0</v>
      </c>
      <c r="T15" t="n">
        <v>75.25638600000001</v>
      </c>
      <c r="U15" t="n">
        <v>66.27093499999999</v>
      </c>
      <c r="V15" t="n">
        <v>432143.625</v>
      </c>
      <c r="W15" t="n">
        <v>3.096161</v>
      </c>
      <c r="X15" t="n">
        <v>115.000198</v>
      </c>
      <c r="Y15" t="n">
        <v>1909.1</v>
      </c>
      <c r="Z15" t="n">
        <v>54.89</v>
      </c>
      <c r="AA15" t="n">
        <v>1687.22</v>
      </c>
      <c r="AB15" t="n">
        <v>119.1</v>
      </c>
      <c r="AC15" t="n">
        <v>19.33</v>
      </c>
      <c r="AD15" t="n">
        <v>1942.42</v>
      </c>
      <c r="AE15" t="n">
        <v>4112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5673970</v>
      </c>
      <c r="F16" t="n">
        <v>3977580</v>
      </c>
      <c r="G16" t="n">
        <v>2254996</v>
      </c>
      <c r="H16" t="n">
        <v>2967908</v>
      </c>
      <c r="I16" t="n">
        <v>17.167496</v>
      </c>
      <c r="J16" t="n">
        <v>14.9403</v>
      </c>
      <c r="K16" t="n">
        <v>11.0081</v>
      </c>
      <c r="L16" t="n">
        <v>12.1782</v>
      </c>
      <c r="M16" t="n">
        <v>-2056457.125</v>
      </c>
      <c r="N16" t="n">
        <v>-1744290</v>
      </c>
      <c r="O16" t="n">
        <v>-1516660</v>
      </c>
      <c r="P16" t="n">
        <v>-2054000</v>
      </c>
      <c r="Q16" t="n">
        <v>73</v>
      </c>
      <c r="R16" t="n">
        <v>4388.821777</v>
      </c>
      <c r="S16" t="n">
        <v>0</v>
      </c>
      <c r="T16" t="n">
        <v>35.343498</v>
      </c>
      <c r="U16" t="n">
        <v>55.481396</v>
      </c>
      <c r="V16" t="n">
        <v>279690.6875</v>
      </c>
      <c r="W16" t="n">
        <v>2.173216</v>
      </c>
      <c r="X16" t="n">
        <v>151.000214</v>
      </c>
      <c r="Y16" t="n">
        <v>988.71</v>
      </c>
      <c r="Z16" t="n">
        <v>85.51000000000001</v>
      </c>
      <c r="AA16" t="n">
        <v>164.43</v>
      </c>
      <c r="AB16" t="n">
        <v>429.24</v>
      </c>
      <c r="AC16" t="n">
        <v>74.28</v>
      </c>
      <c r="AD16" t="n">
        <v>1088.37</v>
      </c>
      <c r="AE16" t="n">
        <v>6709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128107</v>
      </c>
      <c r="F17" t="n">
        <v>156120</v>
      </c>
      <c r="G17" t="n">
        <v>125314</v>
      </c>
      <c r="H17" t="n">
        <v>188321</v>
      </c>
      <c r="I17" t="n">
        <v>13.084682</v>
      </c>
      <c r="J17" t="n">
        <v>5.60418</v>
      </c>
      <c r="K17" t="n">
        <v>4.44484</v>
      </c>
      <c r="L17" t="n">
        <v>4.8676</v>
      </c>
      <c r="M17" t="n">
        <v>-22154.339844</v>
      </c>
      <c r="N17" t="n">
        <v>-27378.4</v>
      </c>
      <c r="O17" t="n">
        <v>-25275.4</v>
      </c>
      <c r="P17" t="n">
        <v>-27689.2</v>
      </c>
      <c r="Q17" t="n">
        <v>16</v>
      </c>
      <c r="R17" t="n">
        <v>12288</v>
      </c>
      <c r="S17" t="n">
        <v>0</v>
      </c>
      <c r="T17" t="n">
        <v>43.296432</v>
      </c>
      <c r="U17" t="n">
        <v>52.380566</v>
      </c>
      <c r="V17" t="n">
        <v>25443.492188</v>
      </c>
      <c r="W17" t="n">
        <v>2.074311</v>
      </c>
      <c r="X17" t="n">
        <v>32.425518</v>
      </c>
      <c r="Y17" t="n">
        <v>62.21</v>
      </c>
      <c r="Z17" t="n">
        <v>7.26</v>
      </c>
      <c r="AA17" t="n">
        <v>5.44</v>
      </c>
      <c r="AB17" t="n">
        <v>6.14</v>
      </c>
      <c r="AC17" t="n">
        <v>3.46</v>
      </c>
      <c r="AD17" t="n">
        <v>67.81999999999999</v>
      </c>
      <c r="AE17" t="n">
        <v>445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820113</v>
      </c>
      <c r="F18" t="n">
        <v>1039340</v>
      </c>
      <c r="G18" t="n">
        <v>608957</v>
      </c>
      <c r="H18" t="n">
        <v>756857</v>
      </c>
      <c r="I18" t="n">
        <v>11.982686</v>
      </c>
      <c r="J18" t="n">
        <v>6.19072</v>
      </c>
      <c r="K18" t="n">
        <v>6.08168</v>
      </c>
      <c r="L18" t="n">
        <v>6.83538</v>
      </c>
      <c r="M18" t="n">
        <v>-82493.609375</v>
      </c>
      <c r="N18" t="n">
        <v>-149027</v>
      </c>
      <c r="O18" t="n">
        <v>-128512</v>
      </c>
      <c r="P18" t="n">
        <v>-151950</v>
      </c>
      <c r="Q18" t="n">
        <v>2</v>
      </c>
      <c r="R18" t="n">
        <v>50.5</v>
      </c>
      <c r="S18" t="n">
        <v>0</v>
      </c>
      <c r="T18" t="n">
        <v>35.210938</v>
      </c>
      <c r="U18" t="n">
        <v>77.56909899999999</v>
      </c>
      <c r="V18" t="n">
        <v>153519</v>
      </c>
      <c r="W18" t="n">
        <v>2.863199</v>
      </c>
      <c r="X18" t="n">
        <v>147</v>
      </c>
      <c r="Y18" t="n">
        <v>186.68</v>
      </c>
      <c r="Z18" t="n">
        <v>14.82</v>
      </c>
      <c r="AA18" t="n">
        <v>18.42</v>
      </c>
      <c r="AB18" t="n">
        <v>42.92</v>
      </c>
      <c r="AC18" t="n">
        <v>9.699999999999999</v>
      </c>
      <c r="AD18" t="n">
        <v>202.62</v>
      </c>
      <c r="AE18" t="n">
        <v>2162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101870</v>
      </c>
      <c r="F19" t="n">
        <v>172678</v>
      </c>
      <c r="G19" t="n">
        <v>112137</v>
      </c>
      <c r="H19" t="n">
        <v>194701</v>
      </c>
      <c r="I19" t="n">
        <v>19.139866</v>
      </c>
      <c r="J19" t="n">
        <v>10.934</v>
      </c>
      <c r="K19" t="n">
        <v>9.285629999999999</v>
      </c>
      <c r="L19" t="n">
        <v>9.028890000000001</v>
      </c>
      <c r="M19" t="n">
        <v>-28940.861328</v>
      </c>
      <c r="N19" t="n">
        <v>-19917.3</v>
      </c>
      <c r="O19" t="n">
        <v>-18351</v>
      </c>
      <c r="P19" t="n">
        <v>-18579.5</v>
      </c>
      <c r="Q19" t="n">
        <v>4</v>
      </c>
      <c r="R19" t="n">
        <v>15</v>
      </c>
      <c r="S19" t="n">
        <v>0</v>
      </c>
      <c r="T19" t="n">
        <v>60.613026</v>
      </c>
      <c r="U19" t="n">
        <v>60.483521</v>
      </c>
      <c r="V19" t="n">
        <v>51682.175781</v>
      </c>
      <c r="W19" t="n">
        <v>2.247247</v>
      </c>
      <c r="X19" t="n">
        <v>24.000198</v>
      </c>
      <c r="Y19" t="n">
        <v>91.01000000000001</v>
      </c>
      <c r="Z19" t="n">
        <v>12.85</v>
      </c>
      <c r="AA19" t="n">
        <v>21.29</v>
      </c>
      <c r="AB19" t="n">
        <v>13.29</v>
      </c>
      <c r="AC19" t="n">
        <v>5.54</v>
      </c>
      <c r="AD19" t="n">
        <v>99.95999999999999</v>
      </c>
      <c r="AE19" t="n">
        <v>1228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2359500</v>
      </c>
      <c r="F20" t="n">
        <v>1815460</v>
      </c>
      <c r="G20" t="n">
        <v>1168390</v>
      </c>
      <c r="H20" t="n">
        <v>1638039</v>
      </c>
      <c r="I20" t="n">
        <v>19.854998</v>
      </c>
      <c r="J20" t="n">
        <v>19.7737</v>
      </c>
      <c r="K20" t="n">
        <v>7.51365</v>
      </c>
      <c r="L20" t="n">
        <v>9.347619999999999</v>
      </c>
      <c r="M20" t="n">
        <v>-609993.1875</v>
      </c>
      <c r="N20" t="n">
        <v>-541236</v>
      </c>
      <c r="O20" t="n">
        <v>-419471</v>
      </c>
      <c r="P20" t="n">
        <v>-600952</v>
      </c>
      <c r="Q20" t="n">
        <v>37</v>
      </c>
      <c r="R20" t="n">
        <v>52.513512</v>
      </c>
      <c r="S20" t="n">
        <v>0</v>
      </c>
      <c r="T20" t="n">
        <v>47.734879</v>
      </c>
      <c r="U20" t="n">
        <v>32.031185</v>
      </c>
      <c r="V20" t="n">
        <v>111669.65625</v>
      </c>
      <c r="W20" t="n">
        <v>0.652162</v>
      </c>
      <c r="X20" t="n">
        <v>79.00020600000001</v>
      </c>
      <c r="Y20" t="n">
        <v>2103.4</v>
      </c>
      <c r="Z20" t="n">
        <v>74.41</v>
      </c>
      <c r="AA20" t="n">
        <v>1579.83</v>
      </c>
      <c r="AB20" t="n">
        <v>137.32</v>
      </c>
      <c r="AC20" t="n">
        <v>36.07</v>
      </c>
      <c r="AD20" t="n">
        <v>2159.02</v>
      </c>
      <c r="AE20" t="n">
        <v>4478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114990</v>
      </c>
      <c r="F21" t="n">
        <v>102973</v>
      </c>
      <c r="G21" t="n">
        <v>83180</v>
      </c>
      <c r="H21" t="n">
        <v>152014</v>
      </c>
      <c r="I21" t="n">
        <v>11.89161</v>
      </c>
      <c r="J21" t="n">
        <v>7.22972</v>
      </c>
      <c r="K21" t="n">
        <v>5.99796</v>
      </c>
      <c r="L21" t="n">
        <v>5.92938</v>
      </c>
      <c r="M21" t="n">
        <v>-28167.654297</v>
      </c>
      <c r="N21" t="n">
        <v>-51003.6</v>
      </c>
      <c r="O21" t="n">
        <v>-49493.6</v>
      </c>
      <c r="P21" t="n">
        <v>-55475.6</v>
      </c>
      <c r="Q21" t="n">
        <v>5</v>
      </c>
      <c r="R21" t="n">
        <v>5</v>
      </c>
      <c r="S21" t="n">
        <v>0</v>
      </c>
      <c r="T21" t="n">
        <v>66.17250799999999</v>
      </c>
      <c r="U21" t="n">
        <v>49.20071</v>
      </c>
      <c r="V21" t="n">
        <v>17253.564453</v>
      </c>
      <c r="W21" t="n">
        <v>1.225831</v>
      </c>
      <c r="X21" t="n">
        <v>14.166904</v>
      </c>
      <c r="Y21" t="n">
        <v>70.63</v>
      </c>
      <c r="Z21" t="n">
        <v>7.38</v>
      </c>
      <c r="AA21" t="n">
        <v>14.8</v>
      </c>
      <c r="AB21" t="n">
        <v>5.23</v>
      </c>
      <c r="AC21" t="n">
        <v>4.48</v>
      </c>
      <c r="AD21" t="n">
        <v>77.61</v>
      </c>
      <c r="AE21" t="n">
        <v>636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156335</v>
      </c>
      <c r="F22" t="n">
        <v>158103</v>
      </c>
      <c r="G22" t="n">
        <v>104657</v>
      </c>
      <c r="H22" t="n">
        <v>173965</v>
      </c>
      <c r="I22" t="n">
        <v>15.77394</v>
      </c>
      <c r="J22" t="n">
        <v>6.75933</v>
      </c>
      <c r="K22" t="n">
        <v>6.04568</v>
      </c>
      <c r="L22" t="n">
        <v>6.34084</v>
      </c>
      <c r="M22" t="n">
        <v>-48167.65625</v>
      </c>
      <c r="N22" t="n">
        <v>-49702.6</v>
      </c>
      <c r="O22" t="n">
        <v>-43872</v>
      </c>
      <c r="P22" t="n">
        <v>-49298</v>
      </c>
      <c r="Q22" t="n">
        <v>14</v>
      </c>
      <c r="R22" t="n">
        <v>7024.428711</v>
      </c>
      <c r="S22" t="n">
        <v>0</v>
      </c>
      <c r="T22" t="n">
        <v>54.301445</v>
      </c>
      <c r="U22" t="n">
        <v>61.118122</v>
      </c>
      <c r="V22" t="n">
        <v>42998.96875</v>
      </c>
      <c r="W22" t="n">
        <v>1.87074</v>
      </c>
      <c r="X22" t="n">
        <v>19.000198</v>
      </c>
      <c r="Y22" t="n">
        <v>96.40000000000001</v>
      </c>
      <c r="Z22" t="n">
        <v>11.45</v>
      </c>
      <c r="AA22" t="n">
        <v>29.08</v>
      </c>
      <c r="AB22" t="n">
        <v>12.2</v>
      </c>
      <c r="AC22" t="n">
        <v>4.29</v>
      </c>
      <c r="AD22" t="n">
        <v>103.77</v>
      </c>
      <c r="AE22" t="n">
        <v>964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87538.2</v>
      </c>
      <c r="F23" t="n">
        <v>116521</v>
      </c>
      <c r="G23" t="n">
        <v>89171</v>
      </c>
      <c r="H23" t="n">
        <v>137929</v>
      </c>
      <c r="I23" t="n">
        <v>15.835731</v>
      </c>
      <c r="J23" t="n">
        <v>10.7785</v>
      </c>
      <c r="K23" t="n">
        <v>9.92699</v>
      </c>
      <c r="L23" t="n">
        <v>8.95731</v>
      </c>
      <c r="M23" t="n">
        <v>-17235.205078</v>
      </c>
      <c r="N23" t="n">
        <v>-16588.6</v>
      </c>
      <c r="O23" t="n">
        <v>-15623.7</v>
      </c>
      <c r="P23" t="n">
        <v>-17003.8</v>
      </c>
      <c r="Q23" t="n">
        <v>0</v>
      </c>
      <c r="R23" t="n">
        <v>0</v>
      </c>
      <c r="S23" t="n">
        <v>0</v>
      </c>
      <c r="T23" t="n">
        <v>44.765343</v>
      </c>
      <c r="U23" t="n">
        <v>37.232876</v>
      </c>
      <c r="V23" t="n">
        <v>9895.251953000001</v>
      </c>
      <c r="W23" t="n">
        <v>0.8358179999999999</v>
      </c>
      <c r="X23" t="n">
        <v>38.207401</v>
      </c>
      <c r="Y23" t="n">
        <v>64.97</v>
      </c>
      <c r="Z23" t="n">
        <v>6.44</v>
      </c>
      <c r="AA23" t="n">
        <v>11.14</v>
      </c>
      <c r="AB23" t="n">
        <v>4.78</v>
      </c>
      <c r="AC23" t="n">
        <v>2.91</v>
      </c>
      <c r="AD23" t="n">
        <v>69.90000000000001</v>
      </c>
      <c r="AE23" t="n">
        <v>519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160238</v>
      </c>
      <c r="F24" t="n">
        <v>229128</v>
      </c>
      <c r="G24" t="n">
        <v>144564</v>
      </c>
      <c r="H24" t="n">
        <v>202542</v>
      </c>
      <c r="I24" t="n">
        <v>8.196236000000001</v>
      </c>
      <c r="J24" t="n">
        <v>7.79669</v>
      </c>
      <c r="K24" t="n">
        <v>6.23798</v>
      </c>
      <c r="L24" t="n">
        <v>6.83834</v>
      </c>
      <c r="M24" t="n">
        <v>-33208.746094</v>
      </c>
      <c r="N24" t="n">
        <v>-46226.4</v>
      </c>
      <c r="O24" t="n">
        <v>-41532.9</v>
      </c>
      <c r="P24" t="n">
        <v>-48986.7</v>
      </c>
      <c r="Q24" t="n">
        <v>51</v>
      </c>
      <c r="R24" t="n">
        <v>4658.293945</v>
      </c>
      <c r="S24" t="n">
        <v>0</v>
      </c>
      <c r="T24" t="n">
        <v>39.303001</v>
      </c>
      <c r="U24" t="n">
        <v>50.481937</v>
      </c>
      <c r="V24" t="n">
        <v>48055.972656</v>
      </c>
      <c r="W24" t="n">
        <v>3.332361</v>
      </c>
      <c r="X24" t="n">
        <v>86.489334</v>
      </c>
      <c r="Y24" t="n">
        <v>70.14</v>
      </c>
      <c r="Z24" t="n">
        <v>6.91</v>
      </c>
      <c r="AA24" t="n">
        <v>12.65</v>
      </c>
      <c r="AB24" t="n">
        <v>6.29</v>
      </c>
      <c r="AC24" t="n">
        <v>3.13</v>
      </c>
      <c r="AD24" t="n">
        <v>75.66</v>
      </c>
      <c r="AE24" t="n">
        <v>670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8840760</v>
      </c>
      <c r="F25" t="n">
        <v>5400550</v>
      </c>
      <c r="G25" t="n">
        <v>2290414</v>
      </c>
      <c r="H25" t="n">
        <v>3545321</v>
      </c>
      <c r="I25" t="n">
        <v>17.827911</v>
      </c>
      <c r="J25" t="n">
        <v>18.5311</v>
      </c>
      <c r="K25" t="n">
        <v>9.709210000000001</v>
      </c>
      <c r="L25" t="n">
        <v>11.5496</v>
      </c>
      <c r="M25" t="n">
        <v>-3944882.25</v>
      </c>
      <c r="N25" t="n">
        <v>-5054460</v>
      </c>
      <c r="O25" t="n">
        <v>-3051440</v>
      </c>
      <c r="P25" t="n">
        <v>-3974680</v>
      </c>
      <c r="Q25" t="n">
        <v>202</v>
      </c>
      <c r="R25" t="n">
        <v>7605.024902</v>
      </c>
      <c r="S25" t="n">
        <v>0</v>
      </c>
      <c r="T25" t="n">
        <v>58.835274</v>
      </c>
      <c r="U25" t="n">
        <v>62.301884</v>
      </c>
      <c r="V25" t="n">
        <v>926449.125</v>
      </c>
      <c r="W25" t="n">
        <v>3.322083</v>
      </c>
      <c r="X25" t="n">
        <v>296.000092</v>
      </c>
      <c r="Y25" t="n">
        <v>4820.18</v>
      </c>
      <c r="Z25" t="n">
        <v>202.34</v>
      </c>
      <c r="AA25" t="n">
        <v>3150.01</v>
      </c>
      <c r="AB25" t="n">
        <v>655.04</v>
      </c>
      <c r="AC25" t="n">
        <v>82.5</v>
      </c>
      <c r="AD25" t="n">
        <v>4950.01</v>
      </c>
      <c r="AE25" t="n">
        <v>11262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13985700</v>
      </c>
      <c r="F26" t="n">
        <v>4067200</v>
      </c>
      <c r="G26" t="n">
        <v>2087839</v>
      </c>
      <c r="H26" t="n">
        <v>2904751</v>
      </c>
      <c r="I26" t="n">
        <v>14.596789</v>
      </c>
      <c r="J26" t="n">
        <v>17.7647</v>
      </c>
      <c r="K26" t="n">
        <v>10.8669</v>
      </c>
      <c r="L26" t="n">
        <v>11.2465</v>
      </c>
      <c r="M26" t="n">
        <v>-1614612.125</v>
      </c>
      <c r="N26" t="n">
        <v>-2617430</v>
      </c>
      <c r="O26" t="n">
        <v>-1590320</v>
      </c>
      <c r="P26" t="n">
        <v>-2584280</v>
      </c>
      <c r="Q26" t="n">
        <v>121</v>
      </c>
      <c r="R26" t="n">
        <v>4065.181885</v>
      </c>
      <c r="S26" t="n">
        <v>0</v>
      </c>
      <c r="T26" t="n">
        <v>41.362953</v>
      </c>
      <c r="U26" t="n">
        <v>46.836956</v>
      </c>
      <c r="V26" t="n">
        <v>310760.71875</v>
      </c>
      <c r="W26" t="n">
        <v>2.442415</v>
      </c>
      <c r="X26" t="n">
        <v>134.26799</v>
      </c>
      <c r="Y26" t="n">
        <v>3502.42</v>
      </c>
      <c r="Z26" t="n">
        <v>102.44</v>
      </c>
      <c r="AA26" t="n">
        <v>1009.63</v>
      </c>
      <c r="AB26" t="n">
        <v>287.48</v>
      </c>
      <c r="AC26" t="n">
        <v>63.27</v>
      </c>
      <c r="AD26" t="n">
        <v>3613.28</v>
      </c>
      <c r="AE26" t="n">
        <v>4524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2974640</v>
      </c>
      <c r="F27" t="n">
        <v>2445240</v>
      </c>
      <c r="G27" t="n">
        <v>1353045</v>
      </c>
      <c r="H27" t="n">
        <v>1441784</v>
      </c>
      <c r="I27" t="n">
        <v>9.177526</v>
      </c>
      <c r="J27" t="n">
        <v>12.3315</v>
      </c>
      <c r="K27" t="n">
        <v>10.0444</v>
      </c>
      <c r="L27" t="n">
        <v>11.2222</v>
      </c>
      <c r="M27" t="n">
        <v>-256992.4375</v>
      </c>
      <c r="N27" t="n">
        <v>-429543</v>
      </c>
      <c r="O27" t="n">
        <v>-385024</v>
      </c>
      <c r="P27" t="n">
        <v>-438049</v>
      </c>
      <c r="Q27" t="n">
        <v>134</v>
      </c>
      <c r="R27" t="n">
        <v>580.5</v>
      </c>
      <c r="S27" t="n">
        <v>0</v>
      </c>
      <c r="T27" t="n">
        <v>39.705521</v>
      </c>
      <c r="U27" t="n">
        <v>74.508759</v>
      </c>
      <c r="V27" t="n">
        <v>335322.78125</v>
      </c>
      <c r="W27" t="n">
        <v>5.583874</v>
      </c>
      <c r="X27" t="n">
        <v>403.000183</v>
      </c>
      <c r="Y27" t="n">
        <v>1376.27</v>
      </c>
      <c r="Z27" t="n">
        <v>48.2</v>
      </c>
      <c r="AA27" t="n">
        <v>31.82</v>
      </c>
      <c r="AB27" t="n">
        <v>503.55</v>
      </c>
      <c r="AC27" t="n">
        <v>17.15</v>
      </c>
      <c r="AD27" t="n">
        <v>1412.42</v>
      </c>
      <c r="AE27" t="n">
        <v>1782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1985760</v>
      </c>
      <c r="F28" t="n">
        <v>1304750</v>
      </c>
      <c r="G28" t="n">
        <v>716850</v>
      </c>
      <c r="H28" t="n">
        <v>895537</v>
      </c>
      <c r="I28" t="n">
        <v>19.242208</v>
      </c>
      <c r="J28" t="n">
        <v>11.6522</v>
      </c>
      <c r="K28" t="n">
        <v>9.666320000000001</v>
      </c>
      <c r="L28" t="n">
        <v>11.0432</v>
      </c>
      <c r="M28" t="n">
        <v>-177366.234375</v>
      </c>
      <c r="N28" t="n">
        <v>-329167</v>
      </c>
      <c r="O28" t="n">
        <v>-251603</v>
      </c>
      <c r="P28" t="n">
        <v>-292385</v>
      </c>
      <c r="Q28" t="n">
        <v>122</v>
      </c>
      <c r="R28" t="n">
        <v>1208.204956</v>
      </c>
      <c r="S28" t="n">
        <v>0</v>
      </c>
      <c r="T28" t="n">
        <v>39.995487</v>
      </c>
      <c r="U28" t="n">
        <v>51.163727</v>
      </c>
      <c r="V28" t="n">
        <v>222988.640625</v>
      </c>
      <c r="W28" t="n">
        <v>3.896359</v>
      </c>
      <c r="X28" t="n">
        <v>351</v>
      </c>
      <c r="Y28" t="n">
        <v>1771.24</v>
      </c>
      <c r="Z28" t="n">
        <v>44.91</v>
      </c>
      <c r="AA28" t="n">
        <v>224.66</v>
      </c>
      <c r="AB28" t="n">
        <v>706.88</v>
      </c>
      <c r="AC28" t="n">
        <v>24.01</v>
      </c>
      <c r="AD28" t="n">
        <v>1820.66</v>
      </c>
      <c r="AE28" t="n">
        <v>2085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437550</v>
      </c>
      <c r="F29" t="n">
        <v>460442</v>
      </c>
      <c r="G29" t="n">
        <v>339918</v>
      </c>
      <c r="H29" t="n">
        <v>378764</v>
      </c>
      <c r="I29" t="n">
        <v>11.905106</v>
      </c>
      <c r="J29" t="n">
        <v>8.00643</v>
      </c>
      <c r="K29" t="n">
        <v>5.40033</v>
      </c>
      <c r="L29" t="n">
        <v>5.89082</v>
      </c>
      <c r="M29" t="n">
        <v>-54205.335938</v>
      </c>
      <c r="N29" t="n">
        <v>-85956.5</v>
      </c>
      <c r="O29" t="n">
        <v>-82219.10000000001</v>
      </c>
      <c r="P29" t="n">
        <v>-87915.8</v>
      </c>
      <c r="Q29" t="n">
        <v>41</v>
      </c>
      <c r="R29" t="n">
        <v>784.804871</v>
      </c>
      <c r="S29" t="n">
        <v>0</v>
      </c>
      <c r="T29" t="n">
        <v>34.036758</v>
      </c>
      <c r="U29" t="n">
        <v>74.38839</v>
      </c>
      <c r="V29" t="n">
        <v>72009.265625</v>
      </c>
      <c r="W29" t="n">
        <v>3.914824</v>
      </c>
      <c r="X29" t="n">
        <v>187.000198</v>
      </c>
      <c r="Y29" t="n">
        <v>164.02</v>
      </c>
      <c r="Z29" t="n">
        <v>13.19</v>
      </c>
      <c r="AA29" t="n">
        <v>10.86</v>
      </c>
      <c r="AB29" t="n">
        <v>26.08</v>
      </c>
      <c r="AC29" t="n">
        <v>5.32</v>
      </c>
      <c r="AD29" t="n">
        <v>173.47</v>
      </c>
      <c r="AE29" t="n">
        <v>528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354362</v>
      </c>
      <c r="F30" t="n">
        <v>369821</v>
      </c>
      <c r="G30" t="n">
        <v>228705</v>
      </c>
      <c r="H30" t="n">
        <v>293451</v>
      </c>
      <c r="I30" t="n">
        <v>15.487093</v>
      </c>
      <c r="J30" t="n">
        <v>12.3687</v>
      </c>
      <c r="K30" t="n">
        <v>8.15358</v>
      </c>
      <c r="L30" t="n">
        <v>8.86426</v>
      </c>
      <c r="M30" t="n">
        <v>-62175.792969</v>
      </c>
      <c r="N30" t="n">
        <v>-87588.7</v>
      </c>
      <c r="O30" t="n">
        <v>-76587.2</v>
      </c>
      <c r="P30" t="n">
        <v>-86603.60000000001</v>
      </c>
      <c r="Q30" t="n">
        <v>40</v>
      </c>
      <c r="R30" t="n">
        <v>1717.75</v>
      </c>
      <c r="S30" t="n">
        <v>0</v>
      </c>
      <c r="T30" t="n">
        <v>36.401424</v>
      </c>
      <c r="U30" t="n">
        <v>49.205643</v>
      </c>
      <c r="V30" t="n">
        <v>45942.671875</v>
      </c>
      <c r="W30" t="n">
        <v>2.266759</v>
      </c>
      <c r="X30" t="n">
        <v>205.221588</v>
      </c>
      <c r="Y30" t="n">
        <v>255.12</v>
      </c>
      <c r="Z30" t="n">
        <v>12.74</v>
      </c>
      <c r="AA30" t="n">
        <v>99.14</v>
      </c>
      <c r="AB30" t="n">
        <v>28.87</v>
      </c>
      <c r="AC30" t="n">
        <v>6.19</v>
      </c>
      <c r="AD30" t="n">
        <v>265.73</v>
      </c>
      <c r="AE30" t="n">
        <v>714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exited with return code 1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952.13</v>
      </c>
      <c r="AE2" t="n">
        <v>-1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4506760</v>
      </c>
      <c r="G3" t="n">
        <v>912650</v>
      </c>
      <c r="H3" t="n">
        <v>1221659</v>
      </c>
      <c r="I3" t="n">
        <v>-1</v>
      </c>
      <c r="J3" t="n">
        <v>21.5036</v>
      </c>
      <c r="K3" t="n">
        <v>8.290559999999999</v>
      </c>
      <c r="L3" t="n">
        <v>9.229200000000001</v>
      </c>
      <c r="M3" t="n">
        <v>-1</v>
      </c>
      <c r="N3" t="n">
        <v>-255620</v>
      </c>
      <c r="O3" t="n">
        <v>-163206</v>
      </c>
      <c r="P3" t="n">
        <v>-188638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24.2</v>
      </c>
      <c r="AD3" t="n">
        <v>484.92</v>
      </c>
      <c r="AE3" t="n">
        <v>6196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4147290</v>
      </c>
      <c r="G4" t="n">
        <v>1749907</v>
      </c>
      <c r="H4" t="n">
        <v>2088728</v>
      </c>
      <c r="I4" t="n">
        <v>-1</v>
      </c>
      <c r="J4" t="n">
        <v>29.8205</v>
      </c>
      <c r="K4" t="n">
        <v>9.93036</v>
      </c>
      <c r="L4" t="n">
        <v>11.0268</v>
      </c>
      <c r="M4" t="n">
        <v>-1</v>
      </c>
      <c r="N4" t="n">
        <v>-796045</v>
      </c>
      <c r="O4" t="n">
        <v>-574885</v>
      </c>
      <c r="P4" t="n">
        <v>-882869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261.34</v>
      </c>
      <c r="AD4" t="n">
        <v>764.08</v>
      </c>
      <c r="AE4" t="n">
        <v>1322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822352</v>
      </c>
      <c r="G5" t="n">
        <v>330814</v>
      </c>
      <c r="H5" t="n">
        <v>431386</v>
      </c>
      <c r="I5" t="n">
        <v>-1</v>
      </c>
      <c r="J5" t="n">
        <v>15.7891</v>
      </c>
      <c r="K5" t="n">
        <v>9.02425</v>
      </c>
      <c r="L5" t="n">
        <v>9.80646</v>
      </c>
      <c r="M5" t="n">
        <v>-1</v>
      </c>
      <c r="N5" t="n">
        <v>-173419</v>
      </c>
      <c r="O5" t="n">
        <v>-131656</v>
      </c>
      <c r="P5" t="n">
        <v>-184974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8.92</v>
      </c>
      <c r="AD5" t="n">
        <v>151.47</v>
      </c>
      <c r="AE5" t="n">
        <v>392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exited with return code 2</t>
        </is>
      </c>
      <c r="E6" t="n">
        <v>-1</v>
      </c>
      <c r="F6" t="n">
        <v>14355700</v>
      </c>
      <c r="G6" t="n">
        <v>4926608</v>
      </c>
      <c r="H6" t="n">
        <v>-1</v>
      </c>
      <c r="I6" t="n">
        <v>-1</v>
      </c>
      <c r="J6" t="n">
        <v>31.9652</v>
      </c>
      <c r="K6" t="n">
        <v>9.252750000000001</v>
      </c>
      <c r="L6" t="n">
        <v>-1</v>
      </c>
      <c r="M6" t="n">
        <v>-1</v>
      </c>
      <c r="N6" t="n">
        <v>-2192660</v>
      </c>
      <c r="O6" t="n">
        <v>-1640000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30928.76</v>
      </c>
      <c r="AD6" t="n">
        <v>32015.04</v>
      </c>
      <c r="AE6" t="n">
        <v>7136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2443080</v>
      </c>
      <c r="G7" t="n">
        <v>842379</v>
      </c>
      <c r="H7" t="n">
        <v>1126512</v>
      </c>
      <c r="I7" t="n">
        <v>-1</v>
      </c>
      <c r="J7" t="n">
        <v>15.2207</v>
      </c>
      <c r="K7" t="n">
        <v>6.87225</v>
      </c>
      <c r="L7" t="n">
        <v>7.79286</v>
      </c>
      <c r="M7" t="n">
        <v>-1</v>
      </c>
      <c r="N7" t="n">
        <v>-428931</v>
      </c>
      <c r="O7" t="n">
        <v>-334615</v>
      </c>
      <c r="P7" t="n">
        <v>-482704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42.17</v>
      </c>
      <c r="AD7" t="n">
        <v>307.99</v>
      </c>
      <c r="AE7" t="n">
        <v>1992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25872900</v>
      </c>
      <c r="G8" t="n">
        <v>4158407</v>
      </c>
      <c r="H8" t="n">
        <v>4506963</v>
      </c>
      <c r="I8" t="n">
        <v>-1</v>
      </c>
      <c r="J8" t="n">
        <v>29.558</v>
      </c>
      <c r="K8" t="n">
        <v>8.516159999999999</v>
      </c>
      <c r="L8" t="n">
        <v>8.91272</v>
      </c>
      <c r="M8" t="n">
        <v>-1</v>
      </c>
      <c r="N8" t="n">
        <v>-2260930</v>
      </c>
      <c r="O8" t="n">
        <v>-1586970</v>
      </c>
      <c r="P8" t="n">
        <v>-2120300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136.94</v>
      </c>
      <c r="AD8" t="n">
        <v>2952.11</v>
      </c>
      <c r="AE8" t="n">
        <v>22840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15534700</v>
      </c>
      <c r="G9" t="n">
        <v>2509194</v>
      </c>
      <c r="H9" t="n">
        <v>2818422</v>
      </c>
      <c r="I9" t="n">
        <v>-1</v>
      </c>
      <c r="J9" t="n">
        <v>30.1221</v>
      </c>
      <c r="K9" t="n">
        <v>7.78912</v>
      </c>
      <c r="L9" t="n">
        <v>8.394019999999999</v>
      </c>
      <c r="M9" t="n">
        <v>-1</v>
      </c>
      <c r="N9" t="n">
        <v>-1380160</v>
      </c>
      <c r="O9" t="n">
        <v>-869964</v>
      </c>
      <c r="P9" t="n">
        <v>-1218540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74.52</v>
      </c>
      <c r="AD9" t="n">
        <v>1622.74</v>
      </c>
      <c r="AE9" t="n">
        <v>15288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5178320</v>
      </c>
      <c r="G10" t="n">
        <v>1015445</v>
      </c>
      <c r="H10" t="n">
        <v>1240792</v>
      </c>
      <c r="I10" t="n">
        <v>-1</v>
      </c>
      <c r="J10" t="n">
        <v>18.9788</v>
      </c>
      <c r="K10" t="n">
        <v>6.36147</v>
      </c>
      <c r="L10" t="n">
        <v>6.93242</v>
      </c>
      <c r="M10" t="n">
        <v>-1</v>
      </c>
      <c r="N10" t="n">
        <v>-550623</v>
      </c>
      <c r="O10" t="n">
        <v>-397203</v>
      </c>
      <c r="P10" t="n">
        <v>-519320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28.71</v>
      </c>
      <c r="AD10" t="n">
        <v>681.15</v>
      </c>
      <c r="AE10" t="n">
        <v>7731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610059</v>
      </c>
      <c r="G11" t="n">
        <v>150547</v>
      </c>
      <c r="H11" t="n">
        <v>223167</v>
      </c>
      <c r="I11" t="n">
        <v>-1</v>
      </c>
      <c r="J11" t="n">
        <v>8.66295</v>
      </c>
      <c r="K11" t="n">
        <v>5.72035</v>
      </c>
      <c r="L11" t="n">
        <v>6.27444</v>
      </c>
      <c r="M11" t="n">
        <v>-1</v>
      </c>
      <c r="N11" t="n">
        <v>-81664.39999999999</v>
      </c>
      <c r="O11" t="n">
        <v>-64914.3</v>
      </c>
      <c r="P11" t="n">
        <v>-67616.3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3.99</v>
      </c>
      <c r="AD11" t="n">
        <v>73.34999999999999</v>
      </c>
      <c r="AE11" t="n">
        <v>818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380446</v>
      </c>
      <c r="G12" t="n">
        <v>80947</v>
      </c>
      <c r="H12" t="n">
        <v>105783</v>
      </c>
      <c r="I12" t="n">
        <v>-1</v>
      </c>
      <c r="J12" t="n">
        <v>11.9823</v>
      </c>
      <c r="K12" t="n">
        <v>5.89801</v>
      </c>
      <c r="L12" t="n">
        <v>6.21794</v>
      </c>
      <c r="M12" t="n">
        <v>-1</v>
      </c>
      <c r="N12" t="n">
        <v>-32525.5</v>
      </c>
      <c r="O12" t="n">
        <v>-20315.1</v>
      </c>
      <c r="P12" t="n">
        <v>-22303.9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2.61</v>
      </c>
      <c r="AD12" t="n">
        <v>176.62</v>
      </c>
      <c r="AE12" t="n">
        <v>1737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50739900</v>
      </c>
      <c r="G13" t="n">
        <v>7778805</v>
      </c>
      <c r="H13" t="n">
        <v>9268311</v>
      </c>
      <c r="I13" t="n">
        <v>-1</v>
      </c>
      <c r="J13" t="n">
        <v>46.852</v>
      </c>
      <c r="K13" t="n">
        <v>8.976470000000001</v>
      </c>
      <c r="L13" t="n">
        <v>9.530609999999999</v>
      </c>
      <c r="M13" t="n">
        <v>-1</v>
      </c>
      <c r="N13" t="n">
        <v>-3798320</v>
      </c>
      <c r="O13" t="n">
        <v>-1512180</v>
      </c>
      <c r="P13" t="n">
        <v>-2081290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1365.37</v>
      </c>
      <c r="AD13" t="n">
        <v>12233.36</v>
      </c>
      <c r="AE13" t="n">
        <v>25061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13020400</v>
      </c>
      <c r="G14" t="n">
        <v>2025262</v>
      </c>
      <c r="H14" t="n">
        <v>2636203</v>
      </c>
      <c r="I14" t="n">
        <v>-1</v>
      </c>
      <c r="J14" t="n">
        <v>30.8156</v>
      </c>
      <c r="K14" t="n">
        <v>5.70172</v>
      </c>
      <c r="L14" t="n">
        <v>6.67211</v>
      </c>
      <c r="M14" t="n">
        <v>-1</v>
      </c>
      <c r="N14" t="n">
        <v>-971205</v>
      </c>
      <c r="O14" t="n">
        <v>-452822</v>
      </c>
      <c r="P14" t="n">
        <v>-567178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75.40000000000001</v>
      </c>
      <c r="AD14" t="n">
        <v>4375.94</v>
      </c>
      <c r="AE14" t="n">
        <v>8988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3023080</v>
      </c>
      <c r="G15" t="n">
        <v>576712</v>
      </c>
      <c r="H15" t="n">
        <v>853588</v>
      </c>
      <c r="I15" t="n">
        <v>-1</v>
      </c>
      <c r="J15" t="n">
        <v>16.4006</v>
      </c>
      <c r="K15" t="n">
        <v>6.15328</v>
      </c>
      <c r="L15" t="n">
        <v>6.67211</v>
      </c>
      <c r="M15" t="n">
        <v>-1</v>
      </c>
      <c r="N15" t="n">
        <v>-281274</v>
      </c>
      <c r="O15" t="n">
        <v>-177713</v>
      </c>
      <c r="P15" t="n">
        <v>-197654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17.98</v>
      </c>
      <c r="AD15" t="n">
        <v>1852.07</v>
      </c>
      <c r="AE15" t="n">
        <v>3858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10246300</v>
      </c>
      <c r="G16" t="n">
        <v>1991096</v>
      </c>
      <c r="H16" t="n">
        <v>2746359</v>
      </c>
      <c r="I16" t="n">
        <v>-1</v>
      </c>
      <c r="J16" t="n">
        <v>45.876</v>
      </c>
      <c r="K16" t="n">
        <v>10.1901</v>
      </c>
      <c r="L16" t="n">
        <v>13.0982</v>
      </c>
      <c r="M16" t="n">
        <v>-1</v>
      </c>
      <c r="N16" t="n">
        <v>-2156640</v>
      </c>
      <c r="O16" t="n">
        <v>-1456850</v>
      </c>
      <c r="P16" t="n">
        <v>-1908420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57.68</v>
      </c>
      <c r="AD16" t="n">
        <v>1130.91</v>
      </c>
      <c r="AE16" t="n">
        <v>5969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375354</v>
      </c>
      <c r="G17" t="n">
        <v>131756</v>
      </c>
      <c r="H17" t="n">
        <v>193273</v>
      </c>
      <c r="I17" t="n">
        <v>-1</v>
      </c>
      <c r="J17" t="n">
        <v>9.033340000000001</v>
      </c>
      <c r="K17" t="n">
        <v>4.69342</v>
      </c>
      <c r="L17" t="n">
        <v>5.04917</v>
      </c>
      <c r="M17" t="n">
        <v>-1</v>
      </c>
      <c r="N17" t="n">
        <v>-34665.1</v>
      </c>
      <c r="O17" t="n">
        <v>-26832.1</v>
      </c>
      <c r="P17" t="n">
        <v>-28815.2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3.62</v>
      </c>
      <c r="AD17" t="n">
        <v>62.89</v>
      </c>
      <c r="AE17" t="n">
        <v>356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1635990</v>
      </c>
      <c r="G18" t="n">
        <v>648382</v>
      </c>
      <c r="H18" t="n">
        <v>779308</v>
      </c>
      <c r="I18" t="n">
        <v>-1</v>
      </c>
      <c r="J18" t="n">
        <v>12.5776</v>
      </c>
      <c r="K18" t="n">
        <v>5.06431</v>
      </c>
      <c r="L18" t="n">
        <v>5.59004</v>
      </c>
      <c r="M18" t="n">
        <v>-1</v>
      </c>
      <c r="N18" t="n">
        <v>-158972</v>
      </c>
      <c r="O18" t="n">
        <v>-120098</v>
      </c>
      <c r="P18" t="n">
        <v>-138741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9.220000000000001</v>
      </c>
      <c r="AD18" t="n">
        <v>184.11</v>
      </c>
      <c r="AE18" t="n">
        <v>2056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593319</v>
      </c>
      <c r="G19" t="n">
        <v>127534</v>
      </c>
      <c r="H19" t="n">
        <v>215151</v>
      </c>
      <c r="I19" t="n">
        <v>-1</v>
      </c>
      <c r="J19" t="n">
        <v>17.1229</v>
      </c>
      <c r="K19" t="n">
        <v>9.53654</v>
      </c>
      <c r="L19" t="n">
        <v>9.808920000000001</v>
      </c>
      <c r="M19" t="n">
        <v>-1</v>
      </c>
      <c r="N19" t="n">
        <v>-27021.1</v>
      </c>
      <c r="O19" t="n">
        <v>-18231.9</v>
      </c>
      <c r="P19" t="n">
        <v>-19049.1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5.89</v>
      </c>
      <c r="AD19" t="n">
        <v>95.92</v>
      </c>
      <c r="AE19" t="n">
        <v>1198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6732330</v>
      </c>
      <c r="G20" t="n">
        <v>1341224</v>
      </c>
      <c r="H20" t="n">
        <v>1820647</v>
      </c>
      <c r="I20" t="n">
        <v>-1</v>
      </c>
      <c r="J20" t="n">
        <v>20.9274</v>
      </c>
      <c r="K20" t="n">
        <v>7.73558</v>
      </c>
      <c r="L20" t="n">
        <v>8.61199</v>
      </c>
      <c r="M20" t="n">
        <v>-1</v>
      </c>
      <c r="N20" t="n">
        <v>-569658</v>
      </c>
      <c r="O20" t="n">
        <v>-411931</v>
      </c>
      <c r="P20" t="n">
        <v>-598088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33.86</v>
      </c>
      <c r="AD20" t="n">
        <v>2977.04</v>
      </c>
      <c r="AE20" t="n">
        <v>4273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452336</v>
      </c>
      <c r="G21" t="n">
        <v>99911</v>
      </c>
      <c r="H21" t="n">
        <v>165400</v>
      </c>
      <c r="I21" t="n">
        <v>-1</v>
      </c>
      <c r="J21" t="n">
        <v>15.0197</v>
      </c>
      <c r="K21" t="n">
        <v>6.33719</v>
      </c>
      <c r="L21" t="n">
        <v>6.59293</v>
      </c>
      <c r="M21" t="n">
        <v>-1</v>
      </c>
      <c r="N21" t="n">
        <v>-69317.7</v>
      </c>
      <c r="O21" t="n">
        <v>-50528.8</v>
      </c>
      <c r="P21" t="n">
        <v>-59242.4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4.16</v>
      </c>
      <c r="AD21" t="n">
        <v>75.62</v>
      </c>
      <c r="AE21" t="n">
        <v>631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550002</v>
      </c>
      <c r="G22" t="n">
        <v>111701</v>
      </c>
      <c r="H22" t="n">
        <v>181574</v>
      </c>
      <c r="I22" t="n">
        <v>-1</v>
      </c>
      <c r="J22" t="n">
        <v>11.9191</v>
      </c>
      <c r="K22" t="n">
        <v>6.35858</v>
      </c>
      <c r="L22" t="n">
        <v>6.57982</v>
      </c>
      <c r="M22" t="n">
        <v>-1</v>
      </c>
      <c r="N22" t="n">
        <v>-62492.4</v>
      </c>
      <c r="O22" t="n">
        <v>-42945.3</v>
      </c>
      <c r="P22" t="n">
        <v>-49388.4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4.2</v>
      </c>
      <c r="AD22" t="n">
        <v>81.76000000000001</v>
      </c>
      <c r="AE22" t="n">
        <v>890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270971</v>
      </c>
      <c r="G23" t="n">
        <v>85468</v>
      </c>
      <c r="H23" t="n">
        <v>134565</v>
      </c>
      <c r="I23" t="n">
        <v>-1</v>
      </c>
      <c r="J23" t="n">
        <v>15.2351</v>
      </c>
      <c r="K23" t="n">
        <v>9.608980000000001</v>
      </c>
      <c r="L23" t="n">
        <v>9.438359999999999</v>
      </c>
      <c r="M23" t="n">
        <v>-1</v>
      </c>
      <c r="N23" t="n">
        <v>-18925.5</v>
      </c>
      <c r="O23" t="n">
        <v>-14576.5</v>
      </c>
      <c r="P23" t="n">
        <v>-15665.4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2.67</v>
      </c>
      <c r="AD23" t="n">
        <v>67.56</v>
      </c>
      <c r="AE23" t="n">
        <v>499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405011</v>
      </c>
      <c r="G24" t="n">
        <v>155440</v>
      </c>
      <c r="H24" t="n">
        <v>215309</v>
      </c>
      <c r="I24" t="n">
        <v>-1</v>
      </c>
      <c r="J24" t="n">
        <v>10.5889</v>
      </c>
      <c r="K24" t="n">
        <v>5.88372</v>
      </c>
      <c r="L24" t="n">
        <v>6.90474</v>
      </c>
      <c r="M24" t="n">
        <v>-1</v>
      </c>
      <c r="N24" t="n">
        <v>-56436.9</v>
      </c>
      <c r="O24" t="n">
        <v>-43020.3</v>
      </c>
      <c r="P24" t="n">
        <v>-51561.9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2.92</v>
      </c>
      <c r="AD24" t="n">
        <v>72.04000000000001</v>
      </c>
      <c r="AE24" t="n">
        <v>650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-1</v>
      </c>
      <c r="F25" t="n">
        <v>21467100</v>
      </c>
      <c r="G25" t="n">
        <v>2630138</v>
      </c>
      <c r="H25" t="n">
        <v>3869463</v>
      </c>
      <c r="I25" t="n">
        <v>-1</v>
      </c>
      <c r="J25" t="n">
        <v>37.2144</v>
      </c>
      <c r="K25" t="n">
        <v>11.1966</v>
      </c>
      <c r="L25" t="n">
        <v>12.0512</v>
      </c>
      <c r="M25" t="n">
        <v>-1</v>
      </c>
      <c r="N25" t="n">
        <v>-7098420</v>
      </c>
      <c r="O25" t="n">
        <v>-2943520</v>
      </c>
      <c r="P25" t="n">
        <v>-3890440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81.25</v>
      </c>
      <c r="AD25" t="n">
        <v>5320.03</v>
      </c>
      <c r="AE25" t="n">
        <v>9683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-1</v>
      </c>
      <c r="F26" t="n">
        <v>19646400</v>
      </c>
      <c r="G26" t="n">
        <v>3398342</v>
      </c>
      <c r="H26" t="n">
        <v>3987827</v>
      </c>
      <c r="I26" t="n">
        <v>-1</v>
      </c>
      <c r="J26" t="n">
        <v>49.216</v>
      </c>
      <c r="K26" t="n">
        <v>14.1686</v>
      </c>
      <c r="L26" t="n">
        <v>18.0011</v>
      </c>
      <c r="M26" t="n">
        <v>-1</v>
      </c>
      <c r="N26" t="n">
        <v>-4124240</v>
      </c>
      <c r="O26" t="n">
        <v>-1770030</v>
      </c>
      <c r="P26" t="n">
        <v>-3056870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73.26000000000001</v>
      </c>
      <c r="AD26" t="n">
        <v>3720.04</v>
      </c>
      <c r="AE26" t="n">
        <v>4033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-1</v>
      </c>
      <c r="F27" t="n">
        <v>3773530</v>
      </c>
      <c r="G27" t="n">
        <v>2024799</v>
      </c>
      <c r="H27" t="n">
        <v>2102376</v>
      </c>
      <c r="I27" t="n">
        <v>-1</v>
      </c>
      <c r="J27" t="n">
        <v>22.5566</v>
      </c>
      <c r="K27" t="n">
        <v>7.41761</v>
      </c>
      <c r="L27" t="n">
        <v>8.74136</v>
      </c>
      <c r="M27" t="n">
        <v>-1</v>
      </c>
      <c r="N27" t="n">
        <v>-487591</v>
      </c>
      <c r="O27" t="n">
        <v>-348878</v>
      </c>
      <c r="P27" t="n">
        <v>-393135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28.07</v>
      </c>
      <c r="AD27" t="n">
        <v>1355.74</v>
      </c>
      <c r="AE27" t="n">
        <v>1526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-1</v>
      </c>
      <c r="F28" t="n">
        <v>4217400</v>
      </c>
      <c r="G28" t="n">
        <v>739430</v>
      </c>
      <c r="H28" t="n">
        <v>911193</v>
      </c>
      <c r="I28" t="n">
        <v>-1</v>
      </c>
      <c r="J28" t="n">
        <v>31.8069</v>
      </c>
      <c r="K28" t="n">
        <v>9.13269</v>
      </c>
      <c r="L28" t="n">
        <v>10.5673</v>
      </c>
      <c r="M28" t="n">
        <v>-1</v>
      </c>
      <c r="N28" t="n">
        <v>-474849</v>
      </c>
      <c r="O28" t="n">
        <v>-261165</v>
      </c>
      <c r="P28" t="n">
        <v>-300111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18.74</v>
      </c>
      <c r="AD28" t="n">
        <v>1382.12</v>
      </c>
      <c r="AE28" t="n">
        <v>1888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-1</v>
      </c>
      <c r="F29" t="n">
        <v>585225</v>
      </c>
      <c r="G29" t="n">
        <v>351358</v>
      </c>
      <c r="H29" t="n">
        <v>381822</v>
      </c>
      <c r="I29" t="n">
        <v>-1</v>
      </c>
      <c r="J29" t="n">
        <v>17.184</v>
      </c>
      <c r="K29" t="n">
        <v>5.64504</v>
      </c>
      <c r="L29" t="n">
        <v>6.17287</v>
      </c>
      <c r="M29" t="n">
        <v>-1</v>
      </c>
      <c r="N29" t="n">
        <v>-115172</v>
      </c>
      <c r="O29" t="n">
        <v>-85834.5</v>
      </c>
      <c r="P29" t="n">
        <v>-91061.89999999999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5.08</v>
      </c>
      <c r="AD29" t="n">
        <v>171.66</v>
      </c>
      <c r="AE29" t="n">
        <v>493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-1</v>
      </c>
      <c r="F30" t="n">
        <v>638807</v>
      </c>
      <c r="G30" t="n">
        <v>206458</v>
      </c>
      <c r="H30" t="n">
        <v>275552</v>
      </c>
      <c r="I30" t="n">
        <v>-1</v>
      </c>
      <c r="J30" t="n">
        <v>20.1364</v>
      </c>
      <c r="K30" t="n">
        <v>8.95256</v>
      </c>
      <c r="L30" t="n">
        <v>9.838179999999999</v>
      </c>
      <c r="M30" t="n">
        <v>-1</v>
      </c>
      <c r="N30" t="n">
        <v>-107689</v>
      </c>
      <c r="O30" t="n">
        <v>-76709.60000000001</v>
      </c>
      <c r="P30" t="n">
        <v>-85020.10000000001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6.39</v>
      </c>
      <c r="AD30" t="n">
        <v>215.73</v>
      </c>
      <c r="AE30" t="n">
        <v>681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9597560</v>
      </c>
      <c r="F2" t="n">
        <v>27110700</v>
      </c>
      <c r="G2" t="n">
        <v>8847605</v>
      </c>
      <c r="H2" t="n">
        <v>8410436</v>
      </c>
      <c r="I2" t="n">
        <v>6.394</v>
      </c>
      <c r="J2" t="n">
        <v>13.745</v>
      </c>
      <c r="K2" t="n">
        <v>5.32692</v>
      </c>
      <c r="L2" t="n">
        <v>9.148999999999999</v>
      </c>
      <c r="M2" t="n">
        <v>-487332.4375</v>
      </c>
      <c r="N2" t="n">
        <v>-903654</v>
      </c>
      <c r="O2" t="n">
        <v>-525809</v>
      </c>
      <c r="P2" t="n">
        <v>-874188</v>
      </c>
      <c r="Q2" t="n">
        <v>16508</v>
      </c>
      <c r="R2" t="n">
        <v>36.72916</v>
      </c>
      <c r="S2" t="n">
        <v>0</v>
      </c>
      <c r="T2" t="n">
        <v>76.084343</v>
      </c>
      <c r="U2" t="n">
        <v>62.282532</v>
      </c>
      <c r="V2" t="n">
        <v>20775412</v>
      </c>
      <c r="W2" t="n">
        <v>21.745773</v>
      </c>
      <c r="X2" t="n">
        <v>245.711517</v>
      </c>
      <c r="Y2" t="n">
        <v>8043.01</v>
      </c>
      <c r="Z2" t="n">
        <v>1139.9</v>
      </c>
      <c r="AA2" t="n">
        <v>965.01</v>
      </c>
      <c r="AB2" t="n">
        <v>5110.95</v>
      </c>
      <c r="AC2" t="n">
        <v>530.98</v>
      </c>
      <c r="AD2" t="n">
        <v>8739.129999999999</v>
      </c>
      <c r="AE2" t="n">
        <v>-1</v>
      </c>
      <c r="AF2" t="n">
        <v>52987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11679800</v>
      </c>
      <c r="F3" t="n">
        <v>18673000</v>
      </c>
      <c r="G3" t="n">
        <v>6576418</v>
      </c>
      <c r="H3" t="n">
        <v>6144320</v>
      </c>
      <c r="I3" t="n">
        <v>8.220000000000001</v>
      </c>
      <c r="J3" t="n">
        <v>14.238</v>
      </c>
      <c r="K3" t="n">
        <v>6.38703</v>
      </c>
      <c r="L3" t="n">
        <v>9.600989999999999</v>
      </c>
      <c r="M3" t="n">
        <v>-1018056.1875</v>
      </c>
      <c r="N3" t="n">
        <v>-1969890</v>
      </c>
      <c r="O3" t="n">
        <v>-909249</v>
      </c>
      <c r="P3" t="n">
        <v>-1612420</v>
      </c>
      <c r="Q3" t="n">
        <v>7248</v>
      </c>
      <c r="R3" t="n">
        <v>449.511169</v>
      </c>
      <c r="S3" t="n">
        <v>0</v>
      </c>
      <c r="T3" t="n">
        <v>53.466129</v>
      </c>
      <c r="U3" t="n">
        <v>46.387486</v>
      </c>
      <c r="V3" t="n">
        <v>10649393</v>
      </c>
      <c r="W3" t="n">
        <v>11.352922</v>
      </c>
      <c r="X3" t="n">
        <v>169.000107</v>
      </c>
      <c r="Y3" t="n">
        <v>6112.43</v>
      </c>
      <c r="Z3" t="n">
        <v>921.34</v>
      </c>
      <c r="AA3" t="n">
        <v>697.08</v>
      </c>
      <c r="AB3" t="n">
        <v>3232.8</v>
      </c>
      <c r="AC3" t="n">
        <v>317.29</v>
      </c>
      <c r="AD3" t="n">
        <v>6596.98</v>
      </c>
      <c r="AE3" t="n">
        <v>-1</v>
      </c>
      <c r="AF3" t="n">
        <v>38294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12175300</v>
      </c>
      <c r="F4" t="n">
        <v>22954900</v>
      </c>
      <c r="G4" t="n">
        <v>6971263</v>
      </c>
      <c r="H4" t="n">
        <v>6689550</v>
      </c>
      <c r="I4" t="n">
        <v>6.8253</v>
      </c>
      <c r="J4" t="n">
        <v>15.718</v>
      </c>
      <c r="K4" t="n">
        <v>6.65595</v>
      </c>
      <c r="L4" t="n">
        <v>7.631</v>
      </c>
      <c r="M4" t="n">
        <v>-1010840.75</v>
      </c>
      <c r="N4" t="n">
        <v>-1940060</v>
      </c>
      <c r="O4" t="n">
        <v>-891417</v>
      </c>
      <c r="P4" t="n">
        <v>-1628890</v>
      </c>
      <c r="Q4" t="n">
        <v>8830</v>
      </c>
      <c r="R4" t="n">
        <v>443.361145</v>
      </c>
      <c r="S4" t="n">
        <v>0</v>
      </c>
      <c r="T4" t="n">
        <v>52.933605</v>
      </c>
      <c r="U4" t="n">
        <v>47.048534</v>
      </c>
      <c r="V4" t="n">
        <v>13574800</v>
      </c>
      <c r="W4" t="n">
        <v>14.477687</v>
      </c>
      <c r="X4" t="n">
        <v>181.999786</v>
      </c>
      <c r="Y4" t="n">
        <v>6507.58</v>
      </c>
      <c r="Z4" t="n">
        <v>967.23</v>
      </c>
      <c r="AA4" t="n">
        <v>710.73</v>
      </c>
      <c r="AB4" t="n">
        <v>3574.62</v>
      </c>
      <c r="AC4" t="n">
        <v>357.28</v>
      </c>
      <c r="AD4" t="n">
        <v>7032.38</v>
      </c>
      <c r="AE4" t="n">
        <v>-1</v>
      </c>
      <c r="AF4" t="n">
        <v>39444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12724600</v>
      </c>
      <c r="F5" t="n">
        <v>17931000</v>
      </c>
      <c r="G5" t="n">
        <v>6436938</v>
      </c>
      <c r="H5" t="n">
        <v>6102554</v>
      </c>
      <c r="I5" t="n">
        <v>8.292510999999999</v>
      </c>
      <c r="J5" t="n">
        <v>10.7866</v>
      </c>
      <c r="K5" t="n">
        <v>6.292</v>
      </c>
      <c r="L5" t="n">
        <v>6.564</v>
      </c>
      <c r="M5" t="n">
        <v>-964256.375</v>
      </c>
      <c r="N5" t="n">
        <v>-1468330</v>
      </c>
      <c r="O5" t="n">
        <v>-834100</v>
      </c>
      <c r="P5" t="n">
        <v>-1462610</v>
      </c>
      <c r="Q5" t="n">
        <v>7120</v>
      </c>
      <c r="R5" t="n">
        <v>475.025269</v>
      </c>
      <c r="S5" t="n">
        <v>0</v>
      </c>
      <c r="T5" t="n">
        <v>52.256943</v>
      </c>
      <c r="U5" t="n">
        <v>46.065422</v>
      </c>
      <c r="V5" t="n">
        <v>9423204</v>
      </c>
      <c r="W5" t="n">
        <v>10.407389</v>
      </c>
      <c r="X5" t="n">
        <v>175.999893</v>
      </c>
      <c r="Y5" t="n">
        <v>5816.16</v>
      </c>
      <c r="Z5" t="n">
        <v>908.11</v>
      </c>
      <c r="AA5" t="n">
        <v>698.49</v>
      </c>
      <c r="AB5" t="n">
        <v>2958.56</v>
      </c>
      <c r="AC5" t="n">
        <v>360.79</v>
      </c>
      <c r="AD5" t="n">
        <v>6341.33</v>
      </c>
      <c r="AE5" t="n">
        <v>-1</v>
      </c>
      <c r="AF5" t="n">
        <v>37012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7435140</v>
      </c>
      <c r="F6" t="n">
        <v>27667400</v>
      </c>
      <c r="G6" t="n">
        <v>7727404</v>
      </c>
      <c r="H6" t="n">
        <v>8925241</v>
      </c>
      <c r="I6" t="n">
        <v>23.84503</v>
      </c>
      <c r="J6" t="n">
        <v>42.677</v>
      </c>
      <c r="K6" t="n">
        <v>15.0101</v>
      </c>
      <c r="L6" t="n">
        <v>15.306</v>
      </c>
      <c r="M6" t="n">
        <v>-4176633.5</v>
      </c>
      <c r="N6" t="n">
        <v>-7455350</v>
      </c>
      <c r="O6" t="n">
        <v>-4651230</v>
      </c>
      <c r="P6" t="n">
        <v>-4709500</v>
      </c>
      <c r="Q6" t="n">
        <v>16935</v>
      </c>
      <c r="R6" t="n">
        <v>13.672217</v>
      </c>
      <c r="S6" t="n">
        <v>0</v>
      </c>
      <c r="T6" t="n">
        <v>78.218788</v>
      </c>
      <c r="U6" t="n">
        <v>70.692398</v>
      </c>
      <c r="V6" t="n">
        <v>17426546</v>
      </c>
      <c r="W6" t="n">
        <v>21.706694</v>
      </c>
      <c r="X6" t="n">
        <v>271.000214</v>
      </c>
      <c r="Y6" t="n">
        <v>11045.26</v>
      </c>
      <c r="Z6" t="n">
        <v>1281.95</v>
      </c>
      <c r="AA6" t="n">
        <v>1404.25</v>
      </c>
      <c r="AB6" t="n">
        <v>7220.28</v>
      </c>
      <c r="AC6" t="n">
        <v>714.66</v>
      </c>
      <c r="AD6" t="n">
        <v>11938.41</v>
      </c>
      <c r="AE6" t="n">
        <v>-1</v>
      </c>
      <c r="AF6" t="n">
        <v>47889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7609250</v>
      </c>
      <c r="F7" t="n">
        <v>14553300</v>
      </c>
      <c r="G7" t="n">
        <v>7067522</v>
      </c>
      <c r="H7" t="n">
        <v>6884593</v>
      </c>
      <c r="I7" t="n">
        <v>6.769001</v>
      </c>
      <c r="J7" t="n">
        <v>8.346299999999999</v>
      </c>
      <c r="K7" t="n">
        <v>4.35</v>
      </c>
      <c r="L7" t="n">
        <v>6.141</v>
      </c>
      <c r="M7" t="n">
        <v>-443951.875</v>
      </c>
      <c r="N7" t="n">
        <v>-629626</v>
      </c>
      <c r="O7" t="n">
        <v>-423861</v>
      </c>
      <c r="P7" t="n">
        <v>-713562</v>
      </c>
      <c r="Q7" t="n">
        <v>11897</v>
      </c>
      <c r="R7" t="n">
        <v>38.225349</v>
      </c>
      <c r="S7" t="n">
        <v>0</v>
      </c>
      <c r="T7" t="n">
        <v>74.593895</v>
      </c>
      <c r="U7" t="n">
        <v>55.281174</v>
      </c>
      <c r="V7" t="n">
        <v>7509916</v>
      </c>
      <c r="W7" t="n">
        <v>9.777671</v>
      </c>
      <c r="X7" t="n">
        <v>130.999893</v>
      </c>
      <c r="Y7" t="n">
        <v>5420.25</v>
      </c>
      <c r="Z7" t="n">
        <v>886.12</v>
      </c>
      <c r="AA7" t="n">
        <v>796.38</v>
      </c>
      <c r="AB7" t="n">
        <v>2959.88</v>
      </c>
      <c r="AC7" t="n">
        <v>941.1</v>
      </c>
      <c r="AD7" t="n">
        <v>6491.8</v>
      </c>
      <c r="AE7" t="n">
        <v>-1</v>
      </c>
      <c r="AF7" t="n">
        <v>35728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7076710</v>
      </c>
      <c r="F8" t="n">
        <v>13940900</v>
      </c>
      <c r="G8" t="n">
        <v>6599482</v>
      </c>
      <c r="H8" t="n">
        <v>6246679</v>
      </c>
      <c r="I8" t="n">
        <v>5.391001</v>
      </c>
      <c r="J8" t="n">
        <v>9.449999999999999</v>
      </c>
      <c r="K8" t="n">
        <v>4.10411</v>
      </c>
      <c r="L8" t="n">
        <v>8.012</v>
      </c>
      <c r="M8" t="n">
        <v>-402215.15625</v>
      </c>
      <c r="N8" t="n">
        <v>-589108</v>
      </c>
      <c r="O8" t="n">
        <v>-407578</v>
      </c>
      <c r="P8" t="n">
        <v>-671675</v>
      </c>
      <c r="Q8" t="n">
        <v>10557</v>
      </c>
      <c r="R8" t="n">
        <v>36.653404</v>
      </c>
      <c r="S8" t="n">
        <v>0</v>
      </c>
      <c r="T8" t="n">
        <v>75.882324</v>
      </c>
      <c r="U8" t="n">
        <v>54.006863</v>
      </c>
      <c r="V8" t="n">
        <v>7256685.5</v>
      </c>
      <c r="W8" t="n">
        <v>9.871511</v>
      </c>
      <c r="X8" t="n">
        <v>151.867157</v>
      </c>
      <c r="Y8" t="n">
        <v>4733.91</v>
      </c>
      <c r="Z8" t="n">
        <v>830.4</v>
      </c>
      <c r="AA8" t="n">
        <v>696.2</v>
      </c>
      <c r="AB8" t="n">
        <v>2420.15</v>
      </c>
      <c r="AC8" t="n">
        <v>324.3</v>
      </c>
      <c r="AD8" t="n">
        <v>5185.5</v>
      </c>
      <c r="AE8" t="n">
        <v>-1</v>
      </c>
      <c r="AF8" t="n">
        <v>34189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8695030</v>
      </c>
      <c r="F9" t="n">
        <v>13417100</v>
      </c>
      <c r="G9" t="n">
        <v>4890941</v>
      </c>
      <c r="H9" t="n">
        <v>4244276</v>
      </c>
      <c r="I9" t="n">
        <v>14.290966</v>
      </c>
      <c r="J9" t="n">
        <v>15.961</v>
      </c>
      <c r="K9" t="n">
        <v>5.97</v>
      </c>
      <c r="L9" t="n">
        <v>6.4306</v>
      </c>
      <c r="M9" t="n">
        <v>-438977.9375</v>
      </c>
      <c r="N9" t="n">
        <v>-965650</v>
      </c>
      <c r="O9" t="n">
        <v>-803403</v>
      </c>
      <c r="P9" t="n">
        <v>-1118390</v>
      </c>
      <c r="Q9" t="n">
        <v>10644</v>
      </c>
      <c r="R9" t="n">
        <v>15.789271</v>
      </c>
      <c r="S9" t="n">
        <v>0</v>
      </c>
      <c r="T9" t="n">
        <v>82.30856300000001</v>
      </c>
      <c r="U9" t="n">
        <v>56.781784</v>
      </c>
      <c r="V9" t="n">
        <v>8374134</v>
      </c>
      <c r="W9" t="n">
        <v>11.849597</v>
      </c>
      <c r="X9" t="n">
        <v>138.604889</v>
      </c>
      <c r="Y9" t="n">
        <v>7038.45</v>
      </c>
      <c r="Z9" t="n">
        <v>842.61</v>
      </c>
      <c r="AA9" t="n">
        <v>1343.52</v>
      </c>
      <c r="AB9" t="n">
        <v>4333.41</v>
      </c>
      <c r="AC9" t="n">
        <v>729.7</v>
      </c>
      <c r="AD9" t="n">
        <v>7912.29</v>
      </c>
      <c r="AE9" t="n">
        <v>-1</v>
      </c>
      <c r="AF9" t="n">
        <v>30878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8879890</v>
      </c>
      <c r="F10" t="n">
        <v>13675600</v>
      </c>
      <c r="G10" t="n">
        <v>4289063</v>
      </c>
      <c r="H10" t="n">
        <v>3820184</v>
      </c>
      <c r="I10" t="n">
        <v>15.120287</v>
      </c>
      <c r="J10" t="n">
        <v>20.116</v>
      </c>
      <c r="K10" t="n">
        <v>7.426</v>
      </c>
      <c r="L10" t="n">
        <v>7.054</v>
      </c>
      <c r="M10" t="n">
        <v>-889468.5</v>
      </c>
      <c r="N10" t="n">
        <v>-1329460</v>
      </c>
      <c r="O10" t="n">
        <v>-979042</v>
      </c>
      <c r="P10" t="n">
        <v>-1312610</v>
      </c>
      <c r="Q10" t="n">
        <v>10160</v>
      </c>
      <c r="R10" t="n">
        <v>28.204725</v>
      </c>
      <c r="S10" t="n">
        <v>0</v>
      </c>
      <c r="T10" t="n">
        <v>76.14868199999999</v>
      </c>
      <c r="U10" t="n">
        <v>62.362556</v>
      </c>
      <c r="V10" t="n">
        <v>8789429</v>
      </c>
      <c r="W10" t="n">
        <v>13.141735</v>
      </c>
      <c r="X10" t="n">
        <v>171.988983</v>
      </c>
      <c r="Y10" t="n">
        <v>6475.55</v>
      </c>
      <c r="Z10" t="n">
        <v>840.16</v>
      </c>
      <c r="AA10" t="n">
        <v>1451.18</v>
      </c>
      <c r="AB10" t="n">
        <v>3655.37</v>
      </c>
      <c r="AC10" t="n">
        <v>359.38</v>
      </c>
      <c r="AD10" t="n">
        <v>6989.05</v>
      </c>
      <c r="AE10" t="n">
        <v>-1</v>
      </c>
      <c r="AF10" t="n">
        <v>30905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1480780</v>
      </c>
      <c r="F11" t="n">
        <v>8340820</v>
      </c>
      <c r="G11" t="n">
        <v>2275177</v>
      </c>
      <c r="H11" t="n">
        <v>1521269</v>
      </c>
      <c r="I11" t="n">
        <v>4.991</v>
      </c>
      <c r="J11" t="n">
        <v>8.164999999999999</v>
      </c>
      <c r="K11" t="n">
        <v>4.642</v>
      </c>
      <c r="L11" t="n">
        <v>5.394</v>
      </c>
      <c r="M11" t="n">
        <v>-83014.023438</v>
      </c>
      <c r="N11" t="n">
        <v>-418297</v>
      </c>
      <c r="O11" t="n">
        <v>-189781</v>
      </c>
      <c r="P11" t="n">
        <v>-172108</v>
      </c>
      <c r="Q11" t="n">
        <v>7581</v>
      </c>
      <c r="R11" t="n">
        <v>7.160005</v>
      </c>
      <c r="S11" t="n">
        <v>0</v>
      </c>
      <c r="T11" t="n">
        <v>74.699173</v>
      </c>
      <c r="U11" t="n">
        <v>53.230103</v>
      </c>
      <c r="V11" t="n">
        <v>7037476.5</v>
      </c>
      <c r="W11" t="n">
        <v>11.325396</v>
      </c>
      <c r="X11" t="n">
        <v>125.971741</v>
      </c>
      <c r="Y11" t="n">
        <v>5386.45</v>
      </c>
      <c r="Z11" t="n">
        <v>951.95</v>
      </c>
      <c r="AA11" t="n">
        <v>1936.79</v>
      </c>
      <c r="AB11" t="n">
        <v>1964.48</v>
      </c>
      <c r="AC11" t="n">
        <v>165.95</v>
      </c>
      <c r="AD11" t="n">
        <v>5677.97</v>
      </c>
      <c r="AE11" t="n">
        <v>-1</v>
      </c>
      <c r="AF11" t="n">
        <v>26784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6097690</v>
      </c>
      <c r="F12" t="n">
        <v>6347870</v>
      </c>
      <c r="G12" t="n">
        <v>3504969</v>
      </c>
      <c r="H12" t="n">
        <v>3032268</v>
      </c>
      <c r="I12" t="n">
        <v>13.901707</v>
      </c>
      <c r="J12" t="n">
        <v>9.009</v>
      </c>
      <c r="K12" t="n">
        <v>6.169</v>
      </c>
      <c r="L12" t="n">
        <v>5.375</v>
      </c>
      <c r="M12" t="n">
        <v>-415151.03125</v>
      </c>
      <c r="N12" t="n">
        <v>-692289</v>
      </c>
      <c r="O12" t="n">
        <v>-520010</v>
      </c>
      <c r="P12" t="n">
        <v>-773671</v>
      </c>
      <c r="Q12" t="n">
        <v>7970</v>
      </c>
      <c r="R12" t="n">
        <v>26.709911</v>
      </c>
      <c r="S12" t="n">
        <v>0</v>
      </c>
      <c r="T12" t="n">
        <v>84.28711699999999</v>
      </c>
      <c r="U12" t="n">
        <v>63.742626</v>
      </c>
      <c r="V12" t="n">
        <v>3345384.25</v>
      </c>
      <c r="W12" t="n">
        <v>5.765787</v>
      </c>
      <c r="X12" t="n">
        <v>103.999901</v>
      </c>
      <c r="Y12" t="n">
        <v>5260.73</v>
      </c>
      <c r="Z12" t="n">
        <v>614.74</v>
      </c>
      <c r="AA12" t="n">
        <v>1615.56</v>
      </c>
      <c r="AB12" t="n">
        <v>2504.15</v>
      </c>
      <c r="AC12" t="n">
        <v>195.42</v>
      </c>
      <c r="AD12" t="n">
        <v>5585.19</v>
      </c>
      <c r="AE12" t="n">
        <v>-1</v>
      </c>
      <c r="AF12" t="n">
        <v>23690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5673760</v>
      </c>
      <c r="F13" t="n">
        <v>4624500</v>
      </c>
      <c r="G13" t="n">
        <v>2458361</v>
      </c>
      <c r="H13" t="n">
        <v>2103705</v>
      </c>
      <c r="I13" t="n">
        <v>14.987334</v>
      </c>
      <c r="J13" t="n">
        <v>9.50633</v>
      </c>
      <c r="K13" t="n">
        <v>6.636</v>
      </c>
      <c r="L13" t="n">
        <v>6.376</v>
      </c>
      <c r="M13" t="n">
        <v>-401681</v>
      </c>
      <c r="N13" t="n">
        <v>-839587</v>
      </c>
      <c r="O13" t="n">
        <v>-583774</v>
      </c>
      <c r="P13" t="n">
        <v>-865291</v>
      </c>
      <c r="Q13" t="n">
        <v>6137</v>
      </c>
      <c r="R13" t="n">
        <v>17.435228</v>
      </c>
      <c r="S13" t="n">
        <v>0</v>
      </c>
      <c r="T13" t="n">
        <v>83.38692500000001</v>
      </c>
      <c r="U13" t="n">
        <v>56.912216</v>
      </c>
      <c r="V13" t="n">
        <v>2154037.5</v>
      </c>
      <c r="W13" t="n">
        <v>4.653012</v>
      </c>
      <c r="X13" t="n">
        <v>273</v>
      </c>
      <c r="Y13" t="n">
        <v>3815.65</v>
      </c>
      <c r="Z13" t="n">
        <v>489.77</v>
      </c>
      <c r="AA13" t="n">
        <v>773.2</v>
      </c>
      <c r="AB13" t="n">
        <v>1492.06</v>
      </c>
      <c r="AC13" t="n">
        <v>150.46</v>
      </c>
      <c r="AD13" t="n">
        <v>4062.9</v>
      </c>
      <c r="AE13" t="n">
        <v>-1</v>
      </c>
      <c r="AF13" t="n">
        <v>17727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6442300</v>
      </c>
      <c r="F14" t="n">
        <v>4641860</v>
      </c>
      <c r="G14" t="n">
        <v>2403598</v>
      </c>
      <c r="H14" t="n">
        <v>2119380</v>
      </c>
      <c r="I14" t="n">
        <v>15.494704</v>
      </c>
      <c r="J14" t="n">
        <v>8.175000000000001</v>
      </c>
      <c r="K14" t="n">
        <v>6.067</v>
      </c>
      <c r="L14" t="n">
        <v>5.312</v>
      </c>
      <c r="M14" t="n">
        <v>-234641.15625</v>
      </c>
      <c r="N14" t="n">
        <v>-1087330</v>
      </c>
      <c r="O14" t="n">
        <v>-443429</v>
      </c>
      <c r="P14" t="n">
        <v>-632624</v>
      </c>
      <c r="Q14" t="n">
        <v>6644</v>
      </c>
      <c r="R14" t="n">
        <v>24.294853</v>
      </c>
      <c r="S14" t="n">
        <v>0</v>
      </c>
      <c r="T14" t="n">
        <v>85.10324900000001</v>
      </c>
      <c r="U14" t="n">
        <v>75.397308</v>
      </c>
      <c r="V14" t="n">
        <v>2881984.25</v>
      </c>
      <c r="W14" t="n">
        <v>6.526321</v>
      </c>
      <c r="X14" t="n">
        <v>274.888947</v>
      </c>
      <c r="Y14" t="n">
        <v>3636.94</v>
      </c>
      <c r="Z14" t="n">
        <v>406.29</v>
      </c>
      <c r="AA14" t="n">
        <v>786.03</v>
      </c>
      <c r="AB14" t="n">
        <v>1398.19</v>
      </c>
      <c r="AC14" t="n">
        <v>167.15</v>
      </c>
      <c r="AD14" t="n">
        <v>3901.52</v>
      </c>
      <c r="AE14" t="n">
        <v>-1</v>
      </c>
      <c r="AF14" t="n">
        <v>16931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3428440</v>
      </c>
      <c r="F15" t="n">
        <v>7029750</v>
      </c>
      <c r="G15" t="n">
        <v>2539472</v>
      </c>
      <c r="H15" t="n">
        <v>2404408</v>
      </c>
      <c r="I15" t="n">
        <v>8.718213</v>
      </c>
      <c r="J15" t="n">
        <v>12.418</v>
      </c>
      <c r="K15" t="n">
        <v>5.663</v>
      </c>
      <c r="L15" t="n">
        <v>5.344</v>
      </c>
      <c r="M15" t="n">
        <v>-258356.765625</v>
      </c>
      <c r="N15" t="n">
        <v>-317678</v>
      </c>
      <c r="O15" t="n">
        <v>-203323</v>
      </c>
      <c r="P15" t="n">
        <v>-302489</v>
      </c>
      <c r="Q15" t="n">
        <v>7406</v>
      </c>
      <c r="R15" t="n">
        <v>71.80313099999999</v>
      </c>
      <c r="S15" t="n">
        <v>0</v>
      </c>
      <c r="T15" t="n">
        <v>74.69136</v>
      </c>
      <c r="U15" t="n">
        <v>72.388412</v>
      </c>
      <c r="V15" t="n">
        <v>5428409.5</v>
      </c>
      <c r="W15" t="n">
        <v>13.10327</v>
      </c>
      <c r="X15" t="n">
        <v>116.081734</v>
      </c>
      <c r="Y15" t="n">
        <v>3317.37</v>
      </c>
      <c r="Z15" t="n">
        <v>326.51</v>
      </c>
      <c r="AA15" t="n">
        <v>362.43</v>
      </c>
      <c r="AB15" t="n">
        <v>2123.88</v>
      </c>
      <c r="AC15" t="n">
        <v>131.6</v>
      </c>
      <c r="AD15" t="n">
        <v>3520.47</v>
      </c>
      <c r="AE15" t="n">
        <v>-1</v>
      </c>
      <c r="AF15" t="n">
        <v>24507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4883010</v>
      </c>
      <c r="F16" t="n">
        <v>4724730</v>
      </c>
      <c r="G16" t="n">
        <v>2752205</v>
      </c>
      <c r="H16" t="n">
        <v>2780293</v>
      </c>
      <c r="I16" t="n">
        <v>14.208996</v>
      </c>
      <c r="J16" t="n">
        <v>7.26572</v>
      </c>
      <c r="K16" t="n">
        <v>5.942</v>
      </c>
      <c r="L16" t="n">
        <v>5.63</v>
      </c>
      <c r="M16" t="n">
        <v>-348288</v>
      </c>
      <c r="N16" t="n">
        <v>-664817</v>
      </c>
      <c r="O16" t="n">
        <v>-478789</v>
      </c>
      <c r="P16" t="n">
        <v>-731058</v>
      </c>
      <c r="Q16" t="n">
        <v>4705</v>
      </c>
      <c r="R16" t="n">
        <v>16.989161</v>
      </c>
      <c r="S16" t="n">
        <v>0</v>
      </c>
      <c r="T16" t="n">
        <v>79.99346199999999</v>
      </c>
      <c r="U16" t="n">
        <v>53.577957</v>
      </c>
      <c r="V16" t="n">
        <v>1751660.25</v>
      </c>
      <c r="W16" t="n">
        <v>4.46076</v>
      </c>
      <c r="X16" t="n">
        <v>103.999901</v>
      </c>
      <c r="Y16" t="n">
        <v>2824.63</v>
      </c>
      <c r="Z16" t="n">
        <v>397.82</v>
      </c>
      <c r="AA16" t="n">
        <v>717.67</v>
      </c>
      <c r="AB16" t="n">
        <v>1181.34</v>
      </c>
      <c r="AC16" t="n">
        <v>281.26</v>
      </c>
      <c r="AD16" t="n">
        <v>3189.61</v>
      </c>
      <c r="AE16" t="n">
        <v>-1</v>
      </c>
      <c r="AF16" t="n">
        <v>16129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3422780</v>
      </c>
      <c r="F17" t="n">
        <v>3356210</v>
      </c>
      <c r="G17" t="n">
        <v>1929752</v>
      </c>
      <c r="H17" t="n">
        <v>1595415</v>
      </c>
      <c r="I17" t="n">
        <v>14.356573</v>
      </c>
      <c r="J17" t="n">
        <v>7.31915</v>
      </c>
      <c r="K17" t="n">
        <v>6.189</v>
      </c>
      <c r="L17" t="n">
        <v>5.623</v>
      </c>
      <c r="M17" t="n">
        <v>-220616.171875</v>
      </c>
      <c r="N17" t="n">
        <v>-632428</v>
      </c>
      <c r="O17" t="n">
        <v>-363767</v>
      </c>
      <c r="P17" t="n">
        <v>-515940</v>
      </c>
      <c r="Q17" t="n">
        <v>4951</v>
      </c>
      <c r="R17" t="n">
        <v>17.455261</v>
      </c>
      <c r="S17" t="n">
        <v>0</v>
      </c>
      <c r="T17" t="n">
        <v>83.500801</v>
      </c>
      <c r="U17" t="n">
        <v>54.711998</v>
      </c>
      <c r="V17" t="n">
        <v>1617533.25</v>
      </c>
      <c r="W17" t="n">
        <v>4.149053</v>
      </c>
      <c r="X17" t="n">
        <v>119.000214</v>
      </c>
      <c r="Y17" t="n">
        <v>2757.49</v>
      </c>
      <c r="Z17" t="n">
        <v>392.2</v>
      </c>
      <c r="AA17" t="n">
        <v>576.54</v>
      </c>
      <c r="AB17" t="n">
        <v>1276.21</v>
      </c>
      <c r="AC17" t="n">
        <v>121.71</v>
      </c>
      <c r="AD17" t="n">
        <v>2963.57</v>
      </c>
      <c r="AE17" t="n">
        <v>-1</v>
      </c>
      <c r="AF17" t="n">
        <v>15652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3517130</v>
      </c>
      <c r="F18" t="n">
        <v>3131280</v>
      </c>
      <c r="G18" t="n">
        <v>1923362</v>
      </c>
      <c r="H18" t="n">
        <v>1794890</v>
      </c>
      <c r="I18" t="n">
        <v>14.241639</v>
      </c>
      <c r="J18" t="n">
        <v>7.059</v>
      </c>
      <c r="K18" t="n">
        <v>5.853</v>
      </c>
      <c r="L18" t="n">
        <v>4.951</v>
      </c>
      <c r="M18" t="n">
        <v>-163860.75</v>
      </c>
      <c r="N18" t="n">
        <v>-611785</v>
      </c>
      <c r="O18" t="n">
        <v>-354010</v>
      </c>
      <c r="P18" t="n">
        <v>-534621</v>
      </c>
      <c r="Q18" t="n">
        <v>4485</v>
      </c>
      <c r="R18" t="n">
        <v>96.397102</v>
      </c>
      <c r="S18" t="n">
        <v>0</v>
      </c>
      <c r="T18" t="n">
        <v>80.560982</v>
      </c>
      <c r="U18" t="n">
        <v>57.147324</v>
      </c>
      <c r="V18" t="n">
        <v>1386267.125</v>
      </c>
      <c r="W18" t="n">
        <v>3.903285</v>
      </c>
      <c r="X18" t="n">
        <v>204.000107</v>
      </c>
      <c r="Y18" t="n">
        <v>2240.35</v>
      </c>
      <c r="Z18" t="n">
        <v>332.75</v>
      </c>
      <c r="AA18" t="n">
        <v>520.26</v>
      </c>
      <c r="AB18" t="n">
        <v>850.14</v>
      </c>
      <c r="AC18" t="n">
        <v>130.73</v>
      </c>
      <c r="AD18" t="n">
        <v>2448.76</v>
      </c>
      <c r="AE18" t="n">
        <v>-1</v>
      </c>
      <c r="AF18" t="n">
        <v>14254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2131690</v>
      </c>
      <c r="F19" t="n">
        <v>3162620</v>
      </c>
      <c r="G19" t="n">
        <v>1696169</v>
      </c>
      <c r="H19" t="n">
        <v>1612920</v>
      </c>
      <c r="I19" t="n">
        <v>7.599833</v>
      </c>
      <c r="J19" t="n">
        <v>8.856</v>
      </c>
      <c r="K19" t="n">
        <v>5.905</v>
      </c>
      <c r="L19" t="n">
        <v>5.78</v>
      </c>
      <c r="M19" t="n">
        <v>-165605.40625</v>
      </c>
      <c r="N19" t="n">
        <v>-204345</v>
      </c>
      <c r="O19" t="n">
        <v>-155763</v>
      </c>
      <c r="P19" t="n">
        <v>-256897</v>
      </c>
      <c r="Q19" t="n">
        <v>4926</v>
      </c>
      <c r="R19" t="n">
        <v>84.190414</v>
      </c>
      <c r="S19" t="n">
        <v>0</v>
      </c>
      <c r="T19" t="n">
        <v>78.083748</v>
      </c>
      <c r="U19" t="n">
        <v>66.078003</v>
      </c>
      <c r="V19" t="n">
        <v>1988184.875</v>
      </c>
      <c r="W19" t="n">
        <v>6.709565</v>
      </c>
      <c r="X19" t="n">
        <v>86.428078</v>
      </c>
      <c r="Y19" t="n">
        <v>2044.07</v>
      </c>
      <c r="Z19" t="n">
        <v>265.87</v>
      </c>
      <c r="AA19" t="n">
        <v>234.88</v>
      </c>
      <c r="AB19" t="n">
        <v>1015.99</v>
      </c>
      <c r="AC19" t="n">
        <v>100.99</v>
      </c>
      <c r="AD19" t="n">
        <v>2199.77</v>
      </c>
      <c r="AE19" t="n">
        <v>-1</v>
      </c>
      <c r="AF19" t="n">
        <v>15594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2196310</v>
      </c>
      <c r="F20" t="n">
        <v>3092950</v>
      </c>
      <c r="G20" t="n">
        <v>1642733</v>
      </c>
      <c r="H20" t="n">
        <v>1574897</v>
      </c>
      <c r="I20" t="n">
        <v>7.941547</v>
      </c>
      <c r="J20" t="n">
        <v>10.189</v>
      </c>
      <c r="K20" t="n">
        <v>5.615</v>
      </c>
      <c r="L20" t="n">
        <v>5.467</v>
      </c>
      <c r="M20" t="n">
        <v>-180125.625</v>
      </c>
      <c r="N20" t="n">
        <v>-221751</v>
      </c>
      <c r="O20" t="n">
        <v>-151610</v>
      </c>
      <c r="P20" t="n">
        <v>-239464</v>
      </c>
      <c r="Q20" t="n">
        <v>4717</v>
      </c>
      <c r="R20" t="n">
        <v>88.14267700000001</v>
      </c>
      <c r="S20" t="n">
        <v>0</v>
      </c>
      <c r="T20" t="n">
        <v>78.530327</v>
      </c>
      <c r="U20" t="n">
        <v>69.793533</v>
      </c>
      <c r="V20" t="n">
        <v>1661101.25</v>
      </c>
      <c r="W20" t="n">
        <v>5.820746</v>
      </c>
      <c r="X20" t="n">
        <v>81.00020600000001</v>
      </c>
      <c r="Y20" t="n">
        <v>1924.33</v>
      </c>
      <c r="Z20" t="n">
        <v>224.95</v>
      </c>
      <c r="AA20" t="n">
        <v>227.97</v>
      </c>
      <c r="AB20" t="n">
        <v>956.97</v>
      </c>
      <c r="AC20" t="n">
        <v>97</v>
      </c>
      <c r="AD20" t="n">
        <v>2073.25</v>
      </c>
      <c r="AE20" t="n">
        <v>-1</v>
      </c>
      <c r="AF20" t="n">
        <v>14666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2560950</v>
      </c>
      <c r="F21" t="n">
        <v>2050850</v>
      </c>
      <c r="G21" t="n">
        <v>1256604</v>
      </c>
      <c r="H21" t="n">
        <v>1275191</v>
      </c>
      <c r="I21" t="n">
        <v>14.45179</v>
      </c>
      <c r="J21" t="n">
        <v>12.544</v>
      </c>
      <c r="K21" t="n">
        <v>7.72431</v>
      </c>
      <c r="L21" t="n">
        <v>6.975</v>
      </c>
      <c r="M21" t="n">
        <v>-437706.875</v>
      </c>
      <c r="N21" t="n">
        <v>-600541</v>
      </c>
      <c r="O21" t="n">
        <v>-395892</v>
      </c>
      <c r="P21" t="n">
        <v>-526263</v>
      </c>
      <c r="Q21" t="n">
        <v>2643</v>
      </c>
      <c r="R21" t="n">
        <v>25.601589</v>
      </c>
      <c r="S21" t="n">
        <v>0</v>
      </c>
      <c r="T21" t="n">
        <v>68.789627</v>
      </c>
      <c r="U21" t="n">
        <v>62.000561</v>
      </c>
      <c r="V21" t="n">
        <v>835783.875</v>
      </c>
      <c r="W21" t="n">
        <v>3.979715</v>
      </c>
      <c r="X21" t="n">
        <v>171.000107</v>
      </c>
      <c r="Y21" t="n">
        <v>2208.69</v>
      </c>
      <c r="Z21" t="n">
        <v>252.88</v>
      </c>
      <c r="AA21" t="n">
        <v>325.22</v>
      </c>
      <c r="AB21" t="n">
        <v>513.23</v>
      </c>
      <c r="AC21" t="n">
        <v>96.61</v>
      </c>
      <c r="AD21" t="n">
        <v>2362.8</v>
      </c>
      <c r="AE21" t="n">
        <v>-1</v>
      </c>
      <c r="AF21" t="n">
        <v>9085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957516</v>
      </c>
      <c r="F22" t="n">
        <v>1747510</v>
      </c>
      <c r="G22" t="n">
        <v>847349</v>
      </c>
      <c r="H22" t="n">
        <v>1033424</v>
      </c>
      <c r="I22" t="n">
        <v>10.686997</v>
      </c>
      <c r="J22" t="n">
        <v>12.902</v>
      </c>
      <c r="K22" t="n">
        <v>9.32587</v>
      </c>
      <c r="L22" t="n">
        <v>8.355</v>
      </c>
      <c r="M22" t="n">
        <v>-162550.875</v>
      </c>
      <c r="N22" t="n">
        <v>-270317</v>
      </c>
      <c r="O22" t="n">
        <v>-198742</v>
      </c>
      <c r="P22" t="n">
        <v>-258200</v>
      </c>
      <c r="Q22" t="n">
        <v>1768</v>
      </c>
      <c r="R22" t="n">
        <v>12.989253</v>
      </c>
      <c r="S22" t="n">
        <v>0</v>
      </c>
      <c r="T22" t="n">
        <v>77.387947</v>
      </c>
      <c r="U22" t="n">
        <v>70.636627</v>
      </c>
      <c r="V22" t="n">
        <v>894139.1875</v>
      </c>
      <c r="W22" t="n">
        <v>9.821173</v>
      </c>
      <c r="X22" t="n">
        <v>83.99990099999999</v>
      </c>
      <c r="Y22" t="n">
        <v>662.22</v>
      </c>
      <c r="Z22" t="n">
        <v>100.75</v>
      </c>
      <c r="AA22" t="n">
        <v>169.45</v>
      </c>
      <c r="AB22" t="n">
        <v>233.52</v>
      </c>
      <c r="AC22" t="n">
        <v>77.41</v>
      </c>
      <c r="AD22" t="n">
        <v>761.78</v>
      </c>
      <c r="AE22" t="n">
        <v>-1</v>
      </c>
      <c r="AF22" t="n">
        <v>4946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185863</v>
      </c>
      <c r="F23" t="n">
        <v>155558</v>
      </c>
      <c r="G23" t="n">
        <v>122078</v>
      </c>
      <c r="H23" t="n">
        <v>120483</v>
      </c>
      <c r="I23" t="n">
        <v>14.415897</v>
      </c>
      <c r="J23" t="n">
        <v>5.81654</v>
      </c>
      <c r="K23" t="n">
        <v>5.693</v>
      </c>
      <c r="L23" t="n">
        <v>4.791</v>
      </c>
      <c r="M23" t="n">
        <v>-32042.181641</v>
      </c>
      <c r="N23" t="n">
        <v>-53511.4</v>
      </c>
      <c r="O23" t="n">
        <v>-43660.8</v>
      </c>
      <c r="P23" t="n">
        <v>-53276.8</v>
      </c>
      <c r="Q23" t="n">
        <v>226</v>
      </c>
      <c r="R23" t="n">
        <v>40.455753</v>
      </c>
      <c r="S23" t="n">
        <v>0</v>
      </c>
      <c r="T23" t="n">
        <v>57.756886</v>
      </c>
      <c r="U23" t="n">
        <v>52.995293</v>
      </c>
      <c r="V23" t="n">
        <v>56908.476562</v>
      </c>
      <c r="W23" t="n">
        <v>2.412705</v>
      </c>
      <c r="X23" t="n">
        <v>169</v>
      </c>
      <c r="Y23" t="n">
        <v>310.96</v>
      </c>
      <c r="Z23" t="n">
        <v>20.5</v>
      </c>
      <c r="AA23" t="n">
        <v>30.35</v>
      </c>
      <c r="AB23" t="n">
        <v>18.31</v>
      </c>
      <c r="AC23" t="n">
        <v>8.42</v>
      </c>
      <c r="AD23" t="n">
        <v>326.99</v>
      </c>
      <c r="AE23" t="n">
        <v>-1</v>
      </c>
      <c r="AF23" t="n">
        <v>1058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rocket31_stratix10_arch_timing.blif</t>
        </is>
      </c>
      <c r="C24" t="inlineStr">
        <is>
          <t>common</t>
        </is>
      </c>
      <c r="D24" t="inlineStr">
        <is>
          <t>success</t>
        </is>
      </c>
      <c r="E24" t="n">
        <v>12729300</v>
      </c>
      <c r="F24" t="n">
        <v>68915400</v>
      </c>
      <c r="G24" t="n">
        <v>14988119</v>
      </c>
      <c r="H24" t="n">
        <v>17148607</v>
      </c>
      <c r="I24" t="n">
        <v>24.019197</v>
      </c>
      <c r="J24" t="n">
        <v>66.2822</v>
      </c>
      <c r="K24" t="n">
        <v>16.3514</v>
      </c>
      <c r="L24" t="n">
        <v>16.325</v>
      </c>
      <c r="M24" t="n">
        <v>-7644975.5</v>
      </c>
      <c r="N24" t="n">
        <v>-17093500</v>
      </c>
      <c r="O24" t="n">
        <v>-8812730</v>
      </c>
      <c r="P24" t="n">
        <v>-9056500</v>
      </c>
      <c r="Q24" t="n">
        <v>30129</v>
      </c>
      <c r="R24" t="n">
        <v>13.939062</v>
      </c>
      <c r="S24" t="n">
        <v>0</v>
      </c>
      <c r="T24" t="n">
        <v>78.41937299999999</v>
      </c>
      <c r="U24" t="n">
        <v>69.085945</v>
      </c>
      <c r="V24" t="n">
        <v>49328936</v>
      </c>
      <c r="W24" t="n">
        <v>34.040825</v>
      </c>
      <c r="X24" t="n">
        <v>400.000092</v>
      </c>
      <c r="Y24" t="n">
        <v>25112.04</v>
      </c>
      <c r="Z24" t="n">
        <v>2361.71</v>
      </c>
      <c r="AA24" t="n">
        <v>2842.47</v>
      </c>
      <c r="AB24" t="n">
        <v>18746.89</v>
      </c>
      <c r="AC24" t="n">
        <v>6864.99</v>
      </c>
      <c r="AD24" t="n">
        <v>32337.53</v>
      </c>
      <c r="AE24" t="n">
        <v>-1</v>
      </c>
      <c r="AF24" t="n">
        <v>85963</v>
      </c>
      <c r="AG24" t="n">
        <v>1449111</v>
      </c>
      <c r="AH24" t="n">
        <v/>
      </c>
    </row>
    <row r="25">
      <c r="A25" t="inlineStr">
        <is>
          <t>stratix10_arch.timing.xml</t>
        </is>
      </c>
      <c r="B25" t="inlineStr">
        <is>
          <t>neko_stratix10_arch_timing.blif</t>
        </is>
      </c>
      <c r="C25" t="inlineStr">
        <is>
          <t>common</t>
        </is>
      </c>
      <c r="D25" t="inlineStr">
        <is>
          <t>success</t>
        </is>
      </c>
      <c r="E25" t="n">
        <v>4788170</v>
      </c>
      <c r="F25" t="n">
        <v>8828010</v>
      </c>
      <c r="G25" t="n">
        <v>3965673</v>
      </c>
      <c r="H25" t="n">
        <v>4566457</v>
      </c>
      <c r="I25" t="n">
        <v>20.314381</v>
      </c>
      <c r="J25" t="n">
        <v>26.0031</v>
      </c>
      <c r="K25" t="n">
        <v>14.7681</v>
      </c>
      <c r="L25" t="n">
        <v>13.622</v>
      </c>
      <c r="M25" t="n">
        <v>-1634246.5</v>
      </c>
      <c r="N25" t="n">
        <v>-3344200</v>
      </c>
      <c r="O25" t="n">
        <v>-2353350</v>
      </c>
      <c r="P25" t="n">
        <v>-2986960</v>
      </c>
      <c r="Q25" t="n">
        <v>6498</v>
      </c>
      <c r="R25" t="n">
        <v>54.744537</v>
      </c>
      <c r="S25" t="n">
        <v>0</v>
      </c>
      <c r="T25" t="n">
        <v>68.855087</v>
      </c>
      <c r="U25" t="n">
        <v>76.228577</v>
      </c>
      <c r="V25" t="n">
        <v>6631025.5</v>
      </c>
      <c r="W25" t="n">
        <v>21.76383</v>
      </c>
      <c r="X25" t="n">
        <v>119.000206</v>
      </c>
      <c r="Y25" t="n">
        <v>3763.38</v>
      </c>
      <c r="Z25" t="n">
        <v>367.64</v>
      </c>
      <c r="AA25" t="n">
        <v>545.66</v>
      </c>
      <c r="AB25" t="n">
        <v>2260.71</v>
      </c>
      <c r="AC25" t="n">
        <v>1236.68</v>
      </c>
      <c r="AD25" t="n">
        <v>5076.49</v>
      </c>
      <c r="AE25" t="n">
        <v>-1</v>
      </c>
      <c r="AF25" t="n">
        <v>23045</v>
      </c>
      <c r="AG25" t="n">
        <v>304681</v>
      </c>
      <c r="AH25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78744600</v>
      </c>
      <c r="G2" t="n">
        <v>9071147</v>
      </c>
      <c r="H2" t="n">
        <v>8642131</v>
      </c>
      <c r="I2" t="n">
        <v>-1</v>
      </c>
      <c r="J2" t="n">
        <v>18.525</v>
      </c>
      <c r="K2" t="n">
        <v>6.188</v>
      </c>
      <c r="L2" t="n">
        <v>10.02</v>
      </c>
      <c r="M2" t="n">
        <v>-1</v>
      </c>
      <c r="N2" t="n">
        <v>-1906800</v>
      </c>
      <c r="O2" t="n">
        <v>-614195</v>
      </c>
      <c r="P2" t="n">
        <v>-1100180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749.73</v>
      </c>
      <c r="AD2" t="n">
        <v>8293.799999999999</v>
      </c>
      <c r="AE2" t="n">
        <v>-1</v>
      </c>
      <c r="AF2" t="n">
        <v>40820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98959200</v>
      </c>
      <c r="G3" t="n">
        <v>8683006</v>
      </c>
      <c r="H3" t="n">
        <v>8478440</v>
      </c>
      <c r="I3" t="n">
        <v>-1</v>
      </c>
      <c r="J3" t="n">
        <v>17.522</v>
      </c>
      <c r="K3" t="n">
        <v>7.1605</v>
      </c>
      <c r="L3" t="n">
        <v>9.023999999999999</v>
      </c>
      <c r="M3" t="n">
        <v>-1</v>
      </c>
      <c r="N3" t="n">
        <v>-2415640</v>
      </c>
      <c r="O3" t="n">
        <v>-903692</v>
      </c>
      <c r="P3" t="n">
        <v>-1696800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2021.51</v>
      </c>
      <c r="AD3" t="n">
        <v>8335.33</v>
      </c>
      <c r="AE3" t="n">
        <v>-1</v>
      </c>
      <c r="AF3" t="n">
        <v>31135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101333000</v>
      </c>
      <c r="G4" t="n">
        <v>9013052</v>
      </c>
      <c r="H4" t="n">
        <v>8912079</v>
      </c>
      <c r="I4" t="n">
        <v>-1</v>
      </c>
      <c r="J4" t="n">
        <v>17.407</v>
      </c>
      <c r="K4" t="n">
        <v>6.2443</v>
      </c>
      <c r="L4" t="n">
        <v>9.717000000000001</v>
      </c>
      <c r="M4" t="n">
        <v>-1</v>
      </c>
      <c r="N4" t="n">
        <v>-2216320</v>
      </c>
      <c r="O4" t="n">
        <v>-936680</v>
      </c>
      <c r="P4" t="n">
        <v>-1819740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3318.21</v>
      </c>
      <c r="AD4" t="n">
        <v>9670.48</v>
      </c>
      <c r="AE4" t="n">
        <v>-1</v>
      </c>
      <c r="AF4" t="n">
        <v>30718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97437700</v>
      </c>
      <c r="G5" t="n">
        <v>8405471</v>
      </c>
      <c r="H5" t="n">
        <v>8334358</v>
      </c>
      <c r="I5" t="n">
        <v>-1</v>
      </c>
      <c r="J5" t="n">
        <v>16.2413</v>
      </c>
      <c r="K5" t="n">
        <v>6.4665</v>
      </c>
      <c r="L5" t="n">
        <v>7.1193</v>
      </c>
      <c r="M5" t="n">
        <v>-1</v>
      </c>
      <c r="N5" t="n">
        <v>-1957970</v>
      </c>
      <c r="O5" t="n">
        <v>-936066</v>
      </c>
      <c r="P5" t="n">
        <v>-1702950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1729.89</v>
      </c>
      <c r="AD5" t="n">
        <v>7785.54</v>
      </c>
      <c r="AE5" t="n">
        <v>-1</v>
      </c>
      <c r="AF5" t="n">
        <v>29827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133689000</v>
      </c>
      <c r="G6" t="n">
        <v>8996580</v>
      </c>
      <c r="H6" t="n">
        <v>10703701</v>
      </c>
      <c r="I6" t="n">
        <v>-1</v>
      </c>
      <c r="J6" t="n">
        <v>74.898</v>
      </c>
      <c r="K6" t="n">
        <v>15.3237</v>
      </c>
      <c r="L6" t="n">
        <v>15.204</v>
      </c>
      <c r="M6" t="n">
        <v>-1</v>
      </c>
      <c r="N6" t="n">
        <v>-17642300</v>
      </c>
      <c r="O6" t="n">
        <v>-4729380</v>
      </c>
      <c r="P6" t="n">
        <v>-4981580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2779.68</v>
      </c>
      <c r="AD6" t="n">
        <v>16078.08</v>
      </c>
      <c r="AE6" t="n">
        <v>-1</v>
      </c>
      <c r="AF6" t="n">
        <v>46664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64401600</v>
      </c>
      <c r="G7" t="n">
        <v>8087815</v>
      </c>
      <c r="H7" t="n">
        <v>8015690</v>
      </c>
      <c r="I7" t="n">
        <v>-1</v>
      </c>
      <c r="J7" t="n">
        <v>17.515</v>
      </c>
      <c r="K7" t="n">
        <v>5.19</v>
      </c>
      <c r="L7" t="n">
        <v>7.62</v>
      </c>
      <c r="M7" t="n">
        <v>-1</v>
      </c>
      <c r="N7" t="n">
        <v>-1581360</v>
      </c>
      <c r="O7" t="n">
        <v>-495973</v>
      </c>
      <c r="P7" t="n">
        <v>-898044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1145.98</v>
      </c>
      <c r="AD7" t="n">
        <v>6993.24</v>
      </c>
      <c r="AE7" t="n">
        <v>-1</v>
      </c>
      <c r="AF7" t="n">
        <v>33049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57962100</v>
      </c>
      <c r="G8" t="n">
        <v>7091401</v>
      </c>
      <c r="H8" t="n">
        <v>6882883</v>
      </c>
      <c r="I8" t="n">
        <v>-1</v>
      </c>
      <c r="J8" t="n">
        <v>16.058</v>
      </c>
      <c r="K8" t="n">
        <v>4.3713</v>
      </c>
      <c r="L8" t="n">
        <v>7.831</v>
      </c>
      <c r="M8" t="n">
        <v>-1</v>
      </c>
      <c r="N8" t="n">
        <v>-1525300</v>
      </c>
      <c r="O8" t="n">
        <v>-466445</v>
      </c>
      <c r="P8" t="n">
        <v>-848460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408.89</v>
      </c>
      <c r="AD8" t="n">
        <v>5711.42</v>
      </c>
      <c r="AE8" t="n">
        <v>-1</v>
      </c>
      <c r="AF8" t="n">
        <v>31687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52794800</v>
      </c>
      <c r="G9" t="n">
        <v>5078194</v>
      </c>
      <c r="H9" t="n">
        <v>4559474</v>
      </c>
      <c r="I9" t="n">
        <v>-1</v>
      </c>
      <c r="J9" t="n">
        <v>20.485</v>
      </c>
      <c r="K9" t="n">
        <v>5.693</v>
      </c>
      <c r="L9" t="n">
        <v>5.93</v>
      </c>
      <c r="M9" t="n">
        <v>-1</v>
      </c>
      <c r="N9" t="n">
        <v>-1619460</v>
      </c>
      <c r="O9" t="n">
        <v>-748636</v>
      </c>
      <c r="P9" t="n">
        <v>-1084240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774.52</v>
      </c>
      <c r="AD9" t="n">
        <v>8254.73</v>
      </c>
      <c r="AE9" t="n">
        <v>-1</v>
      </c>
      <c r="AF9" t="n">
        <v>26650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51211700</v>
      </c>
      <c r="G10" t="n">
        <v>4813216</v>
      </c>
      <c r="H10" t="n">
        <v>4472628</v>
      </c>
      <c r="I10" t="n">
        <v>-1</v>
      </c>
      <c r="J10" t="n">
        <v>29.663</v>
      </c>
      <c r="K10" t="n">
        <v>7.012</v>
      </c>
      <c r="L10" t="n">
        <v>7.044</v>
      </c>
      <c r="M10" t="n">
        <v>-1</v>
      </c>
      <c r="N10" t="n">
        <v>-2403190</v>
      </c>
      <c r="O10" t="n">
        <v>-965559</v>
      </c>
      <c r="P10" t="n">
        <v>-1297860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263.12</v>
      </c>
      <c r="AD10" t="n">
        <v>7328</v>
      </c>
      <c r="AE10" t="n">
        <v>-1</v>
      </c>
      <c r="AF10" t="n">
        <v>25506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37180600</v>
      </c>
      <c r="G11" t="n">
        <v>2519929</v>
      </c>
      <c r="H11" t="n">
        <v>1821278</v>
      </c>
      <c r="I11" t="n">
        <v>-1</v>
      </c>
      <c r="J11" t="n">
        <v>15.53</v>
      </c>
      <c r="K11" t="n">
        <v>5.115</v>
      </c>
      <c r="L11" t="n">
        <v>5.513</v>
      </c>
      <c r="M11" t="n">
        <v>-1</v>
      </c>
      <c r="N11" t="n">
        <v>-1322450</v>
      </c>
      <c r="O11" t="n">
        <v>-215252</v>
      </c>
      <c r="P11" t="n">
        <v>-222621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163.29</v>
      </c>
      <c r="AD11" t="n">
        <v>4664.8</v>
      </c>
      <c r="AE11" t="n">
        <v>-1</v>
      </c>
      <c r="AF11" t="n">
        <v>24690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40001100</v>
      </c>
      <c r="G12" t="n">
        <v>3855174</v>
      </c>
      <c r="H12" t="n">
        <v>3445521</v>
      </c>
      <c r="I12" t="n">
        <v>-1</v>
      </c>
      <c r="J12" t="n">
        <v>31.055</v>
      </c>
      <c r="K12" t="n">
        <v>5.749</v>
      </c>
      <c r="L12" t="n">
        <v>5.888</v>
      </c>
      <c r="M12" t="n">
        <v>-1</v>
      </c>
      <c r="N12" t="n">
        <v>-1330230</v>
      </c>
      <c r="O12" t="n">
        <v>-521737</v>
      </c>
      <c r="P12" t="n">
        <v>-749226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172.75</v>
      </c>
      <c r="AD12" t="n">
        <v>5572.33</v>
      </c>
      <c r="AE12" t="n">
        <v>-1</v>
      </c>
      <c r="AF12" t="n">
        <v>21835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32786100</v>
      </c>
      <c r="G13" t="n">
        <v>2605229</v>
      </c>
      <c r="H13" t="n">
        <v>2286261</v>
      </c>
      <c r="I13" t="n">
        <v>-1</v>
      </c>
      <c r="J13" t="n">
        <v>30.479</v>
      </c>
      <c r="K13" t="n">
        <v>5.818</v>
      </c>
      <c r="L13" t="n">
        <v>5.208</v>
      </c>
      <c r="M13" t="n">
        <v>-1</v>
      </c>
      <c r="N13" t="n">
        <v>-1720220</v>
      </c>
      <c r="O13" t="n">
        <v>-467292</v>
      </c>
      <c r="P13" t="n">
        <v>-676356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162.54</v>
      </c>
      <c r="AD13" t="n">
        <v>3957.65</v>
      </c>
      <c r="AE13" t="n">
        <v>-1</v>
      </c>
      <c r="AF13" t="n">
        <v>16690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30061800</v>
      </c>
      <c r="G14" t="n">
        <v>2634139</v>
      </c>
      <c r="H14" t="n">
        <v>2350630</v>
      </c>
      <c r="I14" t="n">
        <v>-1</v>
      </c>
      <c r="J14" t="n">
        <v>29.8462</v>
      </c>
      <c r="K14" t="n">
        <v>7.104</v>
      </c>
      <c r="L14" t="n">
        <v>6.939</v>
      </c>
      <c r="M14" t="n">
        <v>-1</v>
      </c>
      <c r="N14" t="n">
        <v>-1386230</v>
      </c>
      <c r="O14" t="n">
        <v>-399617</v>
      </c>
      <c r="P14" t="n">
        <v>-641374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142.3</v>
      </c>
      <c r="AD14" t="n">
        <v>3905.66</v>
      </c>
      <c r="AE14" t="n">
        <v>-1</v>
      </c>
      <c r="AF14" t="n">
        <v>16645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24054800</v>
      </c>
      <c r="G15" t="n">
        <v>2814943</v>
      </c>
      <c r="H15" t="n">
        <v>2709976</v>
      </c>
      <c r="I15" t="n">
        <v>-1</v>
      </c>
      <c r="J15" t="n">
        <v>24.173</v>
      </c>
      <c r="K15" t="n">
        <v>6.213</v>
      </c>
      <c r="L15" t="n">
        <v>6.48</v>
      </c>
      <c r="M15" t="n">
        <v>-1</v>
      </c>
      <c r="N15" t="n">
        <v>-767497</v>
      </c>
      <c r="O15" t="n">
        <v>-232220</v>
      </c>
      <c r="P15" t="n">
        <v>-366412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143.13</v>
      </c>
      <c r="AD15" t="n">
        <v>3169.3</v>
      </c>
      <c r="AE15" t="n">
        <v>-1</v>
      </c>
      <c r="AF15" t="n">
        <v>17730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24590800</v>
      </c>
      <c r="G16" t="n">
        <v>2653404</v>
      </c>
      <c r="H16" t="n">
        <v>2685300</v>
      </c>
      <c r="I16" t="n">
        <v>-1</v>
      </c>
      <c r="J16" t="n">
        <v>20.669</v>
      </c>
      <c r="K16" t="n">
        <v>5.79772</v>
      </c>
      <c r="L16" t="n">
        <v>5.558</v>
      </c>
      <c r="M16" t="n">
        <v>-1</v>
      </c>
      <c r="N16" t="n">
        <v>-1313190</v>
      </c>
      <c r="O16" t="n">
        <v>-465556</v>
      </c>
      <c r="P16" t="n">
        <v>-745724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185.37</v>
      </c>
      <c r="AD16" t="n">
        <v>3375.26</v>
      </c>
      <c r="AE16" t="n">
        <v>-1</v>
      </c>
      <c r="AF16" t="n">
        <v>14730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21345000</v>
      </c>
      <c r="G17" t="n">
        <v>2085431</v>
      </c>
      <c r="H17" t="n">
        <v>1809109</v>
      </c>
      <c r="I17" t="n">
        <v>-1</v>
      </c>
      <c r="J17" t="n">
        <v>17.979</v>
      </c>
      <c r="K17" t="n">
        <v>5.782</v>
      </c>
      <c r="L17" t="n">
        <v>5.181</v>
      </c>
      <c r="M17" t="n">
        <v>-1</v>
      </c>
      <c r="N17" t="n">
        <v>-1101640</v>
      </c>
      <c r="O17" t="n">
        <v>-389934</v>
      </c>
      <c r="P17" t="n">
        <v>-538181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127.26</v>
      </c>
      <c r="AD17" t="n">
        <v>2937.62</v>
      </c>
      <c r="AE17" t="n">
        <v>-1</v>
      </c>
      <c r="AF17" t="n">
        <v>14239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19508900</v>
      </c>
      <c r="G18" t="n">
        <v>2219681</v>
      </c>
      <c r="H18" t="n">
        <v>2126765</v>
      </c>
      <c r="I18" t="n">
        <v>-1</v>
      </c>
      <c r="J18" t="n">
        <v>19.413</v>
      </c>
      <c r="K18" t="n">
        <v>5.955</v>
      </c>
      <c r="L18" t="n">
        <v>5.73</v>
      </c>
      <c r="M18" t="n">
        <v>-1</v>
      </c>
      <c r="N18" t="n">
        <v>-954885</v>
      </c>
      <c r="O18" t="n">
        <v>-355123</v>
      </c>
      <c r="P18" t="n">
        <v>-544106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141.16</v>
      </c>
      <c r="AD18" t="n">
        <v>2650.28</v>
      </c>
      <c r="AE18" t="n">
        <v>-1</v>
      </c>
      <c r="AF18" t="n">
        <v>12755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16758800</v>
      </c>
      <c r="G19" t="n">
        <v>1852612</v>
      </c>
      <c r="H19" t="n">
        <v>1800254</v>
      </c>
      <c r="I19" t="n">
        <v>-1</v>
      </c>
      <c r="J19" t="n">
        <v>16.74</v>
      </c>
      <c r="K19" t="n">
        <v>6.222</v>
      </c>
      <c r="L19" t="n">
        <v>6.152</v>
      </c>
      <c r="M19" t="n">
        <v>-1</v>
      </c>
      <c r="N19" t="n">
        <v>-633153</v>
      </c>
      <c r="O19" t="n">
        <v>-179622</v>
      </c>
      <c r="P19" t="n">
        <v>-304822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100.95</v>
      </c>
      <c r="AD19" t="n">
        <v>2091.47</v>
      </c>
      <c r="AE19" t="n">
        <v>-1</v>
      </c>
      <c r="AF19" t="n">
        <v>12522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14989600</v>
      </c>
      <c r="G20" t="n">
        <v>1748677</v>
      </c>
      <c r="H20" t="n">
        <v>1697422</v>
      </c>
      <c r="I20" t="n">
        <v>-1</v>
      </c>
      <c r="J20" t="n">
        <v>18.728</v>
      </c>
      <c r="K20" t="n">
        <v>6.14271</v>
      </c>
      <c r="L20" t="n">
        <v>6.081</v>
      </c>
      <c r="M20" t="n">
        <v>-1</v>
      </c>
      <c r="N20" t="n">
        <v>-578170</v>
      </c>
      <c r="O20" t="n">
        <v>-164861</v>
      </c>
      <c r="P20" t="n">
        <v>-286938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97.90000000000001</v>
      </c>
      <c r="AD20" t="n">
        <v>2016.47</v>
      </c>
      <c r="AE20" t="n">
        <v>-1</v>
      </c>
      <c r="AF20" t="n">
        <v>12168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13505900</v>
      </c>
      <c r="G21" t="n">
        <v>1457718</v>
      </c>
      <c r="H21" t="n">
        <v>1533491</v>
      </c>
      <c r="I21" t="n">
        <v>-1</v>
      </c>
      <c r="J21" t="n">
        <v>37.003</v>
      </c>
      <c r="K21" t="n">
        <v>7.47551</v>
      </c>
      <c r="L21" t="n">
        <v>6.645</v>
      </c>
      <c r="M21" t="n">
        <v>-1</v>
      </c>
      <c r="N21" t="n">
        <v>-1145470</v>
      </c>
      <c r="O21" t="n">
        <v>-398758</v>
      </c>
      <c r="P21" t="n">
        <v>-520093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106.65</v>
      </c>
      <c r="AD21" t="n">
        <v>2381.81</v>
      </c>
      <c r="AE21" t="n">
        <v>-1</v>
      </c>
      <c r="AF21" t="n">
        <v>8606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5201720</v>
      </c>
      <c r="G22" t="n">
        <v>999672</v>
      </c>
      <c r="H22" t="n">
        <v>1275548</v>
      </c>
      <c r="I22" t="n">
        <v>-1</v>
      </c>
      <c r="J22" t="n">
        <v>21.8646</v>
      </c>
      <c r="K22" t="n">
        <v>8.99105</v>
      </c>
      <c r="L22" t="n">
        <v>9.77</v>
      </c>
      <c r="M22" t="n">
        <v>-1</v>
      </c>
      <c r="N22" t="n">
        <v>-437149</v>
      </c>
      <c r="O22" t="n">
        <v>-203049</v>
      </c>
      <c r="P22" t="n">
        <v>-282507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112.87</v>
      </c>
      <c r="AD22" t="n">
        <v>742.71</v>
      </c>
      <c r="AE22" t="n">
        <v>-1</v>
      </c>
      <c r="AF22" t="n">
        <v>4482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594649</v>
      </c>
      <c r="G23" t="n">
        <v>126639</v>
      </c>
      <c r="H23" t="n">
        <v>123436</v>
      </c>
      <c r="I23" t="n">
        <v>-1</v>
      </c>
      <c r="J23" t="n">
        <v>8.997</v>
      </c>
      <c r="K23" t="n">
        <v>5.693</v>
      </c>
      <c r="L23" t="n">
        <v>4.791</v>
      </c>
      <c r="M23" t="n">
        <v>-1</v>
      </c>
      <c r="N23" t="n">
        <v>-69352.10000000001</v>
      </c>
      <c r="O23" t="n">
        <v>-38961.4</v>
      </c>
      <c r="P23" t="n">
        <v>-49046.3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7.45</v>
      </c>
      <c r="AD23" t="n">
        <v>278.32</v>
      </c>
      <c r="AE23" t="n">
        <v>-1</v>
      </c>
      <c r="AF23" t="n">
        <v>882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rocket31_stratix10_arch_timing.blif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-1</v>
      </c>
      <c r="F24" t="n">
        <v>278892000</v>
      </c>
      <c r="G24" t="n">
        <v>17874619</v>
      </c>
      <c r="H24" t="n">
        <v>-1</v>
      </c>
      <c r="I24" t="n">
        <v>-1</v>
      </c>
      <c r="J24" t="n">
        <v>78.194</v>
      </c>
      <c r="K24" t="n">
        <v>17.6192</v>
      </c>
      <c r="L24" t="n">
        <v>-1</v>
      </c>
      <c r="M24" t="n">
        <v>-1</v>
      </c>
      <c r="N24" t="n">
        <v>-36967200</v>
      </c>
      <c r="O24" t="n">
        <v>-9217880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84614</v>
      </c>
      <c r="AG24" t="n">
        <v>1449111</v>
      </c>
      <c r="AH24" t="n">
        <v/>
      </c>
    </row>
    <row r="25">
      <c r="A25" t="inlineStr">
        <is>
          <t>stratix10_arch.timing.xml</t>
        </is>
      </c>
      <c r="B25" t="inlineStr">
        <is>
          <t>neko_stratix10_arch_timing.blif</t>
        </is>
      </c>
      <c r="C25" t="inlineStr">
        <is>
          <t>common</t>
        </is>
      </c>
      <c r="D25" t="inlineStr">
        <is>
          <t>exited with return code -15</t>
        </is>
      </c>
      <c r="E25" t="n">
        <v>-1</v>
      </c>
      <c r="F25" t="n">
        <v>35415000</v>
      </c>
      <c r="G25" t="n">
        <v>4829051</v>
      </c>
      <c r="H25" t="n">
        <v>-1</v>
      </c>
      <c r="I25" t="n">
        <v>-1</v>
      </c>
      <c r="J25" t="n">
        <v>61.724</v>
      </c>
      <c r="K25" t="n">
        <v>13.9714</v>
      </c>
      <c r="L25" t="n">
        <v>-1</v>
      </c>
      <c r="M25" t="n">
        <v>-1</v>
      </c>
      <c r="N25" t="n">
        <v>-5138400</v>
      </c>
      <c r="O25" t="n">
        <v>-2637940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20004</v>
      </c>
      <c r="AG25" t="n">
        <v>304681</v>
      </c>
      <c r="AH25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6895.94</v>
      </c>
      <c r="F2" t="n">
        <v>11250</v>
      </c>
      <c r="G2" t="n">
        <v>9746</v>
      </c>
      <c r="H2" t="n">
        <v>19409</v>
      </c>
      <c r="I2" t="n">
        <v>2.023157</v>
      </c>
      <c r="J2" t="n">
        <v>5.46413</v>
      </c>
      <c r="K2" t="n">
        <v>5.46413</v>
      </c>
      <c r="L2" t="n">
        <v>18.4398</v>
      </c>
      <c r="M2" t="n">
        <v>-13.015519</v>
      </c>
      <c r="N2" t="n">
        <v>-34.8339</v>
      </c>
      <c r="O2" t="n">
        <v>-34.8339</v>
      </c>
      <c r="P2" t="n">
        <v>-122.666</v>
      </c>
      <c r="Q2" t="n">
        <v>210</v>
      </c>
      <c r="R2" t="n">
        <v>1.761905</v>
      </c>
      <c r="S2" t="n">
        <v>0</v>
      </c>
      <c r="T2" t="n">
        <v>86.25</v>
      </c>
      <c r="U2" t="n">
        <v>61.204662</v>
      </c>
      <c r="V2" t="n">
        <v>3657.459473</v>
      </c>
      <c r="W2" t="n">
        <v>2.368821</v>
      </c>
      <c r="X2" t="n">
        <v>24.000198</v>
      </c>
      <c r="Y2" t="n">
        <v>12.19</v>
      </c>
      <c r="Z2" t="n">
        <v>0.84</v>
      </c>
      <c r="AA2" t="n">
        <v>8.66</v>
      </c>
      <c r="AB2" t="n">
        <v>0.41</v>
      </c>
      <c r="AC2" t="n">
        <v>2.72</v>
      </c>
      <c r="AD2" t="n">
        <v>15.19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7194.31</v>
      </c>
      <c r="F3" t="n">
        <v>12596.7</v>
      </c>
      <c r="G3" t="n">
        <v>10141</v>
      </c>
      <c r="H3" t="n">
        <v>20347</v>
      </c>
      <c r="I3" t="n">
        <v>1.759012</v>
      </c>
      <c r="J3" t="n">
        <v>4.27225</v>
      </c>
      <c r="K3" t="n">
        <v>4.27225</v>
      </c>
      <c r="L3" t="n">
        <v>21.3756</v>
      </c>
      <c r="M3" t="n">
        <v>-30.077353</v>
      </c>
      <c r="N3" t="n">
        <v>-72.62820000000001</v>
      </c>
      <c r="O3" t="n">
        <v>-72.62820000000001</v>
      </c>
      <c r="P3" t="n">
        <v>-349.672</v>
      </c>
      <c r="Q3" t="n">
        <v>172</v>
      </c>
      <c r="R3" t="n">
        <v>1</v>
      </c>
      <c r="S3" t="n">
        <v>0</v>
      </c>
      <c r="T3" t="n">
        <v>76.428574</v>
      </c>
      <c r="U3" t="n">
        <v>50.775192</v>
      </c>
      <c r="V3" t="n">
        <v>2804.240967</v>
      </c>
      <c r="W3" t="n">
        <v>2.17383</v>
      </c>
      <c r="X3" t="n">
        <v>24.026779</v>
      </c>
      <c r="Y3" t="n">
        <v>3.78</v>
      </c>
      <c r="Z3" t="n">
        <v>0.64</v>
      </c>
      <c r="AA3" t="n">
        <v>0.53</v>
      </c>
      <c r="AB3" t="n">
        <v>0.35</v>
      </c>
      <c r="AC3" t="n">
        <v>2.64</v>
      </c>
      <c r="AD3" t="n">
        <v>6.69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7427.44</v>
      </c>
      <c r="F4" t="n">
        <v>12831.2</v>
      </c>
      <c r="G4" t="n">
        <v>9545</v>
      </c>
      <c r="H4" t="n">
        <v>16536</v>
      </c>
      <c r="I4" t="n">
        <v>1.476578</v>
      </c>
      <c r="J4" t="n">
        <v>3.24207</v>
      </c>
      <c r="K4" t="n">
        <v>3.24207</v>
      </c>
      <c r="L4" t="n">
        <v>10.8062</v>
      </c>
      <c r="M4" t="n">
        <v>-485.615143</v>
      </c>
      <c r="N4" t="n">
        <v>-722.847</v>
      </c>
      <c r="O4" t="n">
        <v>-722.847</v>
      </c>
      <c r="P4" t="n">
        <v>-2418.64</v>
      </c>
      <c r="Q4" t="n">
        <v>210</v>
      </c>
      <c r="R4" t="n">
        <v>5.976191</v>
      </c>
      <c r="S4" t="n">
        <v>0</v>
      </c>
      <c r="T4" t="n">
        <v>25.396826</v>
      </c>
      <c r="U4" t="n">
        <v>25.052454</v>
      </c>
      <c r="V4" t="n">
        <v>2443.546143</v>
      </c>
      <c r="W4" t="n">
        <v>1.025408</v>
      </c>
      <c r="X4" t="n">
        <v>16.979027</v>
      </c>
      <c r="Y4" t="n">
        <v>16.44</v>
      </c>
      <c r="Z4" t="n">
        <v>0.85</v>
      </c>
      <c r="AA4" t="n">
        <v>12.38</v>
      </c>
      <c r="AB4" t="n">
        <v>0.88</v>
      </c>
      <c r="AC4" t="n">
        <v>1.21</v>
      </c>
      <c r="AD4" t="n">
        <v>17.95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8815.9</v>
      </c>
      <c r="F5" t="n">
        <v>13522.9</v>
      </c>
      <c r="G5" t="n">
        <v>10732</v>
      </c>
      <c r="H5" t="n">
        <v>19026</v>
      </c>
      <c r="I5" t="n">
        <v>1.759012</v>
      </c>
      <c r="J5" t="n">
        <v>4.78112</v>
      </c>
      <c r="K5" t="n">
        <v>4.78112</v>
      </c>
      <c r="L5" t="n">
        <v>18.3048</v>
      </c>
      <c r="M5" t="n">
        <v>-292.282196</v>
      </c>
      <c r="N5" t="n">
        <v>-695.759</v>
      </c>
      <c r="O5" t="n">
        <v>-695.759</v>
      </c>
      <c r="P5" t="n">
        <v>-2583.17</v>
      </c>
      <c r="Q5" t="n">
        <v>213</v>
      </c>
      <c r="R5" t="n">
        <v>3.300469</v>
      </c>
      <c r="S5" t="n">
        <v>0</v>
      </c>
      <c r="T5" t="n">
        <v>28.314917</v>
      </c>
      <c r="U5" t="n">
        <v>38.814533</v>
      </c>
      <c r="V5" t="n">
        <v>2455.570801</v>
      </c>
      <c r="W5" t="n">
        <v>1.173791</v>
      </c>
      <c r="X5" t="n">
        <v>19.516491</v>
      </c>
      <c r="Y5" t="n">
        <v>14.57</v>
      </c>
      <c r="Z5" t="n">
        <v>0.99</v>
      </c>
      <c r="AA5" t="n">
        <v>10.74</v>
      </c>
      <c r="AB5" t="n">
        <v>0.5600000000000001</v>
      </c>
      <c r="AC5" t="n">
        <v>1.78</v>
      </c>
      <c r="AD5" t="n">
        <v>16.66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7017.29</v>
      </c>
      <c r="F6" t="n">
        <v>11739.7</v>
      </c>
      <c r="G6" t="n">
        <v>8550</v>
      </c>
      <c r="H6" t="n">
        <v>15198</v>
      </c>
      <c r="I6" t="n">
        <v>4.38217</v>
      </c>
      <c r="J6" t="n">
        <v>10.0722</v>
      </c>
      <c r="K6" t="n">
        <v>10.0722</v>
      </c>
      <c r="L6" t="n">
        <v>24.5995</v>
      </c>
      <c r="M6" t="n">
        <v>-706.5426639999999</v>
      </c>
      <c r="N6" t="n">
        <v>-1309.71</v>
      </c>
      <c r="O6" t="n">
        <v>-1309.71</v>
      </c>
      <c r="P6" t="n">
        <v>-4518.87</v>
      </c>
      <c r="Q6" t="n">
        <v>209</v>
      </c>
      <c r="R6" t="n">
        <v>1.119617</v>
      </c>
      <c r="S6" t="n">
        <v>0</v>
      </c>
      <c r="T6" t="n">
        <v>62.290504</v>
      </c>
      <c r="U6" t="n">
        <v>39.361702</v>
      </c>
      <c r="V6" t="n">
        <v>3131.733398</v>
      </c>
      <c r="W6" t="n">
        <v>1.586491</v>
      </c>
      <c r="X6" t="n">
        <v>22.000198</v>
      </c>
      <c r="Y6" t="n">
        <v>5.58</v>
      </c>
      <c r="Z6" t="n">
        <v>0.87</v>
      </c>
      <c r="AA6" t="n">
        <v>2.02</v>
      </c>
      <c r="AB6" t="n">
        <v>0.46</v>
      </c>
      <c r="AC6" t="n">
        <v>1.02</v>
      </c>
      <c r="AD6" t="n">
        <v>6.89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6999.54</v>
      </c>
      <c r="F7" t="n">
        <v>9872.59</v>
      </c>
      <c r="G7" t="n">
        <v>8323</v>
      </c>
      <c r="H7" t="n">
        <v>13854</v>
      </c>
      <c r="I7" t="n">
        <v>1.212434</v>
      </c>
      <c r="J7" t="n">
        <v>3.01792</v>
      </c>
      <c r="K7" t="n">
        <v>3.01792</v>
      </c>
      <c r="L7" t="n">
        <v>11.7701</v>
      </c>
      <c r="M7" t="n">
        <v>-426.449799</v>
      </c>
      <c r="N7" t="n">
        <v>-660.0119999999999</v>
      </c>
      <c r="O7" t="n">
        <v>-660.0119999999999</v>
      </c>
      <c r="P7" t="n">
        <v>-2495.1</v>
      </c>
      <c r="Q7" t="n">
        <v>185</v>
      </c>
      <c r="R7" t="n">
        <v>1</v>
      </c>
      <c r="S7" t="n">
        <v>0</v>
      </c>
      <c r="T7" t="n">
        <v>29.80456</v>
      </c>
      <c r="U7" t="n">
        <v>24.353876</v>
      </c>
      <c r="V7" t="n">
        <v>1139.29126</v>
      </c>
      <c r="W7" t="n">
        <v>0.566248</v>
      </c>
      <c r="X7" t="n">
        <v>15.999999</v>
      </c>
      <c r="Y7" t="n">
        <v>11.15</v>
      </c>
      <c r="Z7" t="n">
        <v>0.59</v>
      </c>
      <c r="AA7" t="n">
        <v>7.97</v>
      </c>
      <c r="AB7" t="n">
        <v>0.36</v>
      </c>
      <c r="AC7" t="n">
        <v>0.99</v>
      </c>
      <c r="AD7" t="n">
        <v>12.41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6559.46</v>
      </c>
      <c r="F8" t="n">
        <v>10810</v>
      </c>
      <c r="G8" t="n">
        <v>9054</v>
      </c>
      <c r="H8" t="n">
        <v>16522</v>
      </c>
      <c r="I8" t="n">
        <v>2.023157</v>
      </c>
      <c r="J8" t="n">
        <v>5.46413</v>
      </c>
      <c r="K8" t="n">
        <v>5.46413</v>
      </c>
      <c r="L8" t="n">
        <v>21.0139</v>
      </c>
      <c r="M8" t="n">
        <v>-85.988174</v>
      </c>
      <c r="N8" t="n">
        <v>-220.856</v>
      </c>
      <c r="O8" t="n">
        <v>-220.856</v>
      </c>
      <c r="P8" t="n">
        <v>-840.127</v>
      </c>
      <c r="Q8" t="n">
        <v>143</v>
      </c>
      <c r="R8" t="n">
        <v>1</v>
      </c>
      <c r="S8" t="n">
        <v>0</v>
      </c>
      <c r="T8" t="n">
        <v>64.835167</v>
      </c>
      <c r="U8" t="n">
        <v>50.220264</v>
      </c>
      <c r="V8" t="n">
        <v>1968.765625</v>
      </c>
      <c r="W8" t="n">
        <v>1.734595</v>
      </c>
      <c r="X8" t="n">
        <v>15.0002</v>
      </c>
      <c r="Y8" t="n">
        <v>3.51</v>
      </c>
      <c r="Z8" t="n">
        <v>0.53</v>
      </c>
      <c r="AA8" t="n">
        <v>0.49</v>
      </c>
      <c r="AB8" t="n">
        <v>0.27</v>
      </c>
      <c r="AC8" t="n">
        <v>1.75</v>
      </c>
      <c r="AD8" t="n">
        <v>5.51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7596.95</v>
      </c>
      <c r="F9" t="n">
        <v>13691.7</v>
      </c>
      <c r="G9" t="n">
        <v>10761</v>
      </c>
      <c r="H9" t="n">
        <v>21305</v>
      </c>
      <c r="I9" t="n">
        <v>2.023157</v>
      </c>
      <c r="J9" t="n">
        <v>4.78112</v>
      </c>
      <c r="K9" t="n">
        <v>4.78112</v>
      </c>
      <c r="L9" t="n">
        <v>20.2203</v>
      </c>
      <c r="M9" t="n">
        <v>-24.097883</v>
      </c>
      <c r="N9" t="n">
        <v>-58.0971</v>
      </c>
      <c r="O9" t="n">
        <v>-58.0971</v>
      </c>
      <c r="P9" t="n">
        <v>-252.303</v>
      </c>
      <c r="Q9" t="n">
        <v>190</v>
      </c>
      <c r="R9" t="n">
        <v>1</v>
      </c>
      <c r="S9" t="n">
        <v>0</v>
      </c>
      <c r="T9" t="n">
        <v>81.272087</v>
      </c>
      <c r="U9" t="n">
        <v>57.122807</v>
      </c>
      <c r="V9" t="n">
        <v>3625.444092</v>
      </c>
      <c r="W9" t="n">
        <v>2.544171</v>
      </c>
      <c r="X9" t="n">
        <v>24.000198</v>
      </c>
      <c r="Y9" t="n">
        <v>4.46</v>
      </c>
      <c r="Z9" t="n">
        <v>0.71</v>
      </c>
      <c r="AA9" t="n">
        <v>1</v>
      </c>
      <c r="AB9" t="n">
        <v>0.54</v>
      </c>
      <c r="AC9" t="n">
        <v>2.88</v>
      </c>
      <c r="AD9" t="n">
        <v>7.62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9155.73</v>
      </c>
      <c r="F10" t="n">
        <v>16746.6</v>
      </c>
      <c r="G10" t="n">
        <v>13100</v>
      </c>
      <c r="H10" t="n">
        <v>25139</v>
      </c>
      <c r="I10" t="n">
        <v>2.023157</v>
      </c>
      <c r="J10" t="n">
        <v>5.46413</v>
      </c>
      <c r="K10" t="n">
        <v>5.46413</v>
      </c>
      <c r="L10" t="n">
        <v>23.9176</v>
      </c>
      <c r="M10" t="n">
        <v>-50.999649</v>
      </c>
      <c r="N10" t="n">
        <v>-132.706</v>
      </c>
      <c r="O10" t="n">
        <v>-132.706</v>
      </c>
      <c r="P10" t="n">
        <v>-587.6559999999999</v>
      </c>
      <c r="Q10" t="n">
        <v>213</v>
      </c>
      <c r="R10" t="n">
        <v>7.032864</v>
      </c>
      <c r="S10" t="n">
        <v>0</v>
      </c>
      <c r="T10" t="n">
        <v>72.891563</v>
      </c>
      <c r="U10" t="n">
        <v>60.460022</v>
      </c>
      <c r="V10" t="n">
        <v>5324.331543</v>
      </c>
      <c r="W10" t="n">
        <v>2.915844</v>
      </c>
      <c r="X10" t="n">
        <v>23.0002</v>
      </c>
      <c r="Y10" t="n">
        <v>12.86</v>
      </c>
      <c r="Z10" t="n">
        <v>0.9</v>
      </c>
      <c r="AA10" t="n">
        <v>9.07</v>
      </c>
      <c r="AB10" t="n">
        <v>0.66</v>
      </c>
      <c r="AC10" t="n">
        <v>3.71</v>
      </c>
      <c r="AD10" t="n">
        <v>16.89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4539.82</v>
      </c>
      <c r="F11" t="n">
        <v>6370.96</v>
      </c>
      <c r="G11" t="n">
        <v>5495</v>
      </c>
      <c r="H11" t="n">
        <v>9376</v>
      </c>
      <c r="I11" t="n">
        <v>4.118025</v>
      </c>
      <c r="J11" t="n">
        <v>9.38922</v>
      </c>
      <c r="K11" t="n">
        <v>9.38922</v>
      </c>
      <c r="L11" t="n">
        <v>22.7618</v>
      </c>
      <c r="M11" t="n">
        <v>-763.17804</v>
      </c>
      <c r="N11" t="n">
        <v>-1324</v>
      </c>
      <c r="O11" t="n">
        <v>-1324</v>
      </c>
      <c r="P11" t="n">
        <v>-3600.86</v>
      </c>
      <c r="Q11" t="n">
        <v>134</v>
      </c>
      <c r="R11" t="n">
        <v>1</v>
      </c>
      <c r="S11" t="n">
        <v>0</v>
      </c>
      <c r="T11" t="n">
        <v>43.067848</v>
      </c>
      <c r="U11" t="n">
        <v>39.190033</v>
      </c>
      <c r="V11" t="n">
        <v>1376.995483</v>
      </c>
      <c r="W11" t="n">
        <v>0.857941</v>
      </c>
      <c r="X11" t="n">
        <v>11.012052</v>
      </c>
      <c r="Y11" t="n">
        <v>3.98</v>
      </c>
      <c r="Z11" t="n">
        <v>0.65</v>
      </c>
      <c r="AA11" t="n">
        <v>0.88</v>
      </c>
      <c r="AB11" t="n">
        <v>0.2</v>
      </c>
      <c r="AC11" t="n">
        <v>0.48</v>
      </c>
      <c r="AD11" t="n">
        <v>4.71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16027</v>
      </c>
      <c r="G2" t="n">
        <v>10223</v>
      </c>
      <c r="H2" t="n">
        <v>19573</v>
      </c>
      <c r="I2" t="n">
        <v>-1</v>
      </c>
      <c r="J2" t="n">
        <v>5.46413</v>
      </c>
      <c r="K2" t="n">
        <v>5.46413</v>
      </c>
      <c r="L2" t="n">
        <v>20.5145</v>
      </c>
      <c r="M2" t="n">
        <v>-1</v>
      </c>
      <c r="N2" t="n">
        <v>-33.9767</v>
      </c>
      <c r="O2" t="n">
        <v>-33.9767</v>
      </c>
      <c r="P2" t="n">
        <v>-136.019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3.01</v>
      </c>
      <c r="AD2" t="n">
        <v>12.39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17014.2</v>
      </c>
      <c r="G3" t="n">
        <v>10921</v>
      </c>
      <c r="H3" t="n">
        <v>21381</v>
      </c>
      <c r="I3" t="n">
        <v>-1</v>
      </c>
      <c r="J3" t="n">
        <v>4.78112</v>
      </c>
      <c r="K3" t="n">
        <v>4.78112</v>
      </c>
      <c r="L3" t="n">
        <v>22.5224</v>
      </c>
      <c r="M3" t="n">
        <v>-1</v>
      </c>
      <c r="N3" t="n">
        <v>-73.9806</v>
      </c>
      <c r="O3" t="n">
        <v>-73.9806</v>
      </c>
      <c r="P3" t="n">
        <v>-347.992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2.37</v>
      </c>
      <c r="AD3" t="n">
        <v>4.85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21520.9</v>
      </c>
      <c r="G4" t="n">
        <v>10225</v>
      </c>
      <c r="H4" t="n">
        <v>16611</v>
      </c>
      <c r="I4" t="n">
        <v>-1</v>
      </c>
      <c r="J4" t="n">
        <v>2.38491</v>
      </c>
      <c r="K4" t="n">
        <v>2.38491</v>
      </c>
      <c r="L4" t="n">
        <v>10.2977</v>
      </c>
      <c r="M4" t="n">
        <v>-1</v>
      </c>
      <c r="N4" t="n">
        <v>-715.747</v>
      </c>
      <c r="O4" t="n">
        <v>-715.747</v>
      </c>
      <c r="P4" t="n">
        <v>-2394.17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1.1</v>
      </c>
      <c r="AD4" t="n">
        <v>17.3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23656.3</v>
      </c>
      <c r="G5" t="n">
        <v>10649</v>
      </c>
      <c r="H5" t="n">
        <v>18781</v>
      </c>
      <c r="I5" t="n">
        <v>-1</v>
      </c>
      <c r="J5" t="n">
        <v>4.78112</v>
      </c>
      <c r="K5" t="n">
        <v>4.78112</v>
      </c>
      <c r="L5" t="n">
        <v>14.9068</v>
      </c>
      <c r="M5" t="n">
        <v>-1</v>
      </c>
      <c r="N5" t="n">
        <v>-704.048</v>
      </c>
      <c r="O5" t="n">
        <v>-704.048</v>
      </c>
      <c r="P5" t="n">
        <v>-2347.35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1.74</v>
      </c>
      <c r="AD5" t="n">
        <v>12.92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18087.9</v>
      </c>
      <c r="G6" t="n">
        <v>9618</v>
      </c>
      <c r="H6" t="n">
        <v>16612</v>
      </c>
      <c r="I6" t="n">
        <v>-1</v>
      </c>
      <c r="J6" t="n">
        <v>10.0722</v>
      </c>
      <c r="K6" t="n">
        <v>10.0722</v>
      </c>
      <c r="L6" t="n">
        <v>23.4958</v>
      </c>
      <c r="M6" t="n">
        <v>-1</v>
      </c>
      <c r="N6" t="n">
        <v>-1307.77</v>
      </c>
      <c r="O6" t="n">
        <v>-1307.77</v>
      </c>
      <c r="P6" t="n">
        <v>-4531.25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1.29</v>
      </c>
      <c r="AD6" t="n">
        <v>5.56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18547.3</v>
      </c>
      <c r="G7" t="n">
        <v>8675</v>
      </c>
      <c r="H7" t="n">
        <v>14180</v>
      </c>
      <c r="I7" t="n">
        <v>-1</v>
      </c>
      <c r="J7" t="n">
        <v>2.55905</v>
      </c>
      <c r="K7" t="n">
        <v>2.55905</v>
      </c>
      <c r="L7" t="n">
        <v>11.5408</v>
      </c>
      <c r="M7" t="n">
        <v>-1</v>
      </c>
      <c r="N7" t="n">
        <v>-637.808</v>
      </c>
      <c r="O7" t="n">
        <v>-637.808</v>
      </c>
      <c r="P7" t="n">
        <v>-2456.99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0.89</v>
      </c>
      <c r="AD7" t="n">
        <v>9.449999999999999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15609.9</v>
      </c>
      <c r="G8" t="n">
        <v>9781</v>
      </c>
      <c r="H8" t="n">
        <v>18084</v>
      </c>
      <c r="I8" t="n">
        <v>-1</v>
      </c>
      <c r="J8" t="n">
        <v>4.95526</v>
      </c>
      <c r="K8" t="n">
        <v>4.95526</v>
      </c>
      <c r="L8" t="n">
        <v>21.6088</v>
      </c>
      <c r="M8" t="n">
        <v>-1</v>
      </c>
      <c r="N8" t="n">
        <v>-203.903</v>
      </c>
      <c r="O8" t="n">
        <v>-203.903</v>
      </c>
      <c r="P8" t="n">
        <v>-949.662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2.24</v>
      </c>
      <c r="AD8" t="n">
        <v>4.74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17677.9</v>
      </c>
      <c r="G9" t="n">
        <v>11436</v>
      </c>
      <c r="H9" t="n">
        <v>22387</v>
      </c>
      <c r="I9" t="n">
        <v>-1</v>
      </c>
      <c r="J9" t="n">
        <v>4.95526</v>
      </c>
      <c r="K9" t="n">
        <v>4.95526</v>
      </c>
      <c r="L9" t="n">
        <v>19.8849</v>
      </c>
      <c r="M9" t="n">
        <v>-1</v>
      </c>
      <c r="N9" t="n">
        <v>-58.4454</v>
      </c>
      <c r="O9" t="n">
        <v>-58.4454</v>
      </c>
      <c r="P9" t="n">
        <v>-240.907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2.85</v>
      </c>
      <c r="AD9" t="n">
        <v>5.56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21400</v>
      </c>
      <c r="G10" t="n">
        <v>13898</v>
      </c>
      <c r="H10" t="n">
        <v>26053</v>
      </c>
      <c r="I10" t="n">
        <v>-1</v>
      </c>
      <c r="J10" t="n">
        <v>4.78112</v>
      </c>
      <c r="K10" t="n">
        <v>4.78112</v>
      </c>
      <c r="L10" t="n">
        <v>19.4213</v>
      </c>
      <c r="M10" t="n">
        <v>-1</v>
      </c>
      <c r="N10" t="n">
        <v>-128.783</v>
      </c>
      <c r="O10" t="n">
        <v>-128.783</v>
      </c>
      <c r="P10" t="n">
        <v>-551.2380000000001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4.77</v>
      </c>
      <c r="AD10" t="n">
        <v>14.26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11364.8</v>
      </c>
      <c r="G11" t="n">
        <v>5674</v>
      </c>
      <c r="H11" t="n">
        <v>9514</v>
      </c>
      <c r="I11" t="n">
        <v>-1</v>
      </c>
      <c r="J11" t="n">
        <v>9.38922</v>
      </c>
      <c r="K11" t="n">
        <v>9.38922</v>
      </c>
      <c r="L11" t="n">
        <v>21.5117</v>
      </c>
      <c r="M11" t="n">
        <v>-1</v>
      </c>
      <c r="N11" t="n">
        <v>-1334.65</v>
      </c>
      <c r="O11" t="n">
        <v>-1334.65</v>
      </c>
      <c r="P11" t="n">
        <v>-3542.07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0.49</v>
      </c>
      <c r="AD11" t="n">
        <v>3.26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2026-03-28T12:05:47Z</dcterms:created>
  <dcterms:modified xmlns:dcterms="http://purl.org/dc/terms/" xmlns:xsi="http://www.w3.org/2001/XMLSchema-instance" xsi:type="dcterms:W3CDTF">2026-03-28T12:05:47Z</dcterms:modified>
</cp:coreProperties>
</file>