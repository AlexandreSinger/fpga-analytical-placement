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vtr_largest_ap" sheetId="3" state="visible" r:id="rId3"/>
    <sheet xmlns:r="http://schemas.openxmlformats.org/officeDocument/2006/relationships" name="vtr_largest_no_ap" sheetId="4" state="visible" r:id="rId4"/>
    <sheet xmlns:r="http://schemas.openxmlformats.org/officeDocument/2006/relationships" name="artix_7_ap" sheetId="5" state="visible" r:id="rId5"/>
    <sheet xmlns:r="http://schemas.openxmlformats.org/officeDocument/2006/relationships" name="artix_7_no_ap" sheetId="6" state="visible" r:id="rId6"/>
    <sheet xmlns:r="http://schemas.openxmlformats.org/officeDocument/2006/relationships" name="titan_ap" sheetId="7" state="visible" r:id="rId7"/>
    <sheet xmlns:r="http://schemas.openxmlformats.org/officeDocument/2006/relationships" name="titan_no_ap" sheetId="8" state="visible" r:id="rId8"/>
    <sheet xmlns:r="http://schemas.openxmlformats.org/officeDocument/2006/relationships" name="koios_ap" sheetId="9" state="visible" r:id="rId9"/>
    <sheet xmlns:r="http://schemas.openxmlformats.org/officeDocument/2006/relationships" name="koios_no_ap" sheetId="10" state="visible" r:id="rId10"/>
    <sheet xmlns:r="http://schemas.openxmlformats.org/officeDocument/2006/relationships" name="titanium_s10_ap" sheetId="11" state="visible" r:id="rId11"/>
    <sheet xmlns:r="http://schemas.openxmlformats.org/officeDocument/2006/relationships" name="titanium_s10_no_ap" sheetId="12" state="visible" r:id="rId12"/>
    <sheet xmlns:r="http://schemas.openxmlformats.org/officeDocument/2006/relationships" name="z1000_ap" sheetId="13" state="visible" r:id="rId13"/>
    <sheet xmlns:r="http://schemas.openxmlformats.org/officeDocument/2006/relationships" name="z1000_no_a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test_suite</t>
        </is>
      </c>
      <c r="B1" t="inlineStr">
        <is>
          <t>total_wirelength</t>
        </is>
      </c>
      <c r="C1" t="inlineStr">
        <is>
          <t>crit_path_delay</t>
        </is>
      </c>
      <c r="D1" t="inlineStr">
        <is>
          <t>total_runtime</t>
        </is>
      </c>
      <c r="E1" t="inlineStr">
        <is>
          <t>Baseline Unroutes</t>
        </is>
      </c>
    </row>
    <row r="2">
      <c r="A2" t="inlineStr">
        <is>
          <t>vtr_largest</t>
        </is>
      </c>
      <c r="B2">
        <f>'ratios'!F10</f>
        <v/>
      </c>
      <c r="C2">
        <f>'ratios'!I10</f>
        <v/>
      </c>
      <c r="D2">
        <f>'ratios'!K10</f>
        <v/>
      </c>
      <c r="E2">
        <f>'ratios'!D11</f>
        <v/>
      </c>
    </row>
    <row r="3">
      <c r="A3" t="inlineStr">
        <is>
          <t>artix_7</t>
        </is>
      </c>
      <c r="B3">
        <f>'ratios'!F21</f>
        <v/>
      </c>
      <c r="C3">
        <f>'ratios'!I21</f>
        <v/>
      </c>
      <c r="D3">
        <f>'ratios'!K21</f>
        <v/>
      </c>
      <c r="E3">
        <f>'ratios'!D22</f>
        <v/>
      </c>
    </row>
    <row r="4">
      <c r="A4" t="inlineStr">
        <is>
          <t>titan</t>
        </is>
      </c>
      <c r="B4">
        <f>'ratios'!F47</f>
        <v/>
      </c>
      <c r="C4">
        <f>'ratios'!I47</f>
        <v/>
      </c>
      <c r="D4">
        <f>'ratios'!K47</f>
        <v/>
      </c>
      <c r="E4">
        <f>'ratios'!D48</f>
        <v/>
      </c>
    </row>
    <row r="5">
      <c r="A5" t="inlineStr">
        <is>
          <t>koios</t>
        </is>
      </c>
      <c r="B5">
        <f>'ratios'!F79</f>
        <v/>
      </c>
      <c r="C5">
        <f>'ratios'!I79</f>
        <v/>
      </c>
      <c r="D5">
        <f>'ratios'!K79</f>
        <v/>
      </c>
      <c r="E5">
        <f>'ratios'!D80</f>
        <v/>
      </c>
    </row>
    <row r="6">
      <c r="A6" t="inlineStr">
        <is>
          <t>titanium_s10</t>
        </is>
      </c>
      <c r="B6">
        <f>'ratios'!F107</f>
        <v/>
      </c>
      <c r="C6">
        <f>'ratios'!I107</f>
        <v/>
      </c>
      <c r="D6">
        <f>'ratios'!K107</f>
        <v/>
      </c>
      <c r="E6">
        <f>'ratios'!D108</f>
        <v/>
      </c>
    </row>
    <row r="7">
      <c r="A7" t="inlineStr">
        <is>
          <t>z1000</t>
        </is>
      </c>
      <c r="B7">
        <f>'ratios'!F120</f>
        <v/>
      </c>
      <c r="C7">
        <f>'ratios'!I120</f>
        <v/>
      </c>
      <c r="D7">
        <f>'ratios'!K120</f>
        <v/>
      </c>
      <c r="E7">
        <f>'ratios'!D121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test_suite</t>
        </is>
      </c>
      <c r="B1" t="inlineStr">
        <is>
          <t>arch</t>
        </is>
      </c>
      <c r="C1" t="inlineStr">
        <is>
          <t>circuit</t>
        </is>
      </c>
      <c r="D1" t="inlineStr">
        <is>
          <t>post_fl_hpwl</t>
        </is>
      </c>
      <c r="E1" t="inlineStr">
        <is>
          <t>post_dp_hpwl</t>
        </is>
      </c>
      <c r="F1" t="inlineStr">
        <is>
          <t>total_wirelength</t>
        </is>
      </c>
      <c r="G1" t="inlineStr">
        <is>
          <t>post_fl_cpd</t>
        </is>
      </c>
      <c r="H1" t="inlineStr">
        <is>
          <t>post_dp_cpd</t>
        </is>
      </c>
      <c r="I1" t="inlineStr">
        <is>
          <t>crit_path_delay</t>
        </is>
      </c>
      <c r="J1" t="inlineStr">
        <is>
          <t>route_runtime</t>
        </is>
      </c>
      <c r="K1" t="inlineStr">
        <is>
          <t>total_runtime</t>
        </is>
      </c>
    </row>
    <row r="2">
      <c r="A2" t="inlineStr">
        <is>
          <t>vtr_largest</t>
        </is>
      </c>
      <c r="B2" t="inlineStr">
        <is>
          <t>k6_frac_N10_frac_chain_mem32K_40nm.xml</t>
        </is>
      </c>
      <c r="C2" t="inlineStr">
        <is>
          <t>arm_core.v</t>
        </is>
      </c>
      <c r="D2">
        <f>IF(OR('vtr_largest_ap'!H2=-1, 'vtr_largest_no_ap'!H2=-1), "", 'vtr_largest_ap'!F2/'vtr_largest_no_ap'!F2)</f>
        <v/>
      </c>
      <c r="E2">
        <f>IF(OR('vtr_largest_ap'!H2=-1, 'vtr_largest_no_ap'!H2=-1), "", 'vtr_largest_ap'!G2/'vtr_largest_no_ap'!G2)</f>
        <v/>
      </c>
      <c r="F2">
        <f>IF(OR('vtr_largest_ap'!H2=-1, 'vtr_largest_no_ap'!H2=-1), "", 'vtr_largest_ap'!H2/'vtr_largest_no_ap'!H2)</f>
        <v/>
      </c>
      <c r="G2">
        <f>IF(OR('vtr_largest_ap'!H2=-1, 'vtr_largest_no_ap'!H2=-1), "", 'vtr_largest_ap'!J2/'vtr_largest_no_ap'!J2)</f>
        <v/>
      </c>
      <c r="H2">
        <f>IF(OR('vtr_largest_ap'!H2=-1, 'vtr_largest_no_ap'!H2=-1), "", 'vtr_largest_ap'!K2/'vtr_largest_no_ap'!K2)</f>
        <v/>
      </c>
      <c r="I2">
        <f>IF(OR('vtr_largest_ap'!H2=-1, 'vtr_largest_no_ap'!H2=-1), "", 'vtr_largest_ap'!L2/'vtr_largest_no_ap'!L2)</f>
        <v/>
      </c>
      <c r="J2">
        <f>IF(OR('vtr_largest_ap'!H2=-1, 'vtr_largest_no_ap'!H2=-1), "", 'vtr_largest_ap'!AC2/'vtr_largest_no_ap'!AC2)</f>
        <v/>
      </c>
      <c r="K2">
        <f>IF(OR('vtr_largest_ap'!H2=-1, 'vtr_largest_no_ap'!H2=-1), "", 'vtr_largest_ap'!AD2/'vtr_largest_no_ap'!AD2)</f>
        <v/>
      </c>
    </row>
    <row r="3">
      <c r="A3" t="inlineStr">
        <is>
          <t>vtr_largest</t>
        </is>
      </c>
      <c r="B3" t="inlineStr">
        <is>
          <t>k6_frac_N10_frac_chain_mem32K_40nm.xml</t>
        </is>
      </c>
      <c r="C3" t="inlineStr">
        <is>
          <t>bgm.v</t>
        </is>
      </c>
      <c r="D3">
        <f>IF(OR('vtr_largest_ap'!H3=-1, 'vtr_largest_no_ap'!H3=-1), "", 'vtr_largest_ap'!F3/'vtr_largest_no_ap'!F3)</f>
        <v/>
      </c>
      <c r="E3">
        <f>IF(OR('vtr_largest_ap'!H3=-1, 'vtr_largest_no_ap'!H3=-1), "", 'vtr_largest_ap'!G3/'vtr_largest_no_ap'!G3)</f>
        <v/>
      </c>
      <c r="F3">
        <f>IF(OR('vtr_largest_ap'!H3=-1, 'vtr_largest_no_ap'!H3=-1), "", 'vtr_largest_ap'!H3/'vtr_largest_no_ap'!H3)</f>
        <v/>
      </c>
      <c r="G3">
        <f>IF(OR('vtr_largest_ap'!H3=-1, 'vtr_largest_no_ap'!H3=-1), "", 'vtr_largest_ap'!J3/'vtr_largest_no_ap'!J3)</f>
        <v/>
      </c>
      <c r="H3">
        <f>IF(OR('vtr_largest_ap'!H3=-1, 'vtr_largest_no_ap'!H3=-1), "", 'vtr_largest_ap'!K3/'vtr_largest_no_ap'!K3)</f>
        <v/>
      </c>
      <c r="I3">
        <f>IF(OR('vtr_largest_ap'!H3=-1, 'vtr_largest_no_ap'!H3=-1), "", 'vtr_largest_ap'!L3/'vtr_largest_no_ap'!L3)</f>
        <v/>
      </c>
      <c r="J3">
        <f>IF(OR('vtr_largest_ap'!H3=-1, 'vtr_largest_no_ap'!H3=-1), "", 'vtr_largest_ap'!AC3/'vtr_largest_no_ap'!AC3)</f>
        <v/>
      </c>
      <c r="K3">
        <f>IF(OR('vtr_largest_ap'!H3=-1, 'vtr_largest_no_ap'!H3=-1), "", 'vtr_largest_ap'!AD3/'vtr_largest_no_ap'!AD3)</f>
        <v/>
      </c>
    </row>
    <row r="4">
      <c r="A4" t="inlineStr">
        <is>
          <t>vtr_largest</t>
        </is>
      </c>
      <c r="B4" t="inlineStr">
        <is>
          <t>k6_frac_N10_frac_chain_mem32K_40nm.xml</t>
        </is>
      </c>
      <c r="C4" t="inlineStr">
        <is>
          <t>stereovision0.v</t>
        </is>
      </c>
      <c r="D4">
        <f>IF(OR('vtr_largest_ap'!H4=-1, 'vtr_largest_no_ap'!H4=-1), "", 'vtr_largest_ap'!F4/'vtr_largest_no_ap'!F4)</f>
        <v/>
      </c>
      <c r="E4">
        <f>IF(OR('vtr_largest_ap'!H4=-1, 'vtr_largest_no_ap'!H4=-1), "", 'vtr_largest_ap'!G4/'vtr_largest_no_ap'!G4)</f>
        <v/>
      </c>
      <c r="F4">
        <f>IF(OR('vtr_largest_ap'!H4=-1, 'vtr_largest_no_ap'!H4=-1), "", 'vtr_largest_ap'!H4/'vtr_largest_no_ap'!H4)</f>
        <v/>
      </c>
      <c r="G4">
        <f>IF(OR('vtr_largest_ap'!H4=-1, 'vtr_largest_no_ap'!H4=-1), "", 'vtr_largest_ap'!J4/'vtr_largest_no_ap'!J4)</f>
        <v/>
      </c>
      <c r="H4">
        <f>IF(OR('vtr_largest_ap'!H4=-1, 'vtr_largest_no_ap'!H4=-1), "", 'vtr_largest_ap'!K4/'vtr_largest_no_ap'!K4)</f>
        <v/>
      </c>
      <c r="I4">
        <f>IF(OR('vtr_largest_ap'!H4=-1, 'vtr_largest_no_ap'!H4=-1), "", 'vtr_largest_ap'!L4/'vtr_largest_no_ap'!L4)</f>
        <v/>
      </c>
      <c r="J4">
        <f>IF(OR('vtr_largest_ap'!H4=-1, 'vtr_largest_no_ap'!H4=-1), "", 'vtr_largest_ap'!AC4/'vtr_largest_no_ap'!AC4)</f>
        <v/>
      </c>
      <c r="K4">
        <f>IF(OR('vtr_largest_ap'!H4=-1, 'vtr_largest_no_ap'!H4=-1), "", 'vtr_largest_ap'!AD4/'vtr_largest_no_ap'!AD4)</f>
        <v/>
      </c>
    </row>
    <row r="5">
      <c r="A5" t="inlineStr">
        <is>
          <t>vtr_largest</t>
        </is>
      </c>
      <c r="B5" t="inlineStr">
        <is>
          <t>k6_frac_N10_frac_chain_mem32K_40nm.xml</t>
        </is>
      </c>
      <c r="C5" t="inlineStr">
        <is>
          <t>stereovision1.v</t>
        </is>
      </c>
      <c r="D5">
        <f>IF(OR('vtr_largest_ap'!H5=-1, 'vtr_largest_no_ap'!H5=-1), "", 'vtr_largest_ap'!F5/'vtr_largest_no_ap'!F5)</f>
        <v/>
      </c>
      <c r="E5">
        <f>IF(OR('vtr_largest_ap'!H5=-1, 'vtr_largest_no_ap'!H5=-1), "", 'vtr_largest_ap'!G5/'vtr_largest_no_ap'!G5)</f>
        <v/>
      </c>
      <c r="F5">
        <f>IF(OR('vtr_largest_ap'!H5=-1, 'vtr_largest_no_ap'!H5=-1), "", 'vtr_largest_ap'!H5/'vtr_largest_no_ap'!H5)</f>
        <v/>
      </c>
      <c r="G5">
        <f>IF(OR('vtr_largest_ap'!H5=-1, 'vtr_largest_no_ap'!H5=-1), "", 'vtr_largest_ap'!J5/'vtr_largest_no_ap'!J5)</f>
        <v/>
      </c>
      <c r="H5">
        <f>IF(OR('vtr_largest_ap'!H5=-1, 'vtr_largest_no_ap'!H5=-1), "", 'vtr_largest_ap'!K5/'vtr_largest_no_ap'!K5)</f>
        <v/>
      </c>
      <c r="I5">
        <f>IF(OR('vtr_largest_ap'!H5=-1, 'vtr_largest_no_ap'!H5=-1), "", 'vtr_largest_ap'!L5/'vtr_largest_no_ap'!L5)</f>
        <v/>
      </c>
      <c r="J5">
        <f>IF(OR('vtr_largest_ap'!H5=-1, 'vtr_largest_no_ap'!H5=-1), "", 'vtr_largest_ap'!AC5/'vtr_largest_no_ap'!AC5)</f>
        <v/>
      </c>
      <c r="K5">
        <f>IF(OR('vtr_largest_ap'!H5=-1, 'vtr_largest_no_ap'!H5=-1), "", 'vtr_largest_ap'!AD5/'vtr_largest_no_ap'!AD5)</f>
        <v/>
      </c>
    </row>
    <row r="6">
      <c r="A6" t="inlineStr">
        <is>
          <t>vtr_largest</t>
        </is>
      </c>
      <c r="B6" t="inlineStr">
        <is>
          <t>k6_frac_N10_frac_chain_mem32K_40nm.xml</t>
        </is>
      </c>
      <c r="C6" t="inlineStr">
        <is>
          <t>stereovision2.v</t>
        </is>
      </c>
      <c r="D6">
        <f>IF(OR('vtr_largest_ap'!H6=-1, 'vtr_largest_no_ap'!H6=-1), "", 'vtr_largest_ap'!F6/'vtr_largest_no_ap'!F6)</f>
        <v/>
      </c>
      <c r="E6">
        <f>IF(OR('vtr_largest_ap'!H6=-1, 'vtr_largest_no_ap'!H6=-1), "", 'vtr_largest_ap'!G6/'vtr_largest_no_ap'!G6)</f>
        <v/>
      </c>
      <c r="F6">
        <f>IF(OR('vtr_largest_ap'!H6=-1, 'vtr_largest_no_ap'!H6=-1), "", 'vtr_largest_ap'!H6/'vtr_largest_no_ap'!H6)</f>
        <v/>
      </c>
      <c r="G6">
        <f>IF(OR('vtr_largest_ap'!H6=-1, 'vtr_largest_no_ap'!H6=-1), "", 'vtr_largest_ap'!J6/'vtr_largest_no_ap'!J6)</f>
        <v/>
      </c>
      <c r="H6">
        <f>IF(OR('vtr_largest_ap'!H6=-1, 'vtr_largest_no_ap'!H6=-1), "", 'vtr_largest_ap'!K6/'vtr_largest_no_ap'!K6)</f>
        <v/>
      </c>
      <c r="I6">
        <f>IF(OR('vtr_largest_ap'!H6=-1, 'vtr_largest_no_ap'!H6=-1), "", 'vtr_largest_ap'!L6/'vtr_largest_no_ap'!L6)</f>
        <v/>
      </c>
      <c r="J6">
        <f>IF(OR('vtr_largest_ap'!H6=-1, 'vtr_largest_no_ap'!H6=-1), "", 'vtr_largest_ap'!AC6/'vtr_largest_no_ap'!AC6)</f>
        <v/>
      </c>
      <c r="K6">
        <f>IF(OR('vtr_largest_ap'!H6=-1, 'vtr_largest_no_ap'!H6=-1), "", 'vtr_largest_ap'!AD6/'vtr_largest_no_ap'!AD6)</f>
        <v/>
      </c>
    </row>
    <row r="7">
      <c r="A7" t="inlineStr">
        <is>
          <t>vtr_largest</t>
        </is>
      </c>
      <c r="B7" t="inlineStr">
        <is>
          <t>k6_frac_N10_frac_chain_mem32K_40nm.xml</t>
        </is>
      </c>
      <c r="C7" t="inlineStr">
        <is>
          <t>LU8PEEng.v</t>
        </is>
      </c>
      <c r="D7">
        <f>IF(OR('vtr_largest_ap'!H7=-1, 'vtr_largest_no_ap'!H7=-1), "", 'vtr_largest_ap'!F7/'vtr_largest_no_ap'!F7)</f>
        <v/>
      </c>
      <c r="E7">
        <f>IF(OR('vtr_largest_ap'!H7=-1, 'vtr_largest_no_ap'!H7=-1), "", 'vtr_largest_ap'!G7/'vtr_largest_no_ap'!G7)</f>
        <v/>
      </c>
      <c r="F7">
        <f>IF(OR('vtr_largest_ap'!H7=-1, 'vtr_largest_no_ap'!H7=-1), "", 'vtr_largest_ap'!H7/'vtr_largest_no_ap'!H7)</f>
        <v/>
      </c>
      <c r="G7">
        <f>IF(OR('vtr_largest_ap'!H7=-1, 'vtr_largest_no_ap'!H7=-1), "", 'vtr_largest_ap'!J7/'vtr_largest_no_ap'!J7)</f>
        <v/>
      </c>
      <c r="H7">
        <f>IF(OR('vtr_largest_ap'!H7=-1, 'vtr_largest_no_ap'!H7=-1), "", 'vtr_largest_ap'!K7/'vtr_largest_no_ap'!K7)</f>
        <v/>
      </c>
      <c r="I7">
        <f>IF(OR('vtr_largest_ap'!H7=-1, 'vtr_largest_no_ap'!H7=-1), "", 'vtr_largest_ap'!L7/'vtr_largest_no_ap'!L7)</f>
        <v/>
      </c>
      <c r="J7">
        <f>IF(OR('vtr_largest_ap'!H7=-1, 'vtr_largest_no_ap'!H7=-1), "", 'vtr_largest_ap'!AC7/'vtr_largest_no_ap'!AC7)</f>
        <v/>
      </c>
      <c r="K7">
        <f>IF(OR('vtr_largest_ap'!H7=-1, 'vtr_largest_no_ap'!H7=-1), "", 'vtr_largest_ap'!AD7/'vtr_largest_no_ap'!AD7)</f>
        <v/>
      </c>
    </row>
    <row r="8">
      <c r="A8" t="inlineStr">
        <is>
          <t>vtr_largest</t>
        </is>
      </c>
      <c r="B8" t="inlineStr">
        <is>
          <t>k6_frac_N10_frac_chain_mem32K_40nm.xml</t>
        </is>
      </c>
      <c r="C8" t="inlineStr">
        <is>
          <t>LU32PEEng.v</t>
        </is>
      </c>
      <c r="D8">
        <f>IF(OR('vtr_largest_ap'!H8=-1, 'vtr_largest_no_ap'!H8=-1), "", 'vtr_largest_ap'!F8/'vtr_largest_no_ap'!F8)</f>
        <v/>
      </c>
      <c r="E8">
        <f>IF(OR('vtr_largest_ap'!H8=-1, 'vtr_largest_no_ap'!H8=-1), "", 'vtr_largest_ap'!G8/'vtr_largest_no_ap'!G8)</f>
        <v/>
      </c>
      <c r="F8">
        <f>IF(OR('vtr_largest_ap'!H8=-1, 'vtr_largest_no_ap'!H8=-1), "", 'vtr_largest_ap'!H8/'vtr_largest_no_ap'!H8)</f>
        <v/>
      </c>
      <c r="G8">
        <f>IF(OR('vtr_largest_ap'!H8=-1, 'vtr_largest_no_ap'!H8=-1), "", 'vtr_largest_ap'!J8/'vtr_largest_no_ap'!J8)</f>
        <v/>
      </c>
      <c r="H8">
        <f>IF(OR('vtr_largest_ap'!H8=-1, 'vtr_largest_no_ap'!H8=-1), "", 'vtr_largest_ap'!K8/'vtr_largest_no_ap'!K8)</f>
        <v/>
      </c>
      <c r="I8">
        <f>IF(OR('vtr_largest_ap'!H8=-1, 'vtr_largest_no_ap'!H8=-1), "", 'vtr_largest_ap'!L8/'vtr_largest_no_ap'!L8)</f>
        <v/>
      </c>
      <c r="J8">
        <f>IF(OR('vtr_largest_ap'!H8=-1, 'vtr_largest_no_ap'!H8=-1), "", 'vtr_largest_ap'!AC8/'vtr_largest_no_ap'!AC8)</f>
        <v/>
      </c>
      <c r="K8">
        <f>IF(OR('vtr_largest_ap'!H8=-1, 'vtr_largest_no_ap'!H8=-1), "", 'vtr_largest_ap'!AD8/'vtr_largest_no_ap'!AD8)</f>
        <v/>
      </c>
    </row>
    <row r="9">
      <c r="A9" t="inlineStr">
        <is>
          <t>vtr_largest</t>
        </is>
      </c>
      <c r="B9" t="inlineStr">
        <is>
          <t>k6_frac_N10_frac_chain_mem32K_40nm.xml</t>
        </is>
      </c>
      <c r="C9" t="inlineStr">
        <is>
          <t>mcml.v</t>
        </is>
      </c>
      <c r="D9">
        <f>IF(OR('vtr_largest_ap'!H9=-1, 'vtr_largest_no_ap'!H9=-1), "", 'vtr_largest_ap'!F9/'vtr_largest_no_ap'!F9)</f>
        <v/>
      </c>
      <c r="E9">
        <f>IF(OR('vtr_largest_ap'!H9=-1, 'vtr_largest_no_ap'!H9=-1), "", 'vtr_largest_ap'!G9/'vtr_largest_no_ap'!G9)</f>
        <v/>
      </c>
      <c r="F9">
        <f>IF(OR('vtr_largest_ap'!H9=-1, 'vtr_largest_no_ap'!H9=-1), "", 'vtr_largest_ap'!H9/'vtr_largest_no_ap'!H9)</f>
        <v/>
      </c>
      <c r="G9">
        <f>IF(OR('vtr_largest_ap'!H9=-1, 'vtr_largest_no_ap'!H9=-1), "", 'vtr_largest_ap'!J9/'vtr_largest_no_ap'!J9)</f>
        <v/>
      </c>
      <c r="H9">
        <f>IF(OR('vtr_largest_ap'!H9=-1, 'vtr_largest_no_ap'!H9=-1), "", 'vtr_largest_ap'!K9/'vtr_largest_no_ap'!K9)</f>
        <v/>
      </c>
      <c r="I9">
        <f>IF(OR('vtr_largest_ap'!H9=-1, 'vtr_largest_no_ap'!H9=-1), "", 'vtr_largest_ap'!L9/'vtr_largest_no_ap'!L9)</f>
        <v/>
      </c>
      <c r="J9">
        <f>IF(OR('vtr_largest_ap'!H9=-1, 'vtr_largest_no_ap'!H9=-1), "", 'vtr_largest_ap'!AC9/'vtr_largest_no_ap'!AC9)</f>
        <v/>
      </c>
      <c r="K9">
        <f>IF(OR('vtr_largest_ap'!H9=-1, 'vtr_largest_no_ap'!H9=-1), "", 'vtr_largest_ap'!AD9/'vtr_largest_no_ap'!AD9)</f>
        <v/>
      </c>
    </row>
    <row r="10">
      <c r="A10" t="inlineStr">
        <is>
          <t>vtr_largest</t>
        </is>
      </c>
      <c r="B10" t="inlineStr"/>
      <c r="C10" t="inlineStr">
        <is>
          <t>GEOMEAN</t>
        </is>
      </c>
      <c r="D10">
        <f>GEOMEAN(D2:D9)</f>
        <v/>
      </c>
      <c r="E10">
        <f>GEOMEAN(E2:E9)</f>
        <v/>
      </c>
      <c r="F10">
        <f>GEOMEAN(F2:F9)</f>
        <v/>
      </c>
      <c r="G10">
        <f>GEOMEAN(G2:G9)</f>
        <v/>
      </c>
      <c r="H10">
        <f>GEOMEAN(H2:H9)</f>
        <v/>
      </c>
      <c r="I10">
        <f>GEOMEAN(I2:I9)</f>
        <v/>
      </c>
      <c r="J10">
        <f>GEOMEAN(J2:J9)</f>
        <v/>
      </c>
      <c r="K10">
        <f>GEOMEAN(K2:K9)</f>
        <v/>
      </c>
    </row>
    <row r="11">
      <c r="A11" t="inlineStr">
        <is>
          <t>vtr_largest</t>
        </is>
      </c>
      <c r="B11" t="inlineStr"/>
      <c r="C11" t="inlineStr">
        <is>
          <t>UNROUTES</t>
        </is>
      </c>
      <c r="D11">
        <f>8 - COUNT(F2:F9)</f>
        <v/>
      </c>
    </row>
    <row r="12">
      <c r="A12" t="inlineStr"/>
    </row>
    <row r="13">
      <c r="A13" t="inlineStr">
        <is>
          <t>artix_7</t>
        </is>
      </c>
      <c r="B13" t="inlineStr">
        <is>
          <t>7series_BRAM_DSP_carry.xml</t>
        </is>
      </c>
      <c r="C13" t="inlineStr">
        <is>
          <t>arm_core.v</t>
        </is>
      </c>
      <c r="D13">
        <f>IF(OR('artix_7_ap'!H2=-1, 'artix_7_no_ap'!H2=-1), "", 'artix_7_ap'!F2/'artix_7_no_ap'!F2)</f>
        <v/>
      </c>
      <c r="E13">
        <f>IF(OR('artix_7_ap'!H2=-1, 'artix_7_no_ap'!H2=-1), "", 'artix_7_ap'!G2/'artix_7_no_ap'!G2)</f>
        <v/>
      </c>
      <c r="F13">
        <f>IF(OR('artix_7_ap'!H2=-1, 'artix_7_no_ap'!H2=-1), "", 'artix_7_ap'!H2/'artix_7_no_ap'!H2)</f>
        <v/>
      </c>
      <c r="G13">
        <f>IF(OR('artix_7_ap'!H2=-1, 'artix_7_no_ap'!H2=-1), "", 'artix_7_ap'!J2/'artix_7_no_ap'!J2)</f>
        <v/>
      </c>
      <c r="H13">
        <f>IF(OR('artix_7_ap'!H2=-1, 'artix_7_no_ap'!H2=-1), "", 'artix_7_ap'!K2/'artix_7_no_ap'!K2)</f>
        <v/>
      </c>
      <c r="I13">
        <f>IF(OR('artix_7_ap'!H2=-1, 'artix_7_no_ap'!H2=-1), "", 'artix_7_ap'!L2/'artix_7_no_ap'!L2)</f>
        <v/>
      </c>
      <c r="J13">
        <f>IF(OR('artix_7_ap'!H2=-1, 'artix_7_no_ap'!H2=-1), "", 'artix_7_ap'!AC2/'artix_7_no_ap'!AC2)</f>
        <v/>
      </c>
      <c r="K13">
        <f>IF(OR('artix_7_ap'!H2=-1, 'artix_7_no_ap'!H2=-1), "", 'artix_7_ap'!AD2/'artix_7_no_ap'!AD2)</f>
        <v/>
      </c>
    </row>
    <row r="14">
      <c r="A14" t="inlineStr">
        <is>
          <t>artix_7</t>
        </is>
      </c>
      <c r="B14" t="inlineStr">
        <is>
          <t>7series_BRAM_DSP_carry.xml</t>
        </is>
      </c>
      <c r="C14" t="inlineStr">
        <is>
          <t>bgm.v</t>
        </is>
      </c>
      <c r="D14">
        <f>IF(OR('artix_7_ap'!H3=-1, 'artix_7_no_ap'!H3=-1), "", 'artix_7_ap'!F3/'artix_7_no_ap'!F3)</f>
        <v/>
      </c>
      <c r="E14">
        <f>IF(OR('artix_7_ap'!H3=-1, 'artix_7_no_ap'!H3=-1), "", 'artix_7_ap'!G3/'artix_7_no_ap'!G3)</f>
        <v/>
      </c>
      <c r="F14">
        <f>IF(OR('artix_7_ap'!H3=-1, 'artix_7_no_ap'!H3=-1), "", 'artix_7_ap'!H3/'artix_7_no_ap'!H3)</f>
        <v/>
      </c>
      <c r="G14">
        <f>IF(OR('artix_7_ap'!H3=-1, 'artix_7_no_ap'!H3=-1), "", 'artix_7_ap'!J3/'artix_7_no_ap'!J3)</f>
        <v/>
      </c>
      <c r="H14">
        <f>IF(OR('artix_7_ap'!H3=-1, 'artix_7_no_ap'!H3=-1), "", 'artix_7_ap'!K3/'artix_7_no_ap'!K3)</f>
        <v/>
      </c>
      <c r="I14">
        <f>IF(OR('artix_7_ap'!H3=-1, 'artix_7_no_ap'!H3=-1), "", 'artix_7_ap'!L3/'artix_7_no_ap'!L3)</f>
        <v/>
      </c>
      <c r="J14">
        <f>IF(OR('artix_7_ap'!H3=-1, 'artix_7_no_ap'!H3=-1), "", 'artix_7_ap'!AC3/'artix_7_no_ap'!AC3)</f>
        <v/>
      </c>
      <c r="K14">
        <f>IF(OR('artix_7_ap'!H3=-1, 'artix_7_no_ap'!H3=-1), "", 'artix_7_ap'!AD3/'artix_7_no_ap'!AD3)</f>
        <v/>
      </c>
    </row>
    <row r="15">
      <c r="A15" t="inlineStr">
        <is>
          <t>artix_7</t>
        </is>
      </c>
      <c r="B15" t="inlineStr">
        <is>
          <t>7series_BRAM_DSP_carry.xml</t>
        </is>
      </c>
      <c r="C15" t="inlineStr">
        <is>
          <t>stereovision0.v</t>
        </is>
      </c>
      <c r="D15">
        <f>IF(OR('artix_7_ap'!H4=-1, 'artix_7_no_ap'!H4=-1), "", 'artix_7_ap'!F4/'artix_7_no_ap'!F4)</f>
        <v/>
      </c>
      <c r="E15">
        <f>IF(OR('artix_7_ap'!H4=-1, 'artix_7_no_ap'!H4=-1), "", 'artix_7_ap'!G4/'artix_7_no_ap'!G4)</f>
        <v/>
      </c>
      <c r="F15">
        <f>IF(OR('artix_7_ap'!H4=-1, 'artix_7_no_ap'!H4=-1), "", 'artix_7_ap'!H4/'artix_7_no_ap'!H4)</f>
        <v/>
      </c>
      <c r="G15">
        <f>IF(OR('artix_7_ap'!H4=-1, 'artix_7_no_ap'!H4=-1), "", 'artix_7_ap'!J4/'artix_7_no_ap'!J4)</f>
        <v/>
      </c>
      <c r="H15">
        <f>IF(OR('artix_7_ap'!H4=-1, 'artix_7_no_ap'!H4=-1), "", 'artix_7_ap'!K4/'artix_7_no_ap'!K4)</f>
        <v/>
      </c>
      <c r="I15">
        <f>IF(OR('artix_7_ap'!H4=-1, 'artix_7_no_ap'!H4=-1), "", 'artix_7_ap'!L4/'artix_7_no_ap'!L4)</f>
        <v/>
      </c>
      <c r="J15">
        <f>IF(OR('artix_7_ap'!H4=-1, 'artix_7_no_ap'!H4=-1), "", 'artix_7_ap'!AC4/'artix_7_no_ap'!AC4)</f>
        <v/>
      </c>
      <c r="K15">
        <f>IF(OR('artix_7_ap'!H4=-1, 'artix_7_no_ap'!H4=-1), "", 'artix_7_ap'!AD4/'artix_7_no_ap'!AD4)</f>
        <v/>
      </c>
    </row>
    <row r="16">
      <c r="A16" t="inlineStr">
        <is>
          <t>artix_7</t>
        </is>
      </c>
      <c r="B16" t="inlineStr">
        <is>
          <t>7series_BRAM_DSP_carry.xml</t>
        </is>
      </c>
      <c r="C16" t="inlineStr">
        <is>
          <t>stereovision1.v</t>
        </is>
      </c>
      <c r="D16">
        <f>IF(OR('artix_7_ap'!H5=-1, 'artix_7_no_ap'!H5=-1), "", 'artix_7_ap'!F5/'artix_7_no_ap'!F5)</f>
        <v/>
      </c>
      <c r="E16">
        <f>IF(OR('artix_7_ap'!H5=-1, 'artix_7_no_ap'!H5=-1), "", 'artix_7_ap'!G5/'artix_7_no_ap'!G5)</f>
        <v/>
      </c>
      <c r="F16">
        <f>IF(OR('artix_7_ap'!H5=-1, 'artix_7_no_ap'!H5=-1), "", 'artix_7_ap'!H5/'artix_7_no_ap'!H5)</f>
        <v/>
      </c>
      <c r="G16">
        <f>IF(OR('artix_7_ap'!H5=-1, 'artix_7_no_ap'!H5=-1), "", 'artix_7_ap'!J5/'artix_7_no_ap'!J5)</f>
        <v/>
      </c>
      <c r="H16">
        <f>IF(OR('artix_7_ap'!H5=-1, 'artix_7_no_ap'!H5=-1), "", 'artix_7_ap'!K5/'artix_7_no_ap'!K5)</f>
        <v/>
      </c>
      <c r="I16">
        <f>IF(OR('artix_7_ap'!H5=-1, 'artix_7_no_ap'!H5=-1), "", 'artix_7_ap'!L5/'artix_7_no_ap'!L5)</f>
        <v/>
      </c>
      <c r="J16">
        <f>IF(OR('artix_7_ap'!H5=-1, 'artix_7_no_ap'!H5=-1), "", 'artix_7_ap'!AC5/'artix_7_no_ap'!AC5)</f>
        <v/>
      </c>
      <c r="K16">
        <f>IF(OR('artix_7_ap'!H5=-1, 'artix_7_no_ap'!H5=-1), "", 'artix_7_ap'!AD5/'artix_7_no_ap'!AD5)</f>
        <v/>
      </c>
    </row>
    <row r="17">
      <c r="A17" t="inlineStr">
        <is>
          <t>artix_7</t>
        </is>
      </c>
      <c r="B17" t="inlineStr">
        <is>
          <t>7series_BRAM_DSP_carry.xml</t>
        </is>
      </c>
      <c r="C17" t="inlineStr">
        <is>
          <t>stereovision2.v</t>
        </is>
      </c>
      <c r="D17">
        <f>IF(OR('artix_7_ap'!H6=-1, 'artix_7_no_ap'!H6=-1), "", 'artix_7_ap'!F6/'artix_7_no_ap'!F6)</f>
        <v/>
      </c>
      <c r="E17">
        <f>IF(OR('artix_7_ap'!H6=-1, 'artix_7_no_ap'!H6=-1), "", 'artix_7_ap'!G6/'artix_7_no_ap'!G6)</f>
        <v/>
      </c>
      <c r="F17">
        <f>IF(OR('artix_7_ap'!H6=-1, 'artix_7_no_ap'!H6=-1), "", 'artix_7_ap'!H6/'artix_7_no_ap'!H6)</f>
        <v/>
      </c>
      <c r="G17">
        <f>IF(OR('artix_7_ap'!H6=-1, 'artix_7_no_ap'!H6=-1), "", 'artix_7_ap'!J6/'artix_7_no_ap'!J6)</f>
        <v/>
      </c>
      <c r="H17">
        <f>IF(OR('artix_7_ap'!H6=-1, 'artix_7_no_ap'!H6=-1), "", 'artix_7_ap'!K6/'artix_7_no_ap'!K6)</f>
        <v/>
      </c>
      <c r="I17">
        <f>IF(OR('artix_7_ap'!H6=-1, 'artix_7_no_ap'!H6=-1), "", 'artix_7_ap'!L6/'artix_7_no_ap'!L6)</f>
        <v/>
      </c>
      <c r="J17">
        <f>IF(OR('artix_7_ap'!H6=-1, 'artix_7_no_ap'!H6=-1), "", 'artix_7_ap'!AC6/'artix_7_no_ap'!AC6)</f>
        <v/>
      </c>
      <c r="K17">
        <f>IF(OR('artix_7_ap'!H6=-1, 'artix_7_no_ap'!H6=-1), "", 'artix_7_ap'!AD6/'artix_7_no_ap'!AD6)</f>
        <v/>
      </c>
    </row>
    <row r="18">
      <c r="A18" t="inlineStr">
        <is>
          <t>artix_7</t>
        </is>
      </c>
      <c r="B18" t="inlineStr">
        <is>
          <t>7series_BRAM_DSP_carry.xml</t>
        </is>
      </c>
      <c r="C18" t="inlineStr">
        <is>
          <t>LU8PEEng.v</t>
        </is>
      </c>
      <c r="D18">
        <f>IF(OR('artix_7_ap'!H7=-1, 'artix_7_no_ap'!H7=-1), "", 'artix_7_ap'!F7/'artix_7_no_ap'!F7)</f>
        <v/>
      </c>
      <c r="E18">
        <f>IF(OR('artix_7_ap'!H7=-1, 'artix_7_no_ap'!H7=-1), "", 'artix_7_ap'!G7/'artix_7_no_ap'!G7)</f>
        <v/>
      </c>
      <c r="F18">
        <f>IF(OR('artix_7_ap'!H7=-1, 'artix_7_no_ap'!H7=-1), "", 'artix_7_ap'!H7/'artix_7_no_ap'!H7)</f>
        <v/>
      </c>
      <c r="G18">
        <f>IF(OR('artix_7_ap'!H7=-1, 'artix_7_no_ap'!H7=-1), "", 'artix_7_ap'!J7/'artix_7_no_ap'!J7)</f>
        <v/>
      </c>
      <c r="H18">
        <f>IF(OR('artix_7_ap'!H7=-1, 'artix_7_no_ap'!H7=-1), "", 'artix_7_ap'!K7/'artix_7_no_ap'!K7)</f>
        <v/>
      </c>
      <c r="I18">
        <f>IF(OR('artix_7_ap'!H7=-1, 'artix_7_no_ap'!H7=-1), "", 'artix_7_ap'!L7/'artix_7_no_ap'!L7)</f>
        <v/>
      </c>
      <c r="J18">
        <f>IF(OR('artix_7_ap'!H7=-1, 'artix_7_no_ap'!H7=-1), "", 'artix_7_ap'!AC7/'artix_7_no_ap'!AC7)</f>
        <v/>
      </c>
      <c r="K18">
        <f>IF(OR('artix_7_ap'!H7=-1, 'artix_7_no_ap'!H7=-1), "", 'artix_7_ap'!AD7/'artix_7_no_ap'!AD7)</f>
        <v/>
      </c>
    </row>
    <row r="19">
      <c r="A19" t="inlineStr">
        <is>
          <t>artix_7</t>
        </is>
      </c>
      <c r="B19" t="inlineStr">
        <is>
          <t>7series_BRAM_DSP_carry.xml</t>
        </is>
      </c>
      <c r="C19" t="inlineStr">
        <is>
          <t>LU32PEEng.v</t>
        </is>
      </c>
      <c r="D19">
        <f>IF(OR('artix_7_ap'!H8=-1, 'artix_7_no_ap'!H8=-1), "", 'artix_7_ap'!F8/'artix_7_no_ap'!F8)</f>
        <v/>
      </c>
      <c r="E19">
        <f>IF(OR('artix_7_ap'!H8=-1, 'artix_7_no_ap'!H8=-1), "", 'artix_7_ap'!G8/'artix_7_no_ap'!G8)</f>
        <v/>
      </c>
      <c r="F19">
        <f>IF(OR('artix_7_ap'!H8=-1, 'artix_7_no_ap'!H8=-1), "", 'artix_7_ap'!H8/'artix_7_no_ap'!H8)</f>
        <v/>
      </c>
      <c r="G19">
        <f>IF(OR('artix_7_ap'!H8=-1, 'artix_7_no_ap'!H8=-1), "", 'artix_7_ap'!J8/'artix_7_no_ap'!J8)</f>
        <v/>
      </c>
      <c r="H19">
        <f>IF(OR('artix_7_ap'!H8=-1, 'artix_7_no_ap'!H8=-1), "", 'artix_7_ap'!K8/'artix_7_no_ap'!K8)</f>
        <v/>
      </c>
      <c r="I19">
        <f>IF(OR('artix_7_ap'!H8=-1, 'artix_7_no_ap'!H8=-1), "", 'artix_7_ap'!L8/'artix_7_no_ap'!L8)</f>
        <v/>
      </c>
      <c r="J19">
        <f>IF(OR('artix_7_ap'!H8=-1, 'artix_7_no_ap'!H8=-1), "", 'artix_7_ap'!AC8/'artix_7_no_ap'!AC8)</f>
        <v/>
      </c>
      <c r="K19">
        <f>IF(OR('artix_7_ap'!H8=-1, 'artix_7_no_ap'!H8=-1), "", 'artix_7_ap'!AD8/'artix_7_no_ap'!AD8)</f>
        <v/>
      </c>
    </row>
    <row r="20">
      <c r="A20" t="inlineStr">
        <is>
          <t>artix_7</t>
        </is>
      </c>
      <c r="B20" t="inlineStr">
        <is>
          <t>7series_BRAM_DSP_carry.xml</t>
        </is>
      </c>
      <c r="C20" t="inlineStr">
        <is>
          <t>mcml.v</t>
        </is>
      </c>
      <c r="D20">
        <f>IF(OR('artix_7_ap'!H9=-1, 'artix_7_no_ap'!H9=-1), "", 'artix_7_ap'!F9/'artix_7_no_ap'!F9)</f>
        <v/>
      </c>
      <c r="E20">
        <f>IF(OR('artix_7_ap'!H9=-1, 'artix_7_no_ap'!H9=-1), "", 'artix_7_ap'!G9/'artix_7_no_ap'!G9)</f>
        <v/>
      </c>
      <c r="F20">
        <f>IF(OR('artix_7_ap'!H9=-1, 'artix_7_no_ap'!H9=-1), "", 'artix_7_ap'!H9/'artix_7_no_ap'!H9)</f>
        <v/>
      </c>
      <c r="G20">
        <f>IF(OR('artix_7_ap'!H9=-1, 'artix_7_no_ap'!H9=-1), "", 'artix_7_ap'!J9/'artix_7_no_ap'!J9)</f>
        <v/>
      </c>
      <c r="H20">
        <f>IF(OR('artix_7_ap'!H9=-1, 'artix_7_no_ap'!H9=-1), "", 'artix_7_ap'!K9/'artix_7_no_ap'!K9)</f>
        <v/>
      </c>
      <c r="I20">
        <f>IF(OR('artix_7_ap'!H9=-1, 'artix_7_no_ap'!H9=-1), "", 'artix_7_ap'!L9/'artix_7_no_ap'!L9)</f>
        <v/>
      </c>
      <c r="J20">
        <f>IF(OR('artix_7_ap'!H9=-1, 'artix_7_no_ap'!H9=-1), "", 'artix_7_ap'!AC9/'artix_7_no_ap'!AC9)</f>
        <v/>
      </c>
      <c r="K20">
        <f>IF(OR('artix_7_ap'!H9=-1, 'artix_7_no_ap'!H9=-1), "", 'artix_7_ap'!AD9/'artix_7_no_ap'!AD9)</f>
        <v/>
      </c>
    </row>
    <row r="21">
      <c r="A21" t="inlineStr">
        <is>
          <t>artix_7</t>
        </is>
      </c>
      <c r="B21" t="inlineStr"/>
      <c r="C21" t="inlineStr">
        <is>
          <t>GEOMEAN</t>
        </is>
      </c>
      <c r="D21">
        <f>GEOMEAN(D13:D20)</f>
        <v/>
      </c>
      <c r="E21">
        <f>GEOMEAN(E13:E20)</f>
        <v/>
      </c>
      <c r="F21">
        <f>GEOMEAN(F13:F20)</f>
        <v/>
      </c>
      <c r="G21">
        <f>GEOMEAN(G13:G20)</f>
        <v/>
      </c>
      <c r="H21">
        <f>GEOMEAN(H13:H20)</f>
        <v/>
      </c>
      <c r="I21">
        <f>GEOMEAN(I13:I20)</f>
        <v/>
      </c>
      <c r="J21">
        <f>GEOMEAN(J13:J20)</f>
        <v/>
      </c>
      <c r="K21">
        <f>GEOMEAN(K13:K20)</f>
        <v/>
      </c>
    </row>
    <row r="22">
      <c r="A22" t="inlineStr">
        <is>
          <t>artix_7</t>
        </is>
      </c>
      <c r="B22" t="inlineStr"/>
      <c r="C22" t="inlineStr">
        <is>
          <t>UNROUTES</t>
        </is>
      </c>
      <c r="D22">
        <f>8 - COUNT(F13:F20)</f>
        <v/>
      </c>
    </row>
    <row r="23">
      <c r="A23" t="inlineStr"/>
    </row>
    <row r="24">
      <c r="A24" t="inlineStr">
        <is>
          <t>titan</t>
        </is>
      </c>
      <c r="B24" t="inlineStr">
        <is>
          <t>stratixiv_arch.timing.xml</t>
        </is>
      </c>
      <c r="C24" t="inlineStr">
        <is>
          <t>LU230_stratixiv_arch_timing.blif</t>
        </is>
      </c>
      <c r="D24">
        <f>IF(OR('titan_ap'!H2=-1, 'titan_no_ap'!H2=-1), "", 'titan_ap'!F2/'titan_no_ap'!F2)</f>
        <v/>
      </c>
      <c r="E24">
        <f>IF(OR('titan_ap'!H2=-1, 'titan_no_ap'!H2=-1), "", 'titan_ap'!G2/'titan_no_ap'!G2)</f>
        <v/>
      </c>
      <c r="F24">
        <f>IF(OR('titan_ap'!H2=-1, 'titan_no_ap'!H2=-1), "", 'titan_ap'!H2/'titan_no_ap'!H2)</f>
        <v/>
      </c>
      <c r="G24">
        <f>IF(OR('titan_ap'!H2=-1, 'titan_no_ap'!H2=-1), "", 'titan_ap'!J2/'titan_no_ap'!J2)</f>
        <v/>
      </c>
      <c r="H24">
        <f>IF(OR('titan_ap'!H2=-1, 'titan_no_ap'!H2=-1), "", 'titan_ap'!K2/'titan_no_ap'!K2)</f>
        <v/>
      </c>
      <c r="I24">
        <f>IF(OR('titan_ap'!H2=-1, 'titan_no_ap'!H2=-1), "", 'titan_ap'!L2/'titan_no_ap'!L2)</f>
        <v/>
      </c>
      <c r="J24">
        <f>IF(OR('titan_ap'!H2=-1, 'titan_no_ap'!H2=-1), "", 'titan_ap'!AC2/'titan_no_ap'!AC2)</f>
        <v/>
      </c>
      <c r="K24">
        <f>IF(OR('titan_ap'!H2=-1, 'titan_no_ap'!H2=-1), "", 'titan_ap'!AD2/'titan_no_ap'!AD2)</f>
        <v/>
      </c>
    </row>
    <row r="25">
      <c r="A25" t="inlineStr">
        <is>
          <t>titan</t>
        </is>
      </c>
      <c r="B25" t="inlineStr">
        <is>
          <t>stratixiv_arch.timing.xml</t>
        </is>
      </c>
      <c r="C25" t="inlineStr">
        <is>
          <t>LU_Network_stratixiv_arch_timing.blif</t>
        </is>
      </c>
      <c r="D25">
        <f>IF(OR('titan_ap'!H3=-1, 'titan_no_ap'!H3=-1), "", 'titan_ap'!F3/'titan_no_ap'!F3)</f>
        <v/>
      </c>
      <c r="E25">
        <f>IF(OR('titan_ap'!H3=-1, 'titan_no_ap'!H3=-1), "", 'titan_ap'!G3/'titan_no_ap'!G3)</f>
        <v/>
      </c>
      <c r="F25">
        <f>IF(OR('titan_ap'!H3=-1, 'titan_no_ap'!H3=-1), "", 'titan_ap'!H3/'titan_no_ap'!H3)</f>
        <v/>
      </c>
      <c r="G25">
        <f>IF(OR('titan_ap'!H3=-1, 'titan_no_ap'!H3=-1), "", 'titan_ap'!J3/'titan_no_ap'!J3)</f>
        <v/>
      </c>
      <c r="H25">
        <f>IF(OR('titan_ap'!H3=-1, 'titan_no_ap'!H3=-1), "", 'titan_ap'!K3/'titan_no_ap'!K3)</f>
        <v/>
      </c>
      <c r="I25">
        <f>IF(OR('titan_ap'!H3=-1, 'titan_no_ap'!H3=-1), "", 'titan_ap'!L3/'titan_no_ap'!L3)</f>
        <v/>
      </c>
      <c r="J25">
        <f>IF(OR('titan_ap'!H3=-1, 'titan_no_ap'!H3=-1), "", 'titan_ap'!AC3/'titan_no_ap'!AC3)</f>
        <v/>
      </c>
      <c r="K25">
        <f>IF(OR('titan_ap'!H3=-1, 'titan_no_ap'!H3=-1), "", 'titan_ap'!AD3/'titan_no_ap'!AD3)</f>
        <v/>
      </c>
    </row>
    <row r="26">
      <c r="A26" t="inlineStr">
        <is>
          <t>titan</t>
        </is>
      </c>
      <c r="B26" t="inlineStr">
        <is>
          <t>stratixiv_arch.timing.xml</t>
        </is>
      </c>
      <c r="C26" t="inlineStr">
        <is>
          <t>SLAM_spheric_stratixiv_arch_timing.blif</t>
        </is>
      </c>
      <c r="D26">
        <f>IF(OR('titan_ap'!H4=-1, 'titan_no_ap'!H4=-1), "", 'titan_ap'!F4/'titan_no_ap'!F4)</f>
        <v/>
      </c>
      <c r="E26">
        <f>IF(OR('titan_ap'!H4=-1, 'titan_no_ap'!H4=-1), "", 'titan_ap'!G4/'titan_no_ap'!G4)</f>
        <v/>
      </c>
      <c r="F26">
        <f>IF(OR('titan_ap'!H4=-1, 'titan_no_ap'!H4=-1), "", 'titan_ap'!H4/'titan_no_ap'!H4)</f>
        <v/>
      </c>
      <c r="G26">
        <f>IF(OR('titan_ap'!H4=-1, 'titan_no_ap'!H4=-1), "", 'titan_ap'!J4/'titan_no_ap'!J4)</f>
        <v/>
      </c>
      <c r="H26">
        <f>IF(OR('titan_ap'!H4=-1, 'titan_no_ap'!H4=-1), "", 'titan_ap'!K4/'titan_no_ap'!K4)</f>
        <v/>
      </c>
      <c r="I26">
        <f>IF(OR('titan_ap'!H4=-1, 'titan_no_ap'!H4=-1), "", 'titan_ap'!L4/'titan_no_ap'!L4)</f>
        <v/>
      </c>
      <c r="J26">
        <f>IF(OR('titan_ap'!H4=-1, 'titan_no_ap'!H4=-1), "", 'titan_ap'!AC4/'titan_no_ap'!AC4)</f>
        <v/>
      </c>
      <c r="K26">
        <f>IF(OR('titan_ap'!H4=-1, 'titan_no_ap'!H4=-1), "", 'titan_ap'!AD4/'titan_no_ap'!AD4)</f>
        <v/>
      </c>
    </row>
    <row r="27">
      <c r="A27" t="inlineStr">
        <is>
          <t>titan</t>
        </is>
      </c>
      <c r="B27" t="inlineStr">
        <is>
          <t>stratixiv_arch.timing.xml</t>
        </is>
      </c>
      <c r="C27" t="inlineStr">
        <is>
          <t>bitcoin_miner_stratixiv_arch_timing.blif</t>
        </is>
      </c>
      <c r="D27">
        <f>IF(OR('titan_ap'!H5=-1, 'titan_no_ap'!H5=-1), "", 'titan_ap'!F5/'titan_no_ap'!F5)</f>
        <v/>
      </c>
      <c r="E27">
        <f>IF(OR('titan_ap'!H5=-1, 'titan_no_ap'!H5=-1), "", 'titan_ap'!G5/'titan_no_ap'!G5)</f>
        <v/>
      </c>
      <c r="F27">
        <f>IF(OR('titan_ap'!H5=-1, 'titan_no_ap'!H5=-1), "", 'titan_ap'!H5/'titan_no_ap'!H5)</f>
        <v/>
      </c>
      <c r="G27">
        <f>IF(OR('titan_ap'!H5=-1, 'titan_no_ap'!H5=-1), "", 'titan_ap'!J5/'titan_no_ap'!J5)</f>
        <v/>
      </c>
      <c r="H27">
        <f>IF(OR('titan_ap'!H5=-1, 'titan_no_ap'!H5=-1), "", 'titan_ap'!K5/'titan_no_ap'!K5)</f>
        <v/>
      </c>
      <c r="I27">
        <f>IF(OR('titan_ap'!H5=-1, 'titan_no_ap'!H5=-1), "", 'titan_ap'!L5/'titan_no_ap'!L5)</f>
        <v/>
      </c>
      <c r="J27">
        <f>IF(OR('titan_ap'!H5=-1, 'titan_no_ap'!H5=-1), "", 'titan_ap'!AC5/'titan_no_ap'!AC5)</f>
        <v/>
      </c>
      <c r="K27">
        <f>IF(OR('titan_ap'!H5=-1, 'titan_no_ap'!H5=-1), "", 'titan_ap'!AD5/'titan_no_ap'!AD5)</f>
        <v/>
      </c>
    </row>
    <row r="28">
      <c r="A28" t="inlineStr">
        <is>
          <t>titan</t>
        </is>
      </c>
      <c r="B28" t="inlineStr">
        <is>
          <t>stratixiv_arch.timing.xml</t>
        </is>
      </c>
      <c r="C28" t="inlineStr">
        <is>
          <t>bitonic_mesh_stratixiv_arch_timing.blif</t>
        </is>
      </c>
      <c r="D28">
        <f>IF(OR('titan_ap'!H6=-1, 'titan_no_ap'!H6=-1), "", 'titan_ap'!F6/'titan_no_ap'!F6)</f>
        <v/>
      </c>
      <c r="E28">
        <f>IF(OR('titan_ap'!H6=-1, 'titan_no_ap'!H6=-1), "", 'titan_ap'!G6/'titan_no_ap'!G6)</f>
        <v/>
      </c>
      <c r="F28">
        <f>IF(OR('titan_ap'!H6=-1, 'titan_no_ap'!H6=-1), "", 'titan_ap'!H6/'titan_no_ap'!H6)</f>
        <v/>
      </c>
      <c r="G28">
        <f>IF(OR('titan_ap'!H6=-1, 'titan_no_ap'!H6=-1), "", 'titan_ap'!J6/'titan_no_ap'!J6)</f>
        <v/>
      </c>
      <c r="H28">
        <f>IF(OR('titan_ap'!H6=-1, 'titan_no_ap'!H6=-1), "", 'titan_ap'!K6/'titan_no_ap'!K6)</f>
        <v/>
      </c>
      <c r="I28">
        <f>IF(OR('titan_ap'!H6=-1, 'titan_no_ap'!H6=-1), "", 'titan_ap'!L6/'titan_no_ap'!L6)</f>
        <v/>
      </c>
      <c r="J28">
        <f>IF(OR('titan_ap'!H6=-1, 'titan_no_ap'!H6=-1), "", 'titan_ap'!AC6/'titan_no_ap'!AC6)</f>
        <v/>
      </c>
      <c r="K28">
        <f>IF(OR('titan_ap'!H6=-1, 'titan_no_ap'!H6=-1), "", 'titan_ap'!AD6/'titan_no_ap'!AD6)</f>
        <v/>
      </c>
    </row>
    <row r="29">
      <c r="A29" t="inlineStr">
        <is>
          <t>titan</t>
        </is>
      </c>
      <c r="B29" t="inlineStr">
        <is>
          <t>stratixiv_arch.timing.xml</t>
        </is>
      </c>
      <c r="C29" t="inlineStr">
        <is>
          <t>cholesky_bdti_stratixiv_arch_timing.blif</t>
        </is>
      </c>
      <c r="D29">
        <f>IF(OR('titan_ap'!H7=-1, 'titan_no_ap'!H7=-1), "", 'titan_ap'!F7/'titan_no_ap'!F7)</f>
        <v/>
      </c>
      <c r="E29">
        <f>IF(OR('titan_ap'!H7=-1, 'titan_no_ap'!H7=-1), "", 'titan_ap'!G7/'titan_no_ap'!G7)</f>
        <v/>
      </c>
      <c r="F29">
        <f>IF(OR('titan_ap'!H7=-1, 'titan_no_ap'!H7=-1), "", 'titan_ap'!H7/'titan_no_ap'!H7)</f>
        <v/>
      </c>
      <c r="G29">
        <f>IF(OR('titan_ap'!H7=-1, 'titan_no_ap'!H7=-1), "", 'titan_ap'!J7/'titan_no_ap'!J7)</f>
        <v/>
      </c>
      <c r="H29">
        <f>IF(OR('titan_ap'!H7=-1, 'titan_no_ap'!H7=-1), "", 'titan_ap'!K7/'titan_no_ap'!K7)</f>
        <v/>
      </c>
      <c r="I29">
        <f>IF(OR('titan_ap'!H7=-1, 'titan_no_ap'!H7=-1), "", 'titan_ap'!L7/'titan_no_ap'!L7)</f>
        <v/>
      </c>
      <c r="J29">
        <f>IF(OR('titan_ap'!H7=-1, 'titan_no_ap'!H7=-1), "", 'titan_ap'!AC7/'titan_no_ap'!AC7)</f>
        <v/>
      </c>
      <c r="K29">
        <f>IF(OR('titan_ap'!H7=-1, 'titan_no_ap'!H7=-1), "", 'titan_ap'!AD7/'titan_no_ap'!AD7)</f>
        <v/>
      </c>
    </row>
    <row r="30">
      <c r="A30" t="inlineStr">
        <is>
          <t>titan</t>
        </is>
      </c>
      <c r="B30" t="inlineStr">
        <is>
          <t>stratixiv_arch.timing.xml</t>
        </is>
      </c>
      <c r="C30" t="inlineStr">
        <is>
          <t>cholesky_mc_stratixiv_arch_timing.blif</t>
        </is>
      </c>
      <c r="D30">
        <f>IF(OR('titan_ap'!H8=-1, 'titan_no_ap'!H8=-1), "", 'titan_ap'!F8/'titan_no_ap'!F8)</f>
        <v/>
      </c>
      <c r="E30">
        <f>IF(OR('titan_ap'!H8=-1, 'titan_no_ap'!H8=-1), "", 'titan_ap'!G8/'titan_no_ap'!G8)</f>
        <v/>
      </c>
      <c r="F30">
        <f>IF(OR('titan_ap'!H8=-1, 'titan_no_ap'!H8=-1), "", 'titan_ap'!H8/'titan_no_ap'!H8)</f>
        <v/>
      </c>
      <c r="G30">
        <f>IF(OR('titan_ap'!H8=-1, 'titan_no_ap'!H8=-1), "", 'titan_ap'!J8/'titan_no_ap'!J8)</f>
        <v/>
      </c>
      <c r="H30">
        <f>IF(OR('titan_ap'!H8=-1, 'titan_no_ap'!H8=-1), "", 'titan_ap'!K8/'titan_no_ap'!K8)</f>
        <v/>
      </c>
      <c r="I30">
        <f>IF(OR('titan_ap'!H8=-1, 'titan_no_ap'!H8=-1), "", 'titan_ap'!L8/'titan_no_ap'!L8)</f>
        <v/>
      </c>
      <c r="J30">
        <f>IF(OR('titan_ap'!H8=-1, 'titan_no_ap'!H8=-1), "", 'titan_ap'!AC8/'titan_no_ap'!AC8)</f>
        <v/>
      </c>
      <c r="K30">
        <f>IF(OR('titan_ap'!H8=-1, 'titan_no_ap'!H8=-1), "", 'titan_ap'!AD8/'titan_no_ap'!AD8)</f>
        <v/>
      </c>
    </row>
    <row r="31">
      <c r="A31" t="inlineStr">
        <is>
          <t>titan</t>
        </is>
      </c>
      <c r="B31" t="inlineStr">
        <is>
          <t>stratixiv_arch.timing.xml</t>
        </is>
      </c>
      <c r="C31" t="inlineStr">
        <is>
          <t>dart_stratixiv_arch_timing.blif</t>
        </is>
      </c>
      <c r="D31">
        <f>IF(OR('titan_ap'!H9=-1, 'titan_no_ap'!H9=-1), "", 'titan_ap'!F9/'titan_no_ap'!F9)</f>
        <v/>
      </c>
      <c r="E31">
        <f>IF(OR('titan_ap'!H9=-1, 'titan_no_ap'!H9=-1), "", 'titan_ap'!G9/'titan_no_ap'!G9)</f>
        <v/>
      </c>
      <c r="F31">
        <f>IF(OR('titan_ap'!H9=-1, 'titan_no_ap'!H9=-1), "", 'titan_ap'!H9/'titan_no_ap'!H9)</f>
        <v/>
      </c>
      <c r="G31">
        <f>IF(OR('titan_ap'!H9=-1, 'titan_no_ap'!H9=-1), "", 'titan_ap'!J9/'titan_no_ap'!J9)</f>
        <v/>
      </c>
      <c r="H31">
        <f>IF(OR('titan_ap'!H9=-1, 'titan_no_ap'!H9=-1), "", 'titan_ap'!K9/'titan_no_ap'!K9)</f>
        <v/>
      </c>
      <c r="I31">
        <f>IF(OR('titan_ap'!H9=-1, 'titan_no_ap'!H9=-1), "", 'titan_ap'!L9/'titan_no_ap'!L9)</f>
        <v/>
      </c>
      <c r="J31">
        <f>IF(OR('titan_ap'!H9=-1, 'titan_no_ap'!H9=-1), "", 'titan_ap'!AC9/'titan_no_ap'!AC9)</f>
        <v/>
      </c>
      <c r="K31">
        <f>IF(OR('titan_ap'!H9=-1, 'titan_no_ap'!H9=-1), "", 'titan_ap'!AD9/'titan_no_ap'!AD9)</f>
        <v/>
      </c>
    </row>
    <row r="32">
      <c r="A32" t="inlineStr">
        <is>
          <t>titan</t>
        </is>
      </c>
      <c r="B32" t="inlineStr">
        <is>
          <t>stratixiv_arch.timing.xml</t>
        </is>
      </c>
      <c r="C32" t="inlineStr">
        <is>
          <t>denoise_stratixiv_arch_timing.blif</t>
        </is>
      </c>
      <c r="D32">
        <f>IF(OR('titan_ap'!H10=-1, 'titan_no_ap'!H10=-1), "", 'titan_ap'!F10/'titan_no_ap'!F10)</f>
        <v/>
      </c>
      <c r="E32">
        <f>IF(OR('titan_ap'!H10=-1, 'titan_no_ap'!H10=-1), "", 'titan_ap'!G10/'titan_no_ap'!G10)</f>
        <v/>
      </c>
      <c r="F32">
        <f>IF(OR('titan_ap'!H10=-1, 'titan_no_ap'!H10=-1), "", 'titan_ap'!H10/'titan_no_ap'!H10)</f>
        <v/>
      </c>
      <c r="G32">
        <f>IF(OR('titan_ap'!H10=-1, 'titan_no_ap'!H10=-1), "", 'titan_ap'!J10/'titan_no_ap'!J10)</f>
        <v/>
      </c>
      <c r="H32">
        <f>IF(OR('titan_ap'!H10=-1, 'titan_no_ap'!H10=-1), "", 'titan_ap'!K10/'titan_no_ap'!K10)</f>
        <v/>
      </c>
      <c r="I32">
        <f>IF(OR('titan_ap'!H10=-1, 'titan_no_ap'!H10=-1), "", 'titan_ap'!L10/'titan_no_ap'!L10)</f>
        <v/>
      </c>
      <c r="J32">
        <f>IF(OR('titan_ap'!H10=-1, 'titan_no_ap'!H10=-1), "", 'titan_ap'!AC10/'titan_no_ap'!AC10)</f>
        <v/>
      </c>
      <c r="K32">
        <f>IF(OR('titan_ap'!H10=-1, 'titan_no_ap'!H10=-1), "", 'titan_ap'!AD10/'titan_no_ap'!AD10)</f>
        <v/>
      </c>
    </row>
    <row r="33">
      <c r="A33" t="inlineStr">
        <is>
          <t>titan</t>
        </is>
      </c>
      <c r="B33" t="inlineStr">
        <is>
          <t>stratixiv_arch.timing.xml</t>
        </is>
      </c>
      <c r="C33" t="inlineStr">
        <is>
          <t>des90_stratixiv_arch_timing.blif</t>
        </is>
      </c>
      <c r="D33">
        <f>IF(OR('titan_ap'!H11=-1, 'titan_no_ap'!H11=-1), "", 'titan_ap'!F11/'titan_no_ap'!F11)</f>
        <v/>
      </c>
      <c r="E33">
        <f>IF(OR('titan_ap'!H11=-1, 'titan_no_ap'!H11=-1), "", 'titan_ap'!G11/'titan_no_ap'!G11)</f>
        <v/>
      </c>
      <c r="F33">
        <f>IF(OR('titan_ap'!H11=-1, 'titan_no_ap'!H11=-1), "", 'titan_ap'!H11/'titan_no_ap'!H11)</f>
        <v/>
      </c>
      <c r="G33">
        <f>IF(OR('titan_ap'!H11=-1, 'titan_no_ap'!H11=-1), "", 'titan_ap'!J11/'titan_no_ap'!J11)</f>
        <v/>
      </c>
      <c r="H33">
        <f>IF(OR('titan_ap'!H11=-1, 'titan_no_ap'!H11=-1), "", 'titan_ap'!K11/'titan_no_ap'!K11)</f>
        <v/>
      </c>
      <c r="I33">
        <f>IF(OR('titan_ap'!H11=-1, 'titan_no_ap'!H11=-1), "", 'titan_ap'!L11/'titan_no_ap'!L11)</f>
        <v/>
      </c>
      <c r="J33">
        <f>IF(OR('titan_ap'!H11=-1, 'titan_no_ap'!H11=-1), "", 'titan_ap'!AC11/'titan_no_ap'!AC11)</f>
        <v/>
      </c>
      <c r="K33">
        <f>IF(OR('titan_ap'!H11=-1, 'titan_no_ap'!H11=-1), "", 'titan_ap'!AD11/'titan_no_ap'!AD11)</f>
        <v/>
      </c>
    </row>
    <row r="34">
      <c r="A34" t="inlineStr">
        <is>
          <t>titan</t>
        </is>
      </c>
      <c r="B34" t="inlineStr">
        <is>
          <t>stratixiv_arch.timing.xml</t>
        </is>
      </c>
      <c r="C34" t="inlineStr">
        <is>
          <t>directrf_stratixiv_arch_timing.blif</t>
        </is>
      </c>
      <c r="D34">
        <f>IF(OR('titan_ap'!H12=-1, 'titan_no_ap'!H12=-1), "", 'titan_ap'!F12/'titan_no_ap'!F12)</f>
        <v/>
      </c>
      <c r="E34">
        <f>IF(OR('titan_ap'!H12=-1, 'titan_no_ap'!H12=-1), "", 'titan_ap'!G12/'titan_no_ap'!G12)</f>
        <v/>
      </c>
      <c r="F34">
        <f>IF(OR('titan_ap'!H12=-1, 'titan_no_ap'!H12=-1), "", 'titan_ap'!H12/'titan_no_ap'!H12)</f>
        <v/>
      </c>
      <c r="G34">
        <f>IF(OR('titan_ap'!H12=-1, 'titan_no_ap'!H12=-1), "", 'titan_ap'!J12/'titan_no_ap'!J12)</f>
        <v/>
      </c>
      <c r="H34">
        <f>IF(OR('titan_ap'!H12=-1, 'titan_no_ap'!H12=-1), "", 'titan_ap'!K12/'titan_no_ap'!K12)</f>
        <v/>
      </c>
      <c r="I34">
        <f>IF(OR('titan_ap'!H12=-1, 'titan_no_ap'!H12=-1), "", 'titan_ap'!L12/'titan_no_ap'!L12)</f>
        <v/>
      </c>
      <c r="J34">
        <f>IF(OR('titan_ap'!H12=-1, 'titan_no_ap'!H12=-1), "", 'titan_ap'!AC12/'titan_no_ap'!AC12)</f>
        <v/>
      </c>
      <c r="K34">
        <f>IF(OR('titan_ap'!H12=-1, 'titan_no_ap'!H12=-1), "", 'titan_ap'!AD12/'titan_no_ap'!AD12)</f>
        <v/>
      </c>
    </row>
    <row r="35">
      <c r="A35" t="inlineStr">
        <is>
          <t>titan</t>
        </is>
      </c>
      <c r="B35" t="inlineStr">
        <is>
          <t>stratixiv_arch.timing.xml</t>
        </is>
      </c>
      <c r="C35" t="inlineStr">
        <is>
          <t>gsm_switch_stratixiv_arch_timing.blif</t>
        </is>
      </c>
      <c r="D35">
        <f>IF(OR('titan_ap'!H13=-1, 'titan_no_ap'!H13=-1), "", 'titan_ap'!F13/'titan_no_ap'!F13)</f>
        <v/>
      </c>
      <c r="E35">
        <f>IF(OR('titan_ap'!H13=-1, 'titan_no_ap'!H13=-1), "", 'titan_ap'!G13/'titan_no_ap'!G13)</f>
        <v/>
      </c>
      <c r="F35">
        <f>IF(OR('titan_ap'!H13=-1, 'titan_no_ap'!H13=-1), "", 'titan_ap'!H13/'titan_no_ap'!H13)</f>
        <v/>
      </c>
      <c r="G35">
        <f>IF(OR('titan_ap'!H13=-1, 'titan_no_ap'!H13=-1), "", 'titan_ap'!J13/'titan_no_ap'!J13)</f>
        <v/>
      </c>
      <c r="H35">
        <f>IF(OR('titan_ap'!H13=-1, 'titan_no_ap'!H13=-1), "", 'titan_ap'!K13/'titan_no_ap'!K13)</f>
        <v/>
      </c>
      <c r="I35">
        <f>IF(OR('titan_ap'!H13=-1, 'titan_no_ap'!H13=-1), "", 'titan_ap'!L13/'titan_no_ap'!L13)</f>
        <v/>
      </c>
      <c r="J35">
        <f>IF(OR('titan_ap'!H13=-1, 'titan_no_ap'!H13=-1), "", 'titan_ap'!AC13/'titan_no_ap'!AC13)</f>
        <v/>
      </c>
      <c r="K35">
        <f>IF(OR('titan_ap'!H13=-1, 'titan_no_ap'!H13=-1), "", 'titan_ap'!AD13/'titan_no_ap'!AD13)</f>
        <v/>
      </c>
    </row>
    <row r="36">
      <c r="A36" t="inlineStr">
        <is>
          <t>titan</t>
        </is>
      </c>
      <c r="B36" t="inlineStr">
        <is>
          <t>stratixiv_arch.timing.xml</t>
        </is>
      </c>
      <c r="C36" t="inlineStr">
        <is>
          <t>mes_noc_stratixiv_arch_timing.blif</t>
        </is>
      </c>
      <c r="D36">
        <f>IF(OR('titan_ap'!H14=-1, 'titan_no_ap'!H14=-1), "", 'titan_ap'!F14/'titan_no_ap'!F14)</f>
        <v/>
      </c>
      <c r="E36">
        <f>IF(OR('titan_ap'!H14=-1, 'titan_no_ap'!H14=-1), "", 'titan_ap'!G14/'titan_no_ap'!G14)</f>
        <v/>
      </c>
      <c r="F36">
        <f>IF(OR('titan_ap'!H14=-1, 'titan_no_ap'!H14=-1), "", 'titan_ap'!H14/'titan_no_ap'!H14)</f>
        <v/>
      </c>
      <c r="G36">
        <f>IF(OR('titan_ap'!H14=-1, 'titan_no_ap'!H14=-1), "", 'titan_ap'!J14/'titan_no_ap'!J14)</f>
        <v/>
      </c>
      <c r="H36">
        <f>IF(OR('titan_ap'!H14=-1, 'titan_no_ap'!H14=-1), "", 'titan_ap'!K14/'titan_no_ap'!K14)</f>
        <v/>
      </c>
      <c r="I36">
        <f>IF(OR('titan_ap'!H14=-1, 'titan_no_ap'!H14=-1), "", 'titan_ap'!L14/'titan_no_ap'!L14)</f>
        <v/>
      </c>
      <c r="J36">
        <f>IF(OR('titan_ap'!H14=-1, 'titan_no_ap'!H14=-1), "", 'titan_ap'!AC14/'titan_no_ap'!AC14)</f>
        <v/>
      </c>
      <c r="K36">
        <f>IF(OR('titan_ap'!H14=-1, 'titan_no_ap'!H14=-1), "", 'titan_ap'!AD14/'titan_no_ap'!AD14)</f>
        <v/>
      </c>
    </row>
    <row r="37">
      <c r="A37" t="inlineStr">
        <is>
          <t>titan</t>
        </is>
      </c>
      <c r="B37" t="inlineStr">
        <is>
          <t>stratixiv_arch.timing.xml</t>
        </is>
      </c>
      <c r="C37" t="inlineStr">
        <is>
          <t>minres_stratixiv_arch_timing.blif</t>
        </is>
      </c>
      <c r="D37">
        <f>IF(OR('titan_ap'!H15=-1, 'titan_no_ap'!H15=-1), "", 'titan_ap'!F15/'titan_no_ap'!F15)</f>
        <v/>
      </c>
      <c r="E37">
        <f>IF(OR('titan_ap'!H15=-1, 'titan_no_ap'!H15=-1), "", 'titan_ap'!G15/'titan_no_ap'!G15)</f>
        <v/>
      </c>
      <c r="F37">
        <f>IF(OR('titan_ap'!H15=-1, 'titan_no_ap'!H15=-1), "", 'titan_ap'!H15/'titan_no_ap'!H15)</f>
        <v/>
      </c>
      <c r="G37">
        <f>IF(OR('titan_ap'!H15=-1, 'titan_no_ap'!H15=-1), "", 'titan_ap'!J15/'titan_no_ap'!J15)</f>
        <v/>
      </c>
      <c r="H37">
        <f>IF(OR('titan_ap'!H15=-1, 'titan_no_ap'!H15=-1), "", 'titan_ap'!K15/'titan_no_ap'!K15)</f>
        <v/>
      </c>
      <c r="I37">
        <f>IF(OR('titan_ap'!H15=-1, 'titan_no_ap'!H15=-1), "", 'titan_ap'!L15/'titan_no_ap'!L15)</f>
        <v/>
      </c>
      <c r="J37">
        <f>IF(OR('titan_ap'!H15=-1, 'titan_no_ap'!H15=-1), "", 'titan_ap'!AC15/'titan_no_ap'!AC15)</f>
        <v/>
      </c>
      <c r="K37">
        <f>IF(OR('titan_ap'!H15=-1, 'titan_no_ap'!H15=-1), "", 'titan_ap'!AD15/'titan_no_ap'!AD15)</f>
        <v/>
      </c>
    </row>
    <row r="38">
      <c r="A38" t="inlineStr">
        <is>
          <t>titan</t>
        </is>
      </c>
      <c r="B38" t="inlineStr">
        <is>
          <t>stratixiv_arch.timing.xml</t>
        </is>
      </c>
      <c r="C38" t="inlineStr">
        <is>
          <t>neuron_stratixiv_arch_timing.blif</t>
        </is>
      </c>
      <c r="D38">
        <f>IF(OR('titan_ap'!H16=-1, 'titan_no_ap'!H16=-1), "", 'titan_ap'!F16/'titan_no_ap'!F16)</f>
        <v/>
      </c>
      <c r="E38">
        <f>IF(OR('titan_ap'!H16=-1, 'titan_no_ap'!H16=-1), "", 'titan_ap'!G16/'titan_no_ap'!G16)</f>
        <v/>
      </c>
      <c r="F38">
        <f>IF(OR('titan_ap'!H16=-1, 'titan_no_ap'!H16=-1), "", 'titan_ap'!H16/'titan_no_ap'!H16)</f>
        <v/>
      </c>
      <c r="G38">
        <f>IF(OR('titan_ap'!H16=-1, 'titan_no_ap'!H16=-1), "", 'titan_ap'!J16/'titan_no_ap'!J16)</f>
        <v/>
      </c>
      <c r="H38">
        <f>IF(OR('titan_ap'!H16=-1, 'titan_no_ap'!H16=-1), "", 'titan_ap'!K16/'titan_no_ap'!K16)</f>
        <v/>
      </c>
      <c r="I38">
        <f>IF(OR('titan_ap'!H16=-1, 'titan_no_ap'!H16=-1), "", 'titan_ap'!L16/'titan_no_ap'!L16)</f>
        <v/>
      </c>
      <c r="J38">
        <f>IF(OR('titan_ap'!H16=-1, 'titan_no_ap'!H16=-1), "", 'titan_ap'!AC16/'titan_no_ap'!AC16)</f>
        <v/>
      </c>
      <c r="K38">
        <f>IF(OR('titan_ap'!H16=-1, 'titan_no_ap'!H16=-1), "", 'titan_ap'!AD16/'titan_no_ap'!AD16)</f>
        <v/>
      </c>
    </row>
    <row r="39">
      <c r="A39" t="inlineStr">
        <is>
          <t>titan</t>
        </is>
      </c>
      <c r="B39" t="inlineStr">
        <is>
          <t>stratixiv_arch.timing.xml</t>
        </is>
      </c>
      <c r="C39" t="inlineStr">
        <is>
          <t>openCV_stratixiv_arch_timing.blif</t>
        </is>
      </c>
      <c r="D39">
        <f>IF(OR('titan_ap'!H17=-1, 'titan_no_ap'!H17=-1), "", 'titan_ap'!F17/'titan_no_ap'!F17)</f>
        <v/>
      </c>
      <c r="E39">
        <f>IF(OR('titan_ap'!H17=-1, 'titan_no_ap'!H17=-1), "", 'titan_ap'!G17/'titan_no_ap'!G17)</f>
        <v/>
      </c>
      <c r="F39">
        <f>IF(OR('titan_ap'!H17=-1, 'titan_no_ap'!H17=-1), "", 'titan_ap'!H17/'titan_no_ap'!H17)</f>
        <v/>
      </c>
      <c r="G39">
        <f>IF(OR('titan_ap'!H17=-1, 'titan_no_ap'!H17=-1), "", 'titan_ap'!J17/'titan_no_ap'!J17)</f>
        <v/>
      </c>
      <c r="H39">
        <f>IF(OR('titan_ap'!H17=-1, 'titan_no_ap'!H17=-1), "", 'titan_ap'!K17/'titan_no_ap'!K17)</f>
        <v/>
      </c>
      <c r="I39">
        <f>IF(OR('titan_ap'!H17=-1, 'titan_no_ap'!H17=-1), "", 'titan_ap'!L17/'titan_no_ap'!L17)</f>
        <v/>
      </c>
      <c r="J39">
        <f>IF(OR('titan_ap'!H17=-1, 'titan_no_ap'!H17=-1), "", 'titan_ap'!AC17/'titan_no_ap'!AC17)</f>
        <v/>
      </c>
      <c r="K39">
        <f>IF(OR('titan_ap'!H17=-1, 'titan_no_ap'!H17=-1), "", 'titan_ap'!AD17/'titan_no_ap'!AD17)</f>
        <v/>
      </c>
    </row>
    <row r="40">
      <c r="A40" t="inlineStr">
        <is>
          <t>titan</t>
        </is>
      </c>
      <c r="B40" t="inlineStr">
        <is>
          <t>stratixiv_arch.timing.xml</t>
        </is>
      </c>
      <c r="C40" t="inlineStr">
        <is>
          <t>segmentation_stratixiv_arch_timing.blif</t>
        </is>
      </c>
      <c r="D40">
        <f>IF(OR('titan_ap'!H18=-1, 'titan_no_ap'!H18=-1), "", 'titan_ap'!F18/'titan_no_ap'!F18)</f>
        <v/>
      </c>
      <c r="E40">
        <f>IF(OR('titan_ap'!H18=-1, 'titan_no_ap'!H18=-1), "", 'titan_ap'!G18/'titan_no_ap'!G18)</f>
        <v/>
      </c>
      <c r="F40">
        <f>IF(OR('titan_ap'!H18=-1, 'titan_no_ap'!H18=-1), "", 'titan_ap'!H18/'titan_no_ap'!H18)</f>
        <v/>
      </c>
      <c r="G40">
        <f>IF(OR('titan_ap'!H18=-1, 'titan_no_ap'!H18=-1), "", 'titan_ap'!J18/'titan_no_ap'!J18)</f>
        <v/>
      </c>
      <c r="H40">
        <f>IF(OR('titan_ap'!H18=-1, 'titan_no_ap'!H18=-1), "", 'titan_ap'!K18/'titan_no_ap'!K18)</f>
        <v/>
      </c>
      <c r="I40">
        <f>IF(OR('titan_ap'!H18=-1, 'titan_no_ap'!H18=-1), "", 'titan_ap'!L18/'titan_no_ap'!L18)</f>
        <v/>
      </c>
      <c r="J40">
        <f>IF(OR('titan_ap'!H18=-1, 'titan_no_ap'!H18=-1), "", 'titan_ap'!AC18/'titan_no_ap'!AC18)</f>
        <v/>
      </c>
      <c r="K40">
        <f>IF(OR('titan_ap'!H18=-1, 'titan_no_ap'!H18=-1), "", 'titan_ap'!AD18/'titan_no_ap'!AD18)</f>
        <v/>
      </c>
    </row>
    <row r="41">
      <c r="A41" t="inlineStr">
        <is>
          <t>titan</t>
        </is>
      </c>
      <c r="B41" t="inlineStr">
        <is>
          <t>stratixiv_arch.timing.xml</t>
        </is>
      </c>
      <c r="C41" t="inlineStr">
        <is>
          <t>sparcT1_chip2_stratixiv_arch_timing.blif</t>
        </is>
      </c>
      <c r="D41">
        <f>IF(OR('titan_ap'!H19=-1, 'titan_no_ap'!H19=-1), "", 'titan_ap'!F19/'titan_no_ap'!F19)</f>
        <v/>
      </c>
      <c r="E41">
        <f>IF(OR('titan_ap'!H19=-1, 'titan_no_ap'!H19=-1), "", 'titan_ap'!G19/'titan_no_ap'!G19)</f>
        <v/>
      </c>
      <c r="F41">
        <f>IF(OR('titan_ap'!H19=-1, 'titan_no_ap'!H19=-1), "", 'titan_ap'!H19/'titan_no_ap'!H19)</f>
        <v/>
      </c>
      <c r="G41">
        <f>IF(OR('titan_ap'!H19=-1, 'titan_no_ap'!H19=-1), "", 'titan_ap'!J19/'titan_no_ap'!J19)</f>
        <v/>
      </c>
      <c r="H41">
        <f>IF(OR('titan_ap'!H19=-1, 'titan_no_ap'!H19=-1), "", 'titan_ap'!K19/'titan_no_ap'!K19)</f>
        <v/>
      </c>
      <c r="I41">
        <f>IF(OR('titan_ap'!H19=-1, 'titan_no_ap'!H19=-1), "", 'titan_ap'!L19/'titan_no_ap'!L19)</f>
        <v/>
      </c>
      <c r="J41">
        <f>IF(OR('titan_ap'!H19=-1, 'titan_no_ap'!H19=-1), "", 'titan_ap'!AC19/'titan_no_ap'!AC19)</f>
        <v/>
      </c>
      <c r="K41">
        <f>IF(OR('titan_ap'!H19=-1, 'titan_no_ap'!H19=-1), "", 'titan_ap'!AD19/'titan_no_ap'!AD19)</f>
        <v/>
      </c>
    </row>
    <row r="42">
      <c r="A42" t="inlineStr">
        <is>
          <t>titan</t>
        </is>
      </c>
      <c r="B42" t="inlineStr">
        <is>
          <t>stratixiv_arch.timing.xml</t>
        </is>
      </c>
      <c r="C42" t="inlineStr">
        <is>
          <t>sparcT1_core_stratixiv_arch_timing.blif</t>
        </is>
      </c>
      <c r="D42">
        <f>IF(OR('titan_ap'!H20=-1, 'titan_no_ap'!H20=-1), "", 'titan_ap'!F20/'titan_no_ap'!F20)</f>
        <v/>
      </c>
      <c r="E42">
        <f>IF(OR('titan_ap'!H20=-1, 'titan_no_ap'!H20=-1), "", 'titan_ap'!G20/'titan_no_ap'!G20)</f>
        <v/>
      </c>
      <c r="F42">
        <f>IF(OR('titan_ap'!H20=-1, 'titan_no_ap'!H20=-1), "", 'titan_ap'!H20/'titan_no_ap'!H20)</f>
        <v/>
      </c>
      <c r="G42">
        <f>IF(OR('titan_ap'!H20=-1, 'titan_no_ap'!H20=-1), "", 'titan_ap'!J20/'titan_no_ap'!J20)</f>
        <v/>
      </c>
      <c r="H42">
        <f>IF(OR('titan_ap'!H20=-1, 'titan_no_ap'!H20=-1), "", 'titan_ap'!K20/'titan_no_ap'!K20)</f>
        <v/>
      </c>
      <c r="I42">
        <f>IF(OR('titan_ap'!H20=-1, 'titan_no_ap'!H20=-1), "", 'titan_ap'!L20/'titan_no_ap'!L20)</f>
        <v/>
      </c>
      <c r="J42">
        <f>IF(OR('titan_ap'!H20=-1, 'titan_no_ap'!H20=-1), "", 'titan_ap'!AC20/'titan_no_ap'!AC20)</f>
        <v/>
      </c>
      <c r="K42">
        <f>IF(OR('titan_ap'!H20=-1, 'titan_no_ap'!H20=-1), "", 'titan_ap'!AD20/'titan_no_ap'!AD20)</f>
        <v/>
      </c>
    </row>
    <row r="43">
      <c r="A43" t="inlineStr">
        <is>
          <t>titan</t>
        </is>
      </c>
      <c r="B43" t="inlineStr">
        <is>
          <t>stratixiv_arch.timing.xml</t>
        </is>
      </c>
      <c r="C43" t="inlineStr">
        <is>
          <t>sparcT2_core_stratixiv_arch_timing.blif</t>
        </is>
      </c>
      <c r="D43">
        <f>IF(OR('titan_ap'!H21=-1, 'titan_no_ap'!H21=-1), "", 'titan_ap'!F21/'titan_no_ap'!F21)</f>
        <v/>
      </c>
      <c r="E43">
        <f>IF(OR('titan_ap'!H21=-1, 'titan_no_ap'!H21=-1), "", 'titan_ap'!G21/'titan_no_ap'!G21)</f>
        <v/>
      </c>
      <c r="F43">
        <f>IF(OR('titan_ap'!H21=-1, 'titan_no_ap'!H21=-1), "", 'titan_ap'!H21/'titan_no_ap'!H21)</f>
        <v/>
      </c>
      <c r="G43">
        <f>IF(OR('titan_ap'!H21=-1, 'titan_no_ap'!H21=-1), "", 'titan_ap'!J21/'titan_no_ap'!J21)</f>
        <v/>
      </c>
      <c r="H43">
        <f>IF(OR('titan_ap'!H21=-1, 'titan_no_ap'!H21=-1), "", 'titan_ap'!K21/'titan_no_ap'!K21)</f>
        <v/>
      </c>
      <c r="I43">
        <f>IF(OR('titan_ap'!H21=-1, 'titan_no_ap'!H21=-1), "", 'titan_ap'!L21/'titan_no_ap'!L21)</f>
        <v/>
      </c>
      <c r="J43">
        <f>IF(OR('titan_ap'!H21=-1, 'titan_no_ap'!H21=-1), "", 'titan_ap'!AC21/'titan_no_ap'!AC21)</f>
        <v/>
      </c>
      <c r="K43">
        <f>IF(OR('titan_ap'!H21=-1, 'titan_no_ap'!H21=-1), "", 'titan_ap'!AD21/'titan_no_ap'!AD21)</f>
        <v/>
      </c>
    </row>
    <row r="44">
      <c r="A44" t="inlineStr">
        <is>
          <t>titan</t>
        </is>
      </c>
      <c r="B44" t="inlineStr">
        <is>
          <t>stratixiv_arch.timing.xml</t>
        </is>
      </c>
      <c r="C44" t="inlineStr">
        <is>
          <t>stap_qrd_stratixiv_arch_timing.blif</t>
        </is>
      </c>
      <c r="D44">
        <f>IF(OR('titan_ap'!H22=-1, 'titan_no_ap'!H22=-1), "", 'titan_ap'!F22/'titan_no_ap'!F22)</f>
        <v/>
      </c>
      <c r="E44">
        <f>IF(OR('titan_ap'!H22=-1, 'titan_no_ap'!H22=-1), "", 'titan_ap'!G22/'titan_no_ap'!G22)</f>
        <v/>
      </c>
      <c r="F44">
        <f>IF(OR('titan_ap'!H22=-1, 'titan_no_ap'!H22=-1), "", 'titan_ap'!H22/'titan_no_ap'!H22)</f>
        <v/>
      </c>
      <c r="G44">
        <f>IF(OR('titan_ap'!H22=-1, 'titan_no_ap'!H22=-1), "", 'titan_ap'!J22/'titan_no_ap'!J22)</f>
        <v/>
      </c>
      <c r="H44">
        <f>IF(OR('titan_ap'!H22=-1, 'titan_no_ap'!H22=-1), "", 'titan_ap'!K22/'titan_no_ap'!K22)</f>
        <v/>
      </c>
      <c r="I44">
        <f>IF(OR('titan_ap'!H22=-1, 'titan_no_ap'!H22=-1), "", 'titan_ap'!L22/'titan_no_ap'!L22)</f>
        <v/>
      </c>
      <c r="J44">
        <f>IF(OR('titan_ap'!H22=-1, 'titan_no_ap'!H22=-1), "", 'titan_ap'!AC22/'titan_no_ap'!AC22)</f>
        <v/>
      </c>
      <c r="K44">
        <f>IF(OR('titan_ap'!H22=-1, 'titan_no_ap'!H22=-1), "", 'titan_ap'!AD22/'titan_no_ap'!AD22)</f>
        <v/>
      </c>
    </row>
    <row r="45">
      <c r="A45" t="inlineStr">
        <is>
          <t>titan</t>
        </is>
      </c>
      <c r="B45" t="inlineStr">
        <is>
          <t>stratixiv_arch.timing.xml</t>
        </is>
      </c>
      <c r="C45" t="inlineStr">
        <is>
          <t>stereo_vision_stratixiv_arch_timing.blif</t>
        </is>
      </c>
      <c r="D45">
        <f>IF(OR('titan_ap'!H23=-1, 'titan_no_ap'!H23=-1), "", 'titan_ap'!F23/'titan_no_ap'!F23)</f>
        <v/>
      </c>
      <c r="E45">
        <f>IF(OR('titan_ap'!H23=-1, 'titan_no_ap'!H23=-1), "", 'titan_ap'!G23/'titan_no_ap'!G23)</f>
        <v/>
      </c>
      <c r="F45">
        <f>IF(OR('titan_ap'!H23=-1, 'titan_no_ap'!H23=-1), "", 'titan_ap'!H23/'titan_no_ap'!H23)</f>
        <v/>
      </c>
      <c r="G45">
        <f>IF(OR('titan_ap'!H23=-1, 'titan_no_ap'!H23=-1), "", 'titan_ap'!J23/'titan_no_ap'!J23)</f>
        <v/>
      </c>
      <c r="H45">
        <f>IF(OR('titan_ap'!H23=-1, 'titan_no_ap'!H23=-1), "", 'titan_ap'!K23/'titan_no_ap'!K23)</f>
        <v/>
      </c>
      <c r="I45">
        <f>IF(OR('titan_ap'!H23=-1, 'titan_no_ap'!H23=-1), "", 'titan_ap'!L23/'titan_no_ap'!L23)</f>
        <v/>
      </c>
      <c r="J45">
        <f>IF(OR('titan_ap'!H23=-1, 'titan_no_ap'!H23=-1), "", 'titan_ap'!AC23/'titan_no_ap'!AC23)</f>
        <v/>
      </c>
      <c r="K45">
        <f>IF(OR('titan_ap'!H23=-1, 'titan_no_ap'!H23=-1), "", 'titan_ap'!AD23/'titan_no_ap'!AD23)</f>
        <v/>
      </c>
    </row>
    <row r="46">
      <c r="A46" t="inlineStr">
        <is>
          <t>titan</t>
        </is>
      </c>
      <c r="B46" t="inlineStr">
        <is>
          <t>stratixiv_arch.timing.xml</t>
        </is>
      </c>
      <c r="C46" t="inlineStr">
        <is>
          <t>gaussianblur_stratixiv_arch_timing.blif</t>
        </is>
      </c>
      <c r="D46">
        <f>IF(OR('titan_ap'!H24=-1, 'titan_no_ap'!H24=-1), "", 'titan_ap'!F24/'titan_no_ap'!F24)</f>
        <v/>
      </c>
      <c r="E46">
        <f>IF(OR('titan_ap'!H24=-1, 'titan_no_ap'!H24=-1), "", 'titan_ap'!G24/'titan_no_ap'!G24)</f>
        <v/>
      </c>
      <c r="F46">
        <f>IF(OR('titan_ap'!H24=-1, 'titan_no_ap'!H24=-1), "", 'titan_ap'!H24/'titan_no_ap'!H24)</f>
        <v/>
      </c>
      <c r="G46">
        <f>IF(OR('titan_ap'!H24=-1, 'titan_no_ap'!H24=-1), "", 'titan_ap'!J24/'titan_no_ap'!J24)</f>
        <v/>
      </c>
      <c r="H46">
        <f>IF(OR('titan_ap'!H24=-1, 'titan_no_ap'!H24=-1), "", 'titan_ap'!K24/'titan_no_ap'!K24)</f>
        <v/>
      </c>
      <c r="I46">
        <f>IF(OR('titan_ap'!H24=-1, 'titan_no_ap'!H24=-1), "", 'titan_ap'!L24/'titan_no_ap'!L24)</f>
        <v/>
      </c>
      <c r="J46">
        <f>IF(OR('titan_ap'!H24=-1, 'titan_no_ap'!H24=-1), "", 'titan_ap'!AC24/'titan_no_ap'!AC24)</f>
        <v/>
      </c>
      <c r="K46">
        <f>IF(OR('titan_ap'!H24=-1, 'titan_no_ap'!H24=-1), "", 'titan_ap'!AD24/'titan_no_ap'!AD24)</f>
        <v/>
      </c>
    </row>
    <row r="47">
      <c r="A47" t="inlineStr">
        <is>
          <t>titan</t>
        </is>
      </c>
      <c r="B47" t="inlineStr"/>
      <c r="C47" t="inlineStr">
        <is>
          <t>GEOMEAN</t>
        </is>
      </c>
      <c r="D47">
        <f>GEOMEAN(D24:D46)</f>
        <v/>
      </c>
      <c r="E47">
        <f>GEOMEAN(E24:E46)</f>
        <v/>
      </c>
      <c r="F47">
        <f>GEOMEAN(F24:F46)</f>
        <v/>
      </c>
      <c r="G47">
        <f>GEOMEAN(G24:G46)</f>
        <v/>
      </c>
      <c r="H47">
        <f>GEOMEAN(H24:H46)</f>
        <v/>
      </c>
      <c r="I47">
        <f>GEOMEAN(I24:I46)</f>
        <v/>
      </c>
      <c r="J47">
        <f>GEOMEAN(J24:J46)</f>
        <v/>
      </c>
      <c r="K47">
        <f>GEOMEAN(K24:K46)</f>
        <v/>
      </c>
    </row>
    <row r="48">
      <c r="A48" t="inlineStr">
        <is>
          <t>titan</t>
        </is>
      </c>
      <c r="B48" t="inlineStr"/>
      <c r="C48" t="inlineStr">
        <is>
          <t>UNROUTES</t>
        </is>
      </c>
      <c r="D48">
        <f>23 - COUNT(F24:F46)</f>
        <v/>
      </c>
    </row>
    <row r="49">
      <c r="A49" t="inlineStr"/>
    </row>
    <row r="50">
      <c r="A50" t="inlineStr">
        <is>
          <t>koios</t>
        </is>
      </c>
      <c r="B50" t="inlineStr">
        <is>
          <t>k6FracN10LB_mem20K_complexDSP_customSB_22nm.xml</t>
        </is>
      </c>
      <c r="C50" t="inlineStr">
        <is>
          <t>attention_layer.v</t>
        </is>
      </c>
      <c r="D50">
        <f>IF(OR('koios_ap'!H2=-1, 'koios_no_ap'!H2=-1), "", 'koios_ap'!F2/'koios_no_ap'!F2)</f>
        <v/>
      </c>
      <c r="E50">
        <f>IF(OR('koios_ap'!H2=-1, 'koios_no_ap'!H2=-1), "", 'koios_ap'!G2/'koios_no_ap'!G2)</f>
        <v/>
      </c>
      <c r="F50">
        <f>IF(OR('koios_ap'!H2=-1, 'koios_no_ap'!H2=-1), "", 'koios_ap'!H2/'koios_no_ap'!H2)</f>
        <v/>
      </c>
      <c r="G50">
        <f>IF(OR('koios_ap'!H2=-1, 'koios_no_ap'!H2=-1), "", 'koios_ap'!J2/'koios_no_ap'!J2)</f>
        <v/>
      </c>
      <c r="H50">
        <f>IF(OR('koios_ap'!H2=-1, 'koios_no_ap'!H2=-1), "", 'koios_ap'!K2/'koios_no_ap'!K2)</f>
        <v/>
      </c>
      <c r="I50">
        <f>IF(OR('koios_ap'!H2=-1, 'koios_no_ap'!H2=-1), "", 'koios_ap'!L2/'koios_no_ap'!L2)</f>
        <v/>
      </c>
      <c r="J50">
        <f>IF(OR('koios_ap'!H2=-1, 'koios_no_ap'!H2=-1), "", 'koios_ap'!AC2/'koios_no_ap'!AC2)</f>
        <v/>
      </c>
      <c r="K50">
        <f>IF(OR('koios_ap'!H2=-1, 'koios_no_ap'!H2=-1), "", 'koios_ap'!AD2/'koios_no_ap'!AD2)</f>
        <v/>
      </c>
    </row>
    <row r="51">
      <c r="A51" t="inlineStr">
        <is>
          <t>koios</t>
        </is>
      </c>
      <c r="B51" t="inlineStr">
        <is>
          <t>k6FracN10LB_mem20K_complexDSP_customSB_22nm.xml</t>
        </is>
      </c>
      <c r="C51" t="inlineStr">
        <is>
          <t>bnn.v</t>
        </is>
      </c>
      <c r="D51">
        <f>IF(OR('koios_ap'!H3=-1, 'koios_no_ap'!H3=-1), "", 'koios_ap'!F3/'koios_no_ap'!F3)</f>
        <v/>
      </c>
      <c r="E51">
        <f>IF(OR('koios_ap'!H3=-1, 'koios_no_ap'!H3=-1), "", 'koios_ap'!G3/'koios_no_ap'!G3)</f>
        <v/>
      </c>
      <c r="F51">
        <f>IF(OR('koios_ap'!H3=-1, 'koios_no_ap'!H3=-1), "", 'koios_ap'!H3/'koios_no_ap'!H3)</f>
        <v/>
      </c>
      <c r="G51">
        <f>IF(OR('koios_ap'!H3=-1, 'koios_no_ap'!H3=-1), "", 'koios_ap'!J3/'koios_no_ap'!J3)</f>
        <v/>
      </c>
      <c r="H51">
        <f>IF(OR('koios_ap'!H3=-1, 'koios_no_ap'!H3=-1), "", 'koios_ap'!K3/'koios_no_ap'!K3)</f>
        <v/>
      </c>
      <c r="I51">
        <f>IF(OR('koios_ap'!H3=-1, 'koios_no_ap'!H3=-1), "", 'koios_ap'!L3/'koios_no_ap'!L3)</f>
        <v/>
      </c>
      <c r="J51">
        <f>IF(OR('koios_ap'!H3=-1, 'koios_no_ap'!H3=-1), "", 'koios_ap'!AC3/'koios_no_ap'!AC3)</f>
        <v/>
      </c>
      <c r="K51">
        <f>IF(OR('koios_ap'!H3=-1, 'koios_no_ap'!H3=-1), "", 'koios_ap'!AD3/'koios_no_ap'!AD3)</f>
        <v/>
      </c>
    </row>
    <row r="52">
      <c r="A52" t="inlineStr">
        <is>
          <t>koios</t>
        </is>
      </c>
      <c r="B52" t="inlineStr">
        <is>
          <t>k6FracN10LB_mem20K_complexDSP_customSB_22nm.xml</t>
        </is>
      </c>
      <c r="C52" t="inlineStr">
        <is>
          <t>bwave_like.fixed.large.v</t>
        </is>
      </c>
      <c r="D52">
        <f>IF(OR('koios_ap'!H4=-1, 'koios_no_ap'!H4=-1), "", 'koios_ap'!F4/'koios_no_ap'!F4)</f>
        <v/>
      </c>
      <c r="E52">
        <f>IF(OR('koios_ap'!H4=-1, 'koios_no_ap'!H4=-1), "", 'koios_ap'!G4/'koios_no_ap'!G4)</f>
        <v/>
      </c>
      <c r="F52">
        <f>IF(OR('koios_ap'!H4=-1, 'koios_no_ap'!H4=-1), "", 'koios_ap'!H4/'koios_no_ap'!H4)</f>
        <v/>
      </c>
      <c r="G52">
        <f>IF(OR('koios_ap'!H4=-1, 'koios_no_ap'!H4=-1), "", 'koios_ap'!J4/'koios_no_ap'!J4)</f>
        <v/>
      </c>
      <c r="H52">
        <f>IF(OR('koios_ap'!H4=-1, 'koios_no_ap'!H4=-1), "", 'koios_ap'!K4/'koios_no_ap'!K4)</f>
        <v/>
      </c>
      <c r="I52">
        <f>IF(OR('koios_ap'!H4=-1, 'koios_no_ap'!H4=-1), "", 'koios_ap'!L4/'koios_no_ap'!L4)</f>
        <v/>
      </c>
      <c r="J52">
        <f>IF(OR('koios_ap'!H4=-1, 'koios_no_ap'!H4=-1), "", 'koios_ap'!AC4/'koios_no_ap'!AC4)</f>
        <v/>
      </c>
      <c r="K52">
        <f>IF(OR('koios_ap'!H4=-1, 'koios_no_ap'!H4=-1), "", 'koios_ap'!AD4/'koios_no_ap'!AD4)</f>
        <v/>
      </c>
    </row>
    <row r="53">
      <c r="A53" t="inlineStr">
        <is>
          <t>koios</t>
        </is>
      </c>
      <c r="B53" t="inlineStr">
        <is>
          <t>k6FracN10LB_mem20K_complexDSP_customSB_22nm.xml</t>
        </is>
      </c>
      <c r="C53" t="inlineStr">
        <is>
          <t>bwave_like.fixed.small.v</t>
        </is>
      </c>
      <c r="D53">
        <f>IF(OR('koios_ap'!H5=-1, 'koios_no_ap'!H5=-1), "", 'koios_ap'!F5/'koios_no_ap'!F5)</f>
        <v/>
      </c>
      <c r="E53">
        <f>IF(OR('koios_ap'!H5=-1, 'koios_no_ap'!H5=-1), "", 'koios_ap'!G5/'koios_no_ap'!G5)</f>
        <v/>
      </c>
      <c r="F53">
        <f>IF(OR('koios_ap'!H5=-1, 'koios_no_ap'!H5=-1), "", 'koios_ap'!H5/'koios_no_ap'!H5)</f>
        <v/>
      </c>
      <c r="G53">
        <f>IF(OR('koios_ap'!H5=-1, 'koios_no_ap'!H5=-1), "", 'koios_ap'!J5/'koios_no_ap'!J5)</f>
        <v/>
      </c>
      <c r="H53">
        <f>IF(OR('koios_ap'!H5=-1, 'koios_no_ap'!H5=-1), "", 'koios_ap'!K5/'koios_no_ap'!K5)</f>
        <v/>
      </c>
      <c r="I53">
        <f>IF(OR('koios_ap'!H5=-1, 'koios_no_ap'!H5=-1), "", 'koios_ap'!L5/'koios_no_ap'!L5)</f>
        <v/>
      </c>
      <c r="J53">
        <f>IF(OR('koios_ap'!H5=-1, 'koios_no_ap'!H5=-1), "", 'koios_ap'!AC5/'koios_no_ap'!AC5)</f>
        <v/>
      </c>
      <c r="K53">
        <f>IF(OR('koios_ap'!H5=-1, 'koios_no_ap'!H5=-1), "", 'koios_ap'!AD5/'koios_no_ap'!AD5)</f>
        <v/>
      </c>
    </row>
    <row r="54">
      <c r="A54" t="inlineStr">
        <is>
          <t>koios</t>
        </is>
      </c>
      <c r="B54" t="inlineStr">
        <is>
          <t>k6FracN10LB_mem20K_complexDSP_customSB_22nm.xml</t>
        </is>
      </c>
      <c r="C54" t="inlineStr">
        <is>
          <t>bwave_like.float.large.v</t>
        </is>
      </c>
      <c r="D54">
        <f>IF(OR('koios_ap'!H6=-1, 'koios_no_ap'!H6=-1), "", 'koios_ap'!F6/'koios_no_ap'!F6)</f>
        <v/>
      </c>
      <c r="E54">
        <f>IF(OR('koios_ap'!H6=-1, 'koios_no_ap'!H6=-1), "", 'koios_ap'!G6/'koios_no_ap'!G6)</f>
        <v/>
      </c>
      <c r="F54">
        <f>IF(OR('koios_ap'!H6=-1, 'koios_no_ap'!H6=-1), "", 'koios_ap'!H6/'koios_no_ap'!H6)</f>
        <v/>
      </c>
      <c r="G54">
        <f>IF(OR('koios_ap'!H6=-1, 'koios_no_ap'!H6=-1), "", 'koios_ap'!J6/'koios_no_ap'!J6)</f>
        <v/>
      </c>
      <c r="H54">
        <f>IF(OR('koios_ap'!H6=-1, 'koios_no_ap'!H6=-1), "", 'koios_ap'!K6/'koios_no_ap'!K6)</f>
        <v/>
      </c>
      <c r="I54">
        <f>IF(OR('koios_ap'!H6=-1, 'koios_no_ap'!H6=-1), "", 'koios_ap'!L6/'koios_no_ap'!L6)</f>
        <v/>
      </c>
      <c r="J54">
        <f>IF(OR('koios_ap'!H6=-1, 'koios_no_ap'!H6=-1), "", 'koios_ap'!AC6/'koios_no_ap'!AC6)</f>
        <v/>
      </c>
      <c r="K54">
        <f>IF(OR('koios_ap'!H6=-1, 'koios_no_ap'!H6=-1), "", 'koios_ap'!AD6/'koios_no_ap'!AD6)</f>
        <v/>
      </c>
    </row>
    <row r="55">
      <c r="A55" t="inlineStr">
        <is>
          <t>koios</t>
        </is>
      </c>
      <c r="B55" t="inlineStr">
        <is>
          <t>k6FracN10LB_mem20K_complexDSP_customSB_22nm.xml</t>
        </is>
      </c>
      <c r="C55" t="inlineStr">
        <is>
          <t>bwave_like.float.small.v</t>
        </is>
      </c>
      <c r="D55">
        <f>IF(OR('koios_ap'!H7=-1, 'koios_no_ap'!H7=-1), "", 'koios_ap'!F7/'koios_no_ap'!F7)</f>
        <v/>
      </c>
      <c r="E55">
        <f>IF(OR('koios_ap'!H7=-1, 'koios_no_ap'!H7=-1), "", 'koios_ap'!G7/'koios_no_ap'!G7)</f>
        <v/>
      </c>
      <c r="F55">
        <f>IF(OR('koios_ap'!H7=-1, 'koios_no_ap'!H7=-1), "", 'koios_ap'!H7/'koios_no_ap'!H7)</f>
        <v/>
      </c>
      <c r="G55">
        <f>IF(OR('koios_ap'!H7=-1, 'koios_no_ap'!H7=-1), "", 'koios_ap'!J7/'koios_no_ap'!J7)</f>
        <v/>
      </c>
      <c r="H55">
        <f>IF(OR('koios_ap'!H7=-1, 'koios_no_ap'!H7=-1), "", 'koios_ap'!K7/'koios_no_ap'!K7)</f>
        <v/>
      </c>
      <c r="I55">
        <f>IF(OR('koios_ap'!H7=-1, 'koios_no_ap'!H7=-1), "", 'koios_ap'!L7/'koios_no_ap'!L7)</f>
        <v/>
      </c>
      <c r="J55">
        <f>IF(OR('koios_ap'!H7=-1, 'koios_no_ap'!H7=-1), "", 'koios_ap'!AC7/'koios_no_ap'!AC7)</f>
        <v/>
      </c>
      <c r="K55">
        <f>IF(OR('koios_ap'!H7=-1, 'koios_no_ap'!H7=-1), "", 'koios_ap'!AD7/'koios_no_ap'!AD7)</f>
        <v/>
      </c>
    </row>
    <row r="56">
      <c r="A56" t="inlineStr">
        <is>
          <t>koios</t>
        </is>
      </c>
      <c r="B56" t="inlineStr">
        <is>
          <t>k6FracN10LB_mem20K_complexDSP_customSB_22nm.xml</t>
        </is>
      </c>
      <c r="C56" t="inlineStr">
        <is>
          <t>clstm_like.large.v</t>
        </is>
      </c>
      <c r="D56">
        <f>IF(OR('koios_ap'!H8=-1, 'koios_no_ap'!H8=-1), "", 'koios_ap'!F8/'koios_no_ap'!F8)</f>
        <v/>
      </c>
      <c r="E56">
        <f>IF(OR('koios_ap'!H8=-1, 'koios_no_ap'!H8=-1), "", 'koios_ap'!G8/'koios_no_ap'!G8)</f>
        <v/>
      </c>
      <c r="F56">
        <f>IF(OR('koios_ap'!H8=-1, 'koios_no_ap'!H8=-1), "", 'koios_ap'!H8/'koios_no_ap'!H8)</f>
        <v/>
      </c>
      <c r="G56">
        <f>IF(OR('koios_ap'!H8=-1, 'koios_no_ap'!H8=-1), "", 'koios_ap'!J8/'koios_no_ap'!J8)</f>
        <v/>
      </c>
      <c r="H56">
        <f>IF(OR('koios_ap'!H8=-1, 'koios_no_ap'!H8=-1), "", 'koios_ap'!K8/'koios_no_ap'!K8)</f>
        <v/>
      </c>
      <c r="I56">
        <f>IF(OR('koios_ap'!H8=-1, 'koios_no_ap'!H8=-1), "", 'koios_ap'!L8/'koios_no_ap'!L8)</f>
        <v/>
      </c>
      <c r="J56">
        <f>IF(OR('koios_ap'!H8=-1, 'koios_no_ap'!H8=-1), "", 'koios_ap'!AC8/'koios_no_ap'!AC8)</f>
        <v/>
      </c>
      <c r="K56">
        <f>IF(OR('koios_ap'!H8=-1, 'koios_no_ap'!H8=-1), "", 'koios_ap'!AD8/'koios_no_ap'!AD8)</f>
        <v/>
      </c>
    </row>
    <row r="57">
      <c r="A57" t="inlineStr">
        <is>
          <t>koios</t>
        </is>
      </c>
      <c r="B57" t="inlineStr">
        <is>
          <t>k6FracN10LB_mem20K_complexDSP_customSB_22nm.xml</t>
        </is>
      </c>
      <c r="C57" t="inlineStr">
        <is>
          <t>clstm_like.medium.v</t>
        </is>
      </c>
      <c r="D57">
        <f>IF(OR('koios_ap'!H9=-1, 'koios_no_ap'!H9=-1), "", 'koios_ap'!F9/'koios_no_ap'!F9)</f>
        <v/>
      </c>
      <c r="E57">
        <f>IF(OR('koios_ap'!H9=-1, 'koios_no_ap'!H9=-1), "", 'koios_ap'!G9/'koios_no_ap'!G9)</f>
        <v/>
      </c>
      <c r="F57">
        <f>IF(OR('koios_ap'!H9=-1, 'koios_no_ap'!H9=-1), "", 'koios_ap'!H9/'koios_no_ap'!H9)</f>
        <v/>
      </c>
      <c r="G57">
        <f>IF(OR('koios_ap'!H9=-1, 'koios_no_ap'!H9=-1), "", 'koios_ap'!J9/'koios_no_ap'!J9)</f>
        <v/>
      </c>
      <c r="H57">
        <f>IF(OR('koios_ap'!H9=-1, 'koios_no_ap'!H9=-1), "", 'koios_ap'!K9/'koios_no_ap'!K9)</f>
        <v/>
      </c>
      <c r="I57">
        <f>IF(OR('koios_ap'!H9=-1, 'koios_no_ap'!H9=-1), "", 'koios_ap'!L9/'koios_no_ap'!L9)</f>
        <v/>
      </c>
      <c r="J57">
        <f>IF(OR('koios_ap'!H9=-1, 'koios_no_ap'!H9=-1), "", 'koios_ap'!AC9/'koios_no_ap'!AC9)</f>
        <v/>
      </c>
      <c r="K57">
        <f>IF(OR('koios_ap'!H9=-1, 'koios_no_ap'!H9=-1), "", 'koios_ap'!AD9/'koios_no_ap'!AD9)</f>
        <v/>
      </c>
    </row>
    <row r="58">
      <c r="A58" t="inlineStr">
        <is>
          <t>koios</t>
        </is>
      </c>
      <c r="B58" t="inlineStr">
        <is>
          <t>k6FracN10LB_mem20K_complexDSP_customSB_22nm.xml</t>
        </is>
      </c>
      <c r="C58" t="inlineStr">
        <is>
          <t>clstm_like.small.v</t>
        </is>
      </c>
      <c r="D58">
        <f>IF(OR('koios_ap'!H10=-1, 'koios_no_ap'!H10=-1), "", 'koios_ap'!F10/'koios_no_ap'!F10)</f>
        <v/>
      </c>
      <c r="E58">
        <f>IF(OR('koios_ap'!H10=-1, 'koios_no_ap'!H10=-1), "", 'koios_ap'!G10/'koios_no_ap'!G10)</f>
        <v/>
      </c>
      <c r="F58">
        <f>IF(OR('koios_ap'!H10=-1, 'koios_no_ap'!H10=-1), "", 'koios_ap'!H10/'koios_no_ap'!H10)</f>
        <v/>
      </c>
      <c r="G58">
        <f>IF(OR('koios_ap'!H10=-1, 'koios_no_ap'!H10=-1), "", 'koios_ap'!J10/'koios_no_ap'!J10)</f>
        <v/>
      </c>
      <c r="H58">
        <f>IF(OR('koios_ap'!H10=-1, 'koios_no_ap'!H10=-1), "", 'koios_ap'!K10/'koios_no_ap'!K10)</f>
        <v/>
      </c>
      <c r="I58">
        <f>IF(OR('koios_ap'!H10=-1, 'koios_no_ap'!H10=-1), "", 'koios_ap'!L10/'koios_no_ap'!L10)</f>
        <v/>
      </c>
      <c r="J58">
        <f>IF(OR('koios_ap'!H10=-1, 'koios_no_ap'!H10=-1), "", 'koios_ap'!AC10/'koios_no_ap'!AC10)</f>
        <v/>
      </c>
      <c r="K58">
        <f>IF(OR('koios_ap'!H10=-1, 'koios_no_ap'!H10=-1), "", 'koios_ap'!AD10/'koios_no_ap'!AD10)</f>
        <v/>
      </c>
    </row>
    <row r="59">
      <c r="A59" t="inlineStr">
        <is>
          <t>koios</t>
        </is>
      </c>
      <c r="B59" t="inlineStr">
        <is>
          <t>k6FracN10LB_mem20K_complexDSP_customSB_22nm.xml</t>
        </is>
      </c>
      <c r="C59" t="inlineStr">
        <is>
          <t>conv_layer.v</t>
        </is>
      </c>
      <c r="D59">
        <f>IF(OR('koios_ap'!H11=-1, 'koios_no_ap'!H11=-1), "", 'koios_ap'!F11/'koios_no_ap'!F11)</f>
        <v/>
      </c>
      <c r="E59">
        <f>IF(OR('koios_ap'!H11=-1, 'koios_no_ap'!H11=-1), "", 'koios_ap'!G11/'koios_no_ap'!G11)</f>
        <v/>
      </c>
      <c r="F59">
        <f>IF(OR('koios_ap'!H11=-1, 'koios_no_ap'!H11=-1), "", 'koios_ap'!H11/'koios_no_ap'!H11)</f>
        <v/>
      </c>
      <c r="G59">
        <f>IF(OR('koios_ap'!H11=-1, 'koios_no_ap'!H11=-1), "", 'koios_ap'!J11/'koios_no_ap'!J11)</f>
        <v/>
      </c>
      <c r="H59">
        <f>IF(OR('koios_ap'!H11=-1, 'koios_no_ap'!H11=-1), "", 'koios_ap'!K11/'koios_no_ap'!K11)</f>
        <v/>
      </c>
      <c r="I59">
        <f>IF(OR('koios_ap'!H11=-1, 'koios_no_ap'!H11=-1), "", 'koios_ap'!L11/'koios_no_ap'!L11)</f>
        <v/>
      </c>
      <c r="J59">
        <f>IF(OR('koios_ap'!H11=-1, 'koios_no_ap'!H11=-1), "", 'koios_ap'!AC11/'koios_no_ap'!AC11)</f>
        <v/>
      </c>
      <c r="K59">
        <f>IF(OR('koios_ap'!H11=-1, 'koios_no_ap'!H11=-1), "", 'koios_ap'!AD11/'koios_no_ap'!AD11)</f>
        <v/>
      </c>
    </row>
    <row r="60">
      <c r="A60" t="inlineStr">
        <is>
          <t>koios</t>
        </is>
      </c>
      <c r="B60" t="inlineStr">
        <is>
          <t>k6FracN10LB_mem20K_complexDSP_customSB_22nm.xml</t>
        </is>
      </c>
      <c r="C60" t="inlineStr">
        <is>
          <t>conv_layer_hls.v</t>
        </is>
      </c>
      <c r="D60">
        <f>IF(OR('koios_ap'!H12=-1, 'koios_no_ap'!H12=-1), "", 'koios_ap'!F12/'koios_no_ap'!F12)</f>
        <v/>
      </c>
      <c r="E60">
        <f>IF(OR('koios_ap'!H12=-1, 'koios_no_ap'!H12=-1), "", 'koios_ap'!G12/'koios_no_ap'!G12)</f>
        <v/>
      </c>
      <c r="F60">
        <f>IF(OR('koios_ap'!H12=-1, 'koios_no_ap'!H12=-1), "", 'koios_ap'!H12/'koios_no_ap'!H12)</f>
        <v/>
      </c>
      <c r="G60">
        <f>IF(OR('koios_ap'!H12=-1, 'koios_no_ap'!H12=-1), "", 'koios_ap'!J12/'koios_no_ap'!J12)</f>
        <v/>
      </c>
      <c r="H60">
        <f>IF(OR('koios_ap'!H12=-1, 'koios_no_ap'!H12=-1), "", 'koios_ap'!K12/'koios_no_ap'!K12)</f>
        <v/>
      </c>
      <c r="I60">
        <f>IF(OR('koios_ap'!H12=-1, 'koios_no_ap'!H12=-1), "", 'koios_ap'!L12/'koios_no_ap'!L12)</f>
        <v/>
      </c>
      <c r="J60">
        <f>IF(OR('koios_ap'!H12=-1, 'koios_no_ap'!H12=-1), "", 'koios_ap'!AC12/'koios_no_ap'!AC12)</f>
        <v/>
      </c>
      <c r="K60">
        <f>IF(OR('koios_ap'!H12=-1, 'koios_no_ap'!H12=-1), "", 'koios_ap'!AD12/'koios_no_ap'!AD12)</f>
        <v/>
      </c>
    </row>
    <row r="61">
      <c r="A61" t="inlineStr">
        <is>
          <t>koios</t>
        </is>
      </c>
      <c r="B61" t="inlineStr">
        <is>
          <t>k6FracN10LB_mem20K_complexDSP_customSB_22nm.xml</t>
        </is>
      </c>
      <c r="C61" t="inlineStr">
        <is>
          <t>dla_like.large.v</t>
        </is>
      </c>
      <c r="D61">
        <f>IF(OR('koios_ap'!H13=-1, 'koios_no_ap'!H13=-1), "", 'koios_ap'!F13/'koios_no_ap'!F13)</f>
        <v/>
      </c>
      <c r="E61">
        <f>IF(OR('koios_ap'!H13=-1, 'koios_no_ap'!H13=-1), "", 'koios_ap'!G13/'koios_no_ap'!G13)</f>
        <v/>
      </c>
      <c r="F61">
        <f>IF(OR('koios_ap'!H13=-1, 'koios_no_ap'!H13=-1), "", 'koios_ap'!H13/'koios_no_ap'!H13)</f>
        <v/>
      </c>
      <c r="G61">
        <f>IF(OR('koios_ap'!H13=-1, 'koios_no_ap'!H13=-1), "", 'koios_ap'!J13/'koios_no_ap'!J13)</f>
        <v/>
      </c>
      <c r="H61">
        <f>IF(OR('koios_ap'!H13=-1, 'koios_no_ap'!H13=-1), "", 'koios_ap'!K13/'koios_no_ap'!K13)</f>
        <v/>
      </c>
      <c r="I61">
        <f>IF(OR('koios_ap'!H13=-1, 'koios_no_ap'!H13=-1), "", 'koios_ap'!L13/'koios_no_ap'!L13)</f>
        <v/>
      </c>
      <c r="J61">
        <f>IF(OR('koios_ap'!H13=-1, 'koios_no_ap'!H13=-1), "", 'koios_ap'!AC13/'koios_no_ap'!AC13)</f>
        <v/>
      </c>
      <c r="K61">
        <f>IF(OR('koios_ap'!H13=-1, 'koios_no_ap'!H13=-1), "", 'koios_ap'!AD13/'koios_no_ap'!AD13)</f>
        <v/>
      </c>
    </row>
    <row r="62">
      <c r="A62" t="inlineStr">
        <is>
          <t>koios</t>
        </is>
      </c>
      <c r="B62" t="inlineStr">
        <is>
          <t>k6FracN10LB_mem20K_complexDSP_customSB_22nm.xml</t>
        </is>
      </c>
      <c r="C62" t="inlineStr">
        <is>
          <t>dla_like.medium.v</t>
        </is>
      </c>
      <c r="D62">
        <f>IF(OR('koios_ap'!H14=-1, 'koios_no_ap'!H14=-1), "", 'koios_ap'!F14/'koios_no_ap'!F14)</f>
        <v/>
      </c>
      <c r="E62">
        <f>IF(OR('koios_ap'!H14=-1, 'koios_no_ap'!H14=-1), "", 'koios_ap'!G14/'koios_no_ap'!G14)</f>
        <v/>
      </c>
      <c r="F62">
        <f>IF(OR('koios_ap'!H14=-1, 'koios_no_ap'!H14=-1), "", 'koios_ap'!H14/'koios_no_ap'!H14)</f>
        <v/>
      </c>
      <c r="G62">
        <f>IF(OR('koios_ap'!H14=-1, 'koios_no_ap'!H14=-1), "", 'koios_ap'!J14/'koios_no_ap'!J14)</f>
        <v/>
      </c>
      <c r="H62">
        <f>IF(OR('koios_ap'!H14=-1, 'koios_no_ap'!H14=-1), "", 'koios_ap'!K14/'koios_no_ap'!K14)</f>
        <v/>
      </c>
      <c r="I62">
        <f>IF(OR('koios_ap'!H14=-1, 'koios_no_ap'!H14=-1), "", 'koios_ap'!L14/'koios_no_ap'!L14)</f>
        <v/>
      </c>
      <c r="J62">
        <f>IF(OR('koios_ap'!H14=-1, 'koios_no_ap'!H14=-1), "", 'koios_ap'!AC14/'koios_no_ap'!AC14)</f>
        <v/>
      </c>
      <c r="K62">
        <f>IF(OR('koios_ap'!H14=-1, 'koios_no_ap'!H14=-1), "", 'koios_ap'!AD14/'koios_no_ap'!AD14)</f>
        <v/>
      </c>
    </row>
    <row r="63">
      <c r="A63" t="inlineStr">
        <is>
          <t>koios</t>
        </is>
      </c>
      <c r="B63" t="inlineStr">
        <is>
          <t>k6FracN10LB_mem20K_complexDSP_customSB_22nm.xml</t>
        </is>
      </c>
      <c r="C63" t="inlineStr">
        <is>
          <t>dla_like.small.v</t>
        </is>
      </c>
      <c r="D63">
        <f>IF(OR('koios_ap'!H15=-1, 'koios_no_ap'!H15=-1), "", 'koios_ap'!F15/'koios_no_ap'!F15)</f>
        <v/>
      </c>
      <c r="E63">
        <f>IF(OR('koios_ap'!H15=-1, 'koios_no_ap'!H15=-1), "", 'koios_ap'!G15/'koios_no_ap'!G15)</f>
        <v/>
      </c>
      <c r="F63">
        <f>IF(OR('koios_ap'!H15=-1, 'koios_no_ap'!H15=-1), "", 'koios_ap'!H15/'koios_no_ap'!H15)</f>
        <v/>
      </c>
      <c r="G63">
        <f>IF(OR('koios_ap'!H15=-1, 'koios_no_ap'!H15=-1), "", 'koios_ap'!J15/'koios_no_ap'!J15)</f>
        <v/>
      </c>
      <c r="H63">
        <f>IF(OR('koios_ap'!H15=-1, 'koios_no_ap'!H15=-1), "", 'koios_ap'!K15/'koios_no_ap'!K15)</f>
        <v/>
      </c>
      <c r="I63">
        <f>IF(OR('koios_ap'!H15=-1, 'koios_no_ap'!H15=-1), "", 'koios_ap'!L15/'koios_no_ap'!L15)</f>
        <v/>
      </c>
      <c r="J63">
        <f>IF(OR('koios_ap'!H15=-1, 'koios_no_ap'!H15=-1), "", 'koios_ap'!AC15/'koios_no_ap'!AC15)</f>
        <v/>
      </c>
      <c r="K63">
        <f>IF(OR('koios_ap'!H15=-1, 'koios_no_ap'!H15=-1), "", 'koios_ap'!AD15/'koios_no_ap'!AD15)</f>
        <v/>
      </c>
    </row>
    <row r="64">
      <c r="A64" t="inlineStr">
        <is>
          <t>koios</t>
        </is>
      </c>
      <c r="B64" t="inlineStr">
        <is>
          <t>k6FracN10LB_mem20K_complexDSP_customSB_22nm.xml</t>
        </is>
      </c>
      <c r="C64" t="inlineStr">
        <is>
          <t>dnnweaver.v</t>
        </is>
      </c>
      <c r="D64">
        <f>IF(OR('koios_ap'!H16=-1, 'koios_no_ap'!H16=-1), "", 'koios_ap'!F16/'koios_no_ap'!F16)</f>
        <v/>
      </c>
      <c r="E64">
        <f>IF(OR('koios_ap'!H16=-1, 'koios_no_ap'!H16=-1), "", 'koios_ap'!G16/'koios_no_ap'!G16)</f>
        <v/>
      </c>
      <c r="F64">
        <f>IF(OR('koios_ap'!H16=-1, 'koios_no_ap'!H16=-1), "", 'koios_ap'!H16/'koios_no_ap'!H16)</f>
        <v/>
      </c>
      <c r="G64">
        <f>IF(OR('koios_ap'!H16=-1, 'koios_no_ap'!H16=-1), "", 'koios_ap'!J16/'koios_no_ap'!J16)</f>
        <v/>
      </c>
      <c r="H64">
        <f>IF(OR('koios_ap'!H16=-1, 'koios_no_ap'!H16=-1), "", 'koios_ap'!K16/'koios_no_ap'!K16)</f>
        <v/>
      </c>
      <c r="I64">
        <f>IF(OR('koios_ap'!H16=-1, 'koios_no_ap'!H16=-1), "", 'koios_ap'!L16/'koios_no_ap'!L16)</f>
        <v/>
      </c>
      <c r="J64">
        <f>IF(OR('koios_ap'!H16=-1, 'koios_no_ap'!H16=-1), "", 'koios_ap'!AC16/'koios_no_ap'!AC16)</f>
        <v/>
      </c>
      <c r="K64">
        <f>IF(OR('koios_ap'!H16=-1, 'koios_no_ap'!H16=-1), "", 'koios_ap'!AD16/'koios_no_ap'!AD16)</f>
        <v/>
      </c>
    </row>
    <row r="65">
      <c r="A65" t="inlineStr">
        <is>
          <t>koios</t>
        </is>
      </c>
      <c r="B65" t="inlineStr">
        <is>
          <t>k6FracN10LB_mem20K_complexDSP_customSB_22nm.xml</t>
        </is>
      </c>
      <c r="C65" t="inlineStr">
        <is>
          <t>eltwise_layer.v</t>
        </is>
      </c>
      <c r="D65">
        <f>IF(OR('koios_ap'!H17=-1, 'koios_no_ap'!H17=-1), "", 'koios_ap'!F17/'koios_no_ap'!F17)</f>
        <v/>
      </c>
      <c r="E65">
        <f>IF(OR('koios_ap'!H17=-1, 'koios_no_ap'!H17=-1), "", 'koios_ap'!G17/'koios_no_ap'!G17)</f>
        <v/>
      </c>
      <c r="F65">
        <f>IF(OR('koios_ap'!H17=-1, 'koios_no_ap'!H17=-1), "", 'koios_ap'!H17/'koios_no_ap'!H17)</f>
        <v/>
      </c>
      <c r="G65">
        <f>IF(OR('koios_ap'!H17=-1, 'koios_no_ap'!H17=-1), "", 'koios_ap'!J17/'koios_no_ap'!J17)</f>
        <v/>
      </c>
      <c r="H65">
        <f>IF(OR('koios_ap'!H17=-1, 'koios_no_ap'!H17=-1), "", 'koios_ap'!K17/'koios_no_ap'!K17)</f>
        <v/>
      </c>
      <c r="I65">
        <f>IF(OR('koios_ap'!H17=-1, 'koios_no_ap'!H17=-1), "", 'koios_ap'!L17/'koios_no_ap'!L17)</f>
        <v/>
      </c>
      <c r="J65">
        <f>IF(OR('koios_ap'!H17=-1, 'koios_no_ap'!H17=-1), "", 'koios_ap'!AC17/'koios_no_ap'!AC17)</f>
        <v/>
      </c>
      <c r="K65">
        <f>IF(OR('koios_ap'!H17=-1, 'koios_no_ap'!H17=-1), "", 'koios_ap'!AD17/'koios_no_ap'!AD17)</f>
        <v/>
      </c>
    </row>
    <row r="66">
      <c r="A66" t="inlineStr">
        <is>
          <t>koios</t>
        </is>
      </c>
      <c r="B66" t="inlineStr">
        <is>
          <t>k6FracN10LB_mem20K_complexDSP_customSB_22nm.xml</t>
        </is>
      </c>
      <c r="C66" t="inlineStr">
        <is>
          <t>gemm_layer.v</t>
        </is>
      </c>
      <c r="D66">
        <f>IF(OR('koios_ap'!H18=-1, 'koios_no_ap'!H18=-1), "", 'koios_ap'!F18/'koios_no_ap'!F18)</f>
        <v/>
      </c>
      <c r="E66">
        <f>IF(OR('koios_ap'!H18=-1, 'koios_no_ap'!H18=-1), "", 'koios_ap'!G18/'koios_no_ap'!G18)</f>
        <v/>
      </c>
      <c r="F66">
        <f>IF(OR('koios_ap'!H18=-1, 'koios_no_ap'!H18=-1), "", 'koios_ap'!H18/'koios_no_ap'!H18)</f>
        <v/>
      </c>
      <c r="G66">
        <f>IF(OR('koios_ap'!H18=-1, 'koios_no_ap'!H18=-1), "", 'koios_ap'!J18/'koios_no_ap'!J18)</f>
        <v/>
      </c>
      <c r="H66">
        <f>IF(OR('koios_ap'!H18=-1, 'koios_no_ap'!H18=-1), "", 'koios_ap'!K18/'koios_no_ap'!K18)</f>
        <v/>
      </c>
      <c r="I66">
        <f>IF(OR('koios_ap'!H18=-1, 'koios_no_ap'!H18=-1), "", 'koios_ap'!L18/'koios_no_ap'!L18)</f>
        <v/>
      </c>
      <c r="J66">
        <f>IF(OR('koios_ap'!H18=-1, 'koios_no_ap'!H18=-1), "", 'koios_ap'!AC18/'koios_no_ap'!AC18)</f>
        <v/>
      </c>
      <c r="K66">
        <f>IF(OR('koios_ap'!H18=-1, 'koios_no_ap'!H18=-1), "", 'koios_ap'!AD18/'koios_no_ap'!AD18)</f>
        <v/>
      </c>
    </row>
    <row r="67">
      <c r="A67" t="inlineStr">
        <is>
          <t>koios</t>
        </is>
      </c>
      <c r="B67" t="inlineStr">
        <is>
          <t>k6FracN10LB_mem20K_complexDSP_customSB_22nm.xml</t>
        </is>
      </c>
      <c r="C67" t="inlineStr">
        <is>
          <t>lenet.v</t>
        </is>
      </c>
      <c r="D67">
        <f>IF(OR('koios_ap'!H19=-1, 'koios_no_ap'!H19=-1), "", 'koios_ap'!F19/'koios_no_ap'!F19)</f>
        <v/>
      </c>
      <c r="E67">
        <f>IF(OR('koios_ap'!H19=-1, 'koios_no_ap'!H19=-1), "", 'koios_ap'!G19/'koios_no_ap'!G19)</f>
        <v/>
      </c>
      <c r="F67">
        <f>IF(OR('koios_ap'!H19=-1, 'koios_no_ap'!H19=-1), "", 'koios_ap'!H19/'koios_no_ap'!H19)</f>
        <v/>
      </c>
      <c r="G67">
        <f>IF(OR('koios_ap'!H19=-1, 'koios_no_ap'!H19=-1), "", 'koios_ap'!J19/'koios_no_ap'!J19)</f>
        <v/>
      </c>
      <c r="H67">
        <f>IF(OR('koios_ap'!H19=-1, 'koios_no_ap'!H19=-1), "", 'koios_ap'!K19/'koios_no_ap'!K19)</f>
        <v/>
      </c>
      <c r="I67">
        <f>IF(OR('koios_ap'!H19=-1, 'koios_no_ap'!H19=-1), "", 'koios_ap'!L19/'koios_no_ap'!L19)</f>
        <v/>
      </c>
      <c r="J67">
        <f>IF(OR('koios_ap'!H19=-1, 'koios_no_ap'!H19=-1), "", 'koios_ap'!AC19/'koios_no_ap'!AC19)</f>
        <v/>
      </c>
      <c r="K67">
        <f>IF(OR('koios_ap'!H19=-1, 'koios_no_ap'!H19=-1), "", 'koios_ap'!AD19/'koios_no_ap'!AD19)</f>
        <v/>
      </c>
    </row>
    <row r="68">
      <c r="A68" t="inlineStr">
        <is>
          <t>koios</t>
        </is>
      </c>
      <c r="B68" t="inlineStr">
        <is>
          <t>k6FracN10LB_mem20K_complexDSP_customSB_22nm.xml</t>
        </is>
      </c>
      <c r="C68" t="inlineStr">
        <is>
          <t>lstm.v</t>
        </is>
      </c>
      <c r="D68">
        <f>IF(OR('koios_ap'!H20=-1, 'koios_no_ap'!H20=-1), "", 'koios_ap'!F20/'koios_no_ap'!F20)</f>
        <v/>
      </c>
      <c r="E68">
        <f>IF(OR('koios_ap'!H20=-1, 'koios_no_ap'!H20=-1), "", 'koios_ap'!G20/'koios_no_ap'!G20)</f>
        <v/>
      </c>
      <c r="F68">
        <f>IF(OR('koios_ap'!H20=-1, 'koios_no_ap'!H20=-1), "", 'koios_ap'!H20/'koios_no_ap'!H20)</f>
        <v/>
      </c>
      <c r="G68">
        <f>IF(OR('koios_ap'!H20=-1, 'koios_no_ap'!H20=-1), "", 'koios_ap'!J20/'koios_no_ap'!J20)</f>
        <v/>
      </c>
      <c r="H68">
        <f>IF(OR('koios_ap'!H20=-1, 'koios_no_ap'!H20=-1), "", 'koios_ap'!K20/'koios_no_ap'!K20)</f>
        <v/>
      </c>
      <c r="I68">
        <f>IF(OR('koios_ap'!H20=-1, 'koios_no_ap'!H20=-1), "", 'koios_ap'!L20/'koios_no_ap'!L20)</f>
        <v/>
      </c>
      <c r="J68">
        <f>IF(OR('koios_ap'!H20=-1, 'koios_no_ap'!H20=-1), "", 'koios_ap'!AC20/'koios_no_ap'!AC20)</f>
        <v/>
      </c>
      <c r="K68">
        <f>IF(OR('koios_ap'!H20=-1, 'koios_no_ap'!H20=-1), "", 'koios_ap'!AD20/'koios_no_ap'!AD20)</f>
        <v/>
      </c>
    </row>
    <row r="69">
      <c r="A69" t="inlineStr">
        <is>
          <t>koios</t>
        </is>
      </c>
      <c r="B69" t="inlineStr">
        <is>
          <t>k6FracN10LB_mem20K_complexDSP_customSB_22nm.xml</t>
        </is>
      </c>
      <c r="C69" t="inlineStr">
        <is>
          <t>reduction_layer.v</t>
        </is>
      </c>
      <c r="D69">
        <f>IF(OR('koios_ap'!H21=-1, 'koios_no_ap'!H21=-1), "", 'koios_ap'!F21/'koios_no_ap'!F21)</f>
        <v/>
      </c>
      <c r="E69">
        <f>IF(OR('koios_ap'!H21=-1, 'koios_no_ap'!H21=-1), "", 'koios_ap'!G21/'koios_no_ap'!G21)</f>
        <v/>
      </c>
      <c r="F69">
        <f>IF(OR('koios_ap'!H21=-1, 'koios_no_ap'!H21=-1), "", 'koios_ap'!H21/'koios_no_ap'!H21)</f>
        <v/>
      </c>
      <c r="G69">
        <f>IF(OR('koios_ap'!H21=-1, 'koios_no_ap'!H21=-1), "", 'koios_ap'!J21/'koios_no_ap'!J21)</f>
        <v/>
      </c>
      <c r="H69">
        <f>IF(OR('koios_ap'!H21=-1, 'koios_no_ap'!H21=-1), "", 'koios_ap'!K21/'koios_no_ap'!K21)</f>
        <v/>
      </c>
      <c r="I69">
        <f>IF(OR('koios_ap'!H21=-1, 'koios_no_ap'!H21=-1), "", 'koios_ap'!L21/'koios_no_ap'!L21)</f>
        <v/>
      </c>
      <c r="J69">
        <f>IF(OR('koios_ap'!H21=-1, 'koios_no_ap'!H21=-1), "", 'koios_ap'!AC21/'koios_no_ap'!AC21)</f>
        <v/>
      </c>
      <c r="K69">
        <f>IF(OR('koios_ap'!H21=-1, 'koios_no_ap'!H21=-1), "", 'koios_ap'!AD21/'koios_no_ap'!AD21)</f>
        <v/>
      </c>
    </row>
    <row r="70">
      <c r="A70" t="inlineStr">
        <is>
          <t>koios</t>
        </is>
      </c>
      <c r="B70" t="inlineStr">
        <is>
          <t>k6FracN10LB_mem20K_complexDSP_customSB_22nm.xml</t>
        </is>
      </c>
      <c r="C70" t="inlineStr">
        <is>
          <t>robot_rl.v</t>
        </is>
      </c>
      <c r="D70">
        <f>IF(OR('koios_ap'!H22=-1, 'koios_no_ap'!H22=-1), "", 'koios_ap'!F22/'koios_no_ap'!F22)</f>
        <v/>
      </c>
      <c r="E70">
        <f>IF(OR('koios_ap'!H22=-1, 'koios_no_ap'!H22=-1), "", 'koios_ap'!G22/'koios_no_ap'!G22)</f>
        <v/>
      </c>
      <c r="F70">
        <f>IF(OR('koios_ap'!H22=-1, 'koios_no_ap'!H22=-1), "", 'koios_ap'!H22/'koios_no_ap'!H22)</f>
        <v/>
      </c>
      <c r="G70">
        <f>IF(OR('koios_ap'!H22=-1, 'koios_no_ap'!H22=-1), "", 'koios_ap'!J22/'koios_no_ap'!J22)</f>
        <v/>
      </c>
      <c r="H70">
        <f>IF(OR('koios_ap'!H22=-1, 'koios_no_ap'!H22=-1), "", 'koios_ap'!K22/'koios_no_ap'!K22)</f>
        <v/>
      </c>
      <c r="I70">
        <f>IF(OR('koios_ap'!H22=-1, 'koios_no_ap'!H22=-1), "", 'koios_ap'!L22/'koios_no_ap'!L22)</f>
        <v/>
      </c>
      <c r="J70">
        <f>IF(OR('koios_ap'!H22=-1, 'koios_no_ap'!H22=-1), "", 'koios_ap'!AC22/'koios_no_ap'!AC22)</f>
        <v/>
      </c>
      <c r="K70">
        <f>IF(OR('koios_ap'!H22=-1, 'koios_no_ap'!H22=-1), "", 'koios_ap'!AD22/'koios_no_ap'!AD22)</f>
        <v/>
      </c>
    </row>
    <row r="71">
      <c r="A71" t="inlineStr">
        <is>
          <t>koios</t>
        </is>
      </c>
      <c r="B71" t="inlineStr">
        <is>
          <t>k6FracN10LB_mem20K_complexDSP_customSB_22nm.xml</t>
        </is>
      </c>
      <c r="C71" t="inlineStr">
        <is>
          <t>softmax.v</t>
        </is>
      </c>
      <c r="D71">
        <f>IF(OR('koios_ap'!H23=-1, 'koios_no_ap'!H23=-1), "", 'koios_ap'!F23/'koios_no_ap'!F23)</f>
        <v/>
      </c>
      <c r="E71">
        <f>IF(OR('koios_ap'!H23=-1, 'koios_no_ap'!H23=-1), "", 'koios_ap'!G23/'koios_no_ap'!G23)</f>
        <v/>
      </c>
      <c r="F71">
        <f>IF(OR('koios_ap'!H23=-1, 'koios_no_ap'!H23=-1), "", 'koios_ap'!H23/'koios_no_ap'!H23)</f>
        <v/>
      </c>
      <c r="G71">
        <f>IF(OR('koios_ap'!H23=-1, 'koios_no_ap'!H23=-1), "", 'koios_ap'!J23/'koios_no_ap'!J23)</f>
        <v/>
      </c>
      <c r="H71">
        <f>IF(OR('koios_ap'!H23=-1, 'koios_no_ap'!H23=-1), "", 'koios_ap'!K23/'koios_no_ap'!K23)</f>
        <v/>
      </c>
      <c r="I71">
        <f>IF(OR('koios_ap'!H23=-1, 'koios_no_ap'!H23=-1), "", 'koios_ap'!L23/'koios_no_ap'!L23)</f>
        <v/>
      </c>
      <c r="J71">
        <f>IF(OR('koios_ap'!H23=-1, 'koios_no_ap'!H23=-1), "", 'koios_ap'!AC23/'koios_no_ap'!AC23)</f>
        <v/>
      </c>
      <c r="K71">
        <f>IF(OR('koios_ap'!H23=-1, 'koios_no_ap'!H23=-1), "", 'koios_ap'!AD23/'koios_no_ap'!AD23)</f>
        <v/>
      </c>
    </row>
    <row r="72">
      <c r="A72" t="inlineStr">
        <is>
          <t>koios</t>
        </is>
      </c>
      <c r="B72" t="inlineStr">
        <is>
          <t>k6FracN10LB_mem20K_complexDSP_customSB_22nm.xml</t>
        </is>
      </c>
      <c r="C72" t="inlineStr">
        <is>
          <t>spmv.v</t>
        </is>
      </c>
      <c r="D72">
        <f>IF(OR('koios_ap'!H24=-1, 'koios_no_ap'!H24=-1), "", 'koios_ap'!F24/'koios_no_ap'!F24)</f>
        <v/>
      </c>
      <c r="E72">
        <f>IF(OR('koios_ap'!H24=-1, 'koios_no_ap'!H24=-1), "", 'koios_ap'!G24/'koios_no_ap'!G24)</f>
        <v/>
      </c>
      <c r="F72">
        <f>IF(OR('koios_ap'!H24=-1, 'koios_no_ap'!H24=-1), "", 'koios_ap'!H24/'koios_no_ap'!H24)</f>
        <v/>
      </c>
      <c r="G72">
        <f>IF(OR('koios_ap'!H24=-1, 'koios_no_ap'!H24=-1), "", 'koios_ap'!J24/'koios_no_ap'!J24)</f>
        <v/>
      </c>
      <c r="H72">
        <f>IF(OR('koios_ap'!H24=-1, 'koios_no_ap'!H24=-1), "", 'koios_ap'!K24/'koios_no_ap'!K24)</f>
        <v/>
      </c>
      <c r="I72">
        <f>IF(OR('koios_ap'!H24=-1, 'koios_no_ap'!H24=-1), "", 'koios_ap'!L24/'koios_no_ap'!L24)</f>
        <v/>
      </c>
      <c r="J72">
        <f>IF(OR('koios_ap'!H24=-1, 'koios_no_ap'!H24=-1), "", 'koios_ap'!AC24/'koios_no_ap'!AC24)</f>
        <v/>
      </c>
      <c r="K72">
        <f>IF(OR('koios_ap'!H24=-1, 'koios_no_ap'!H24=-1), "", 'koios_ap'!AD24/'koios_no_ap'!AD24)</f>
        <v/>
      </c>
    </row>
    <row r="73">
      <c r="A73" t="inlineStr">
        <is>
          <t>koios</t>
        </is>
      </c>
      <c r="B73" t="inlineStr">
        <is>
          <t>k6FracN10LB_mem20K_complexDSP_customSB_22nm.xml</t>
        </is>
      </c>
      <c r="C73" t="inlineStr">
        <is>
          <t>tdarknet_like.large.v</t>
        </is>
      </c>
      <c r="D73">
        <f>IF(OR('koios_ap'!H25=-1, 'koios_no_ap'!H25=-1), "", 'koios_ap'!F25/'koios_no_ap'!F25)</f>
        <v/>
      </c>
      <c r="E73">
        <f>IF(OR('koios_ap'!H25=-1, 'koios_no_ap'!H25=-1), "", 'koios_ap'!G25/'koios_no_ap'!G25)</f>
        <v/>
      </c>
      <c r="F73">
        <f>IF(OR('koios_ap'!H25=-1, 'koios_no_ap'!H25=-1), "", 'koios_ap'!H25/'koios_no_ap'!H25)</f>
        <v/>
      </c>
      <c r="G73">
        <f>IF(OR('koios_ap'!H25=-1, 'koios_no_ap'!H25=-1), "", 'koios_ap'!J25/'koios_no_ap'!J25)</f>
        <v/>
      </c>
      <c r="H73">
        <f>IF(OR('koios_ap'!H25=-1, 'koios_no_ap'!H25=-1), "", 'koios_ap'!K25/'koios_no_ap'!K25)</f>
        <v/>
      </c>
      <c r="I73">
        <f>IF(OR('koios_ap'!H25=-1, 'koios_no_ap'!H25=-1), "", 'koios_ap'!L25/'koios_no_ap'!L25)</f>
        <v/>
      </c>
      <c r="J73">
        <f>IF(OR('koios_ap'!H25=-1, 'koios_no_ap'!H25=-1), "", 'koios_ap'!AC25/'koios_no_ap'!AC25)</f>
        <v/>
      </c>
      <c r="K73">
        <f>IF(OR('koios_ap'!H25=-1, 'koios_no_ap'!H25=-1), "", 'koios_ap'!AD25/'koios_no_ap'!AD25)</f>
        <v/>
      </c>
    </row>
    <row r="74">
      <c r="A74" t="inlineStr">
        <is>
          <t>koios</t>
        </is>
      </c>
      <c r="B74" t="inlineStr">
        <is>
          <t>k6FracN10LB_mem20K_complexDSP_customSB_22nm.xml</t>
        </is>
      </c>
      <c r="C74" t="inlineStr">
        <is>
          <t>tdarknet_like.small.v</t>
        </is>
      </c>
      <c r="D74">
        <f>IF(OR('koios_ap'!H26=-1, 'koios_no_ap'!H26=-1), "", 'koios_ap'!F26/'koios_no_ap'!F26)</f>
        <v/>
      </c>
      <c r="E74">
        <f>IF(OR('koios_ap'!H26=-1, 'koios_no_ap'!H26=-1), "", 'koios_ap'!G26/'koios_no_ap'!G26)</f>
        <v/>
      </c>
      <c r="F74">
        <f>IF(OR('koios_ap'!H26=-1, 'koios_no_ap'!H26=-1), "", 'koios_ap'!H26/'koios_no_ap'!H26)</f>
        <v/>
      </c>
      <c r="G74">
        <f>IF(OR('koios_ap'!H26=-1, 'koios_no_ap'!H26=-1), "", 'koios_ap'!J26/'koios_no_ap'!J26)</f>
        <v/>
      </c>
      <c r="H74">
        <f>IF(OR('koios_ap'!H26=-1, 'koios_no_ap'!H26=-1), "", 'koios_ap'!K26/'koios_no_ap'!K26)</f>
        <v/>
      </c>
      <c r="I74">
        <f>IF(OR('koios_ap'!H26=-1, 'koios_no_ap'!H26=-1), "", 'koios_ap'!L26/'koios_no_ap'!L26)</f>
        <v/>
      </c>
      <c r="J74">
        <f>IF(OR('koios_ap'!H26=-1, 'koios_no_ap'!H26=-1), "", 'koios_ap'!AC26/'koios_no_ap'!AC26)</f>
        <v/>
      </c>
      <c r="K74">
        <f>IF(OR('koios_ap'!H26=-1, 'koios_no_ap'!H26=-1), "", 'koios_ap'!AD26/'koios_no_ap'!AD26)</f>
        <v/>
      </c>
    </row>
    <row r="75">
      <c r="A75" t="inlineStr">
        <is>
          <t>koios</t>
        </is>
      </c>
      <c r="B75" t="inlineStr">
        <is>
          <t>k6FracN10LB_mem20K_complexDSP_customSB_22nm.xml</t>
        </is>
      </c>
      <c r="C75" t="inlineStr">
        <is>
          <t>tpu_like.large.os.v</t>
        </is>
      </c>
      <c r="D75">
        <f>IF(OR('koios_ap'!H27=-1, 'koios_no_ap'!H27=-1), "", 'koios_ap'!F27/'koios_no_ap'!F27)</f>
        <v/>
      </c>
      <c r="E75">
        <f>IF(OR('koios_ap'!H27=-1, 'koios_no_ap'!H27=-1), "", 'koios_ap'!G27/'koios_no_ap'!G27)</f>
        <v/>
      </c>
      <c r="F75">
        <f>IF(OR('koios_ap'!H27=-1, 'koios_no_ap'!H27=-1), "", 'koios_ap'!H27/'koios_no_ap'!H27)</f>
        <v/>
      </c>
      <c r="G75">
        <f>IF(OR('koios_ap'!H27=-1, 'koios_no_ap'!H27=-1), "", 'koios_ap'!J27/'koios_no_ap'!J27)</f>
        <v/>
      </c>
      <c r="H75">
        <f>IF(OR('koios_ap'!H27=-1, 'koios_no_ap'!H27=-1), "", 'koios_ap'!K27/'koios_no_ap'!K27)</f>
        <v/>
      </c>
      <c r="I75">
        <f>IF(OR('koios_ap'!H27=-1, 'koios_no_ap'!H27=-1), "", 'koios_ap'!L27/'koios_no_ap'!L27)</f>
        <v/>
      </c>
      <c r="J75">
        <f>IF(OR('koios_ap'!H27=-1, 'koios_no_ap'!H27=-1), "", 'koios_ap'!AC27/'koios_no_ap'!AC27)</f>
        <v/>
      </c>
      <c r="K75">
        <f>IF(OR('koios_ap'!H27=-1, 'koios_no_ap'!H27=-1), "", 'koios_ap'!AD27/'koios_no_ap'!AD27)</f>
        <v/>
      </c>
    </row>
    <row r="76">
      <c r="A76" t="inlineStr">
        <is>
          <t>koios</t>
        </is>
      </c>
      <c r="B76" t="inlineStr">
        <is>
          <t>k6FracN10LB_mem20K_complexDSP_customSB_22nm.xml</t>
        </is>
      </c>
      <c r="C76" t="inlineStr">
        <is>
          <t>tpu_like.large.ws.v</t>
        </is>
      </c>
      <c r="D76">
        <f>IF(OR('koios_ap'!H28=-1, 'koios_no_ap'!H28=-1), "", 'koios_ap'!F28/'koios_no_ap'!F28)</f>
        <v/>
      </c>
      <c r="E76">
        <f>IF(OR('koios_ap'!H28=-1, 'koios_no_ap'!H28=-1), "", 'koios_ap'!G28/'koios_no_ap'!G28)</f>
        <v/>
      </c>
      <c r="F76">
        <f>IF(OR('koios_ap'!H28=-1, 'koios_no_ap'!H28=-1), "", 'koios_ap'!H28/'koios_no_ap'!H28)</f>
        <v/>
      </c>
      <c r="G76">
        <f>IF(OR('koios_ap'!H28=-1, 'koios_no_ap'!H28=-1), "", 'koios_ap'!J28/'koios_no_ap'!J28)</f>
        <v/>
      </c>
      <c r="H76">
        <f>IF(OR('koios_ap'!H28=-1, 'koios_no_ap'!H28=-1), "", 'koios_ap'!K28/'koios_no_ap'!K28)</f>
        <v/>
      </c>
      <c r="I76">
        <f>IF(OR('koios_ap'!H28=-1, 'koios_no_ap'!H28=-1), "", 'koios_ap'!L28/'koios_no_ap'!L28)</f>
        <v/>
      </c>
      <c r="J76">
        <f>IF(OR('koios_ap'!H28=-1, 'koios_no_ap'!H28=-1), "", 'koios_ap'!AC28/'koios_no_ap'!AC28)</f>
        <v/>
      </c>
      <c r="K76">
        <f>IF(OR('koios_ap'!H28=-1, 'koios_no_ap'!H28=-1), "", 'koios_ap'!AD28/'koios_no_ap'!AD28)</f>
        <v/>
      </c>
    </row>
    <row r="77">
      <c r="A77" t="inlineStr">
        <is>
          <t>koios</t>
        </is>
      </c>
      <c r="B77" t="inlineStr">
        <is>
          <t>k6FracN10LB_mem20K_complexDSP_customSB_22nm.xml</t>
        </is>
      </c>
      <c r="C77" t="inlineStr">
        <is>
          <t>tpu_like.small.os.v</t>
        </is>
      </c>
      <c r="D77">
        <f>IF(OR('koios_ap'!H29=-1, 'koios_no_ap'!H29=-1), "", 'koios_ap'!F29/'koios_no_ap'!F29)</f>
        <v/>
      </c>
      <c r="E77">
        <f>IF(OR('koios_ap'!H29=-1, 'koios_no_ap'!H29=-1), "", 'koios_ap'!G29/'koios_no_ap'!G29)</f>
        <v/>
      </c>
      <c r="F77">
        <f>IF(OR('koios_ap'!H29=-1, 'koios_no_ap'!H29=-1), "", 'koios_ap'!H29/'koios_no_ap'!H29)</f>
        <v/>
      </c>
      <c r="G77">
        <f>IF(OR('koios_ap'!H29=-1, 'koios_no_ap'!H29=-1), "", 'koios_ap'!J29/'koios_no_ap'!J29)</f>
        <v/>
      </c>
      <c r="H77">
        <f>IF(OR('koios_ap'!H29=-1, 'koios_no_ap'!H29=-1), "", 'koios_ap'!K29/'koios_no_ap'!K29)</f>
        <v/>
      </c>
      <c r="I77">
        <f>IF(OR('koios_ap'!H29=-1, 'koios_no_ap'!H29=-1), "", 'koios_ap'!L29/'koios_no_ap'!L29)</f>
        <v/>
      </c>
      <c r="J77">
        <f>IF(OR('koios_ap'!H29=-1, 'koios_no_ap'!H29=-1), "", 'koios_ap'!AC29/'koios_no_ap'!AC29)</f>
        <v/>
      </c>
      <c r="K77">
        <f>IF(OR('koios_ap'!H29=-1, 'koios_no_ap'!H29=-1), "", 'koios_ap'!AD29/'koios_no_ap'!AD29)</f>
        <v/>
      </c>
    </row>
    <row r="78">
      <c r="A78" t="inlineStr">
        <is>
          <t>koios</t>
        </is>
      </c>
      <c r="B78" t="inlineStr">
        <is>
          <t>k6FracN10LB_mem20K_complexDSP_customSB_22nm.xml</t>
        </is>
      </c>
      <c r="C78" t="inlineStr">
        <is>
          <t>tpu_like.small.ws.v</t>
        </is>
      </c>
      <c r="D78">
        <f>IF(OR('koios_ap'!H30=-1, 'koios_no_ap'!H30=-1), "", 'koios_ap'!F30/'koios_no_ap'!F30)</f>
        <v/>
      </c>
      <c r="E78">
        <f>IF(OR('koios_ap'!H30=-1, 'koios_no_ap'!H30=-1), "", 'koios_ap'!G30/'koios_no_ap'!G30)</f>
        <v/>
      </c>
      <c r="F78">
        <f>IF(OR('koios_ap'!H30=-1, 'koios_no_ap'!H30=-1), "", 'koios_ap'!H30/'koios_no_ap'!H30)</f>
        <v/>
      </c>
      <c r="G78">
        <f>IF(OR('koios_ap'!H30=-1, 'koios_no_ap'!H30=-1), "", 'koios_ap'!J30/'koios_no_ap'!J30)</f>
        <v/>
      </c>
      <c r="H78">
        <f>IF(OR('koios_ap'!H30=-1, 'koios_no_ap'!H30=-1), "", 'koios_ap'!K30/'koios_no_ap'!K30)</f>
        <v/>
      </c>
      <c r="I78">
        <f>IF(OR('koios_ap'!H30=-1, 'koios_no_ap'!H30=-1), "", 'koios_ap'!L30/'koios_no_ap'!L30)</f>
        <v/>
      </c>
      <c r="J78">
        <f>IF(OR('koios_ap'!H30=-1, 'koios_no_ap'!H30=-1), "", 'koios_ap'!AC30/'koios_no_ap'!AC30)</f>
        <v/>
      </c>
      <c r="K78">
        <f>IF(OR('koios_ap'!H30=-1, 'koios_no_ap'!H30=-1), "", 'koios_ap'!AD30/'koios_no_ap'!AD30)</f>
        <v/>
      </c>
    </row>
    <row r="79">
      <c r="A79" t="inlineStr">
        <is>
          <t>koios</t>
        </is>
      </c>
      <c r="B79" t="inlineStr"/>
      <c r="C79" t="inlineStr">
        <is>
          <t>GEOMEAN</t>
        </is>
      </c>
      <c r="D79">
        <f>GEOMEAN(D50:D78)</f>
        <v/>
      </c>
      <c r="E79">
        <f>GEOMEAN(E50:E78)</f>
        <v/>
      </c>
      <c r="F79">
        <f>GEOMEAN(F50:F78)</f>
        <v/>
      </c>
      <c r="G79">
        <f>GEOMEAN(G50:G78)</f>
        <v/>
      </c>
      <c r="H79">
        <f>GEOMEAN(H50:H78)</f>
        <v/>
      </c>
      <c r="I79">
        <f>GEOMEAN(I50:I78)</f>
        <v/>
      </c>
      <c r="J79">
        <f>GEOMEAN(J50:J78)</f>
        <v/>
      </c>
      <c r="K79">
        <f>GEOMEAN(K50:K78)</f>
        <v/>
      </c>
    </row>
    <row r="80">
      <c r="A80" t="inlineStr">
        <is>
          <t>koios</t>
        </is>
      </c>
      <c r="B80" t="inlineStr"/>
      <c r="C80" t="inlineStr">
        <is>
          <t>UNROUTES</t>
        </is>
      </c>
      <c r="D80">
        <f>29 - COUNT(F50:F78)</f>
        <v/>
      </c>
    </row>
    <row r="81">
      <c r="A81" t="inlineStr"/>
    </row>
    <row r="82">
      <c r="A82" t="inlineStr">
        <is>
          <t>titanium_s10</t>
        </is>
      </c>
      <c r="B82" t="inlineStr">
        <is>
          <t>stratix10_arch.timing.xml</t>
        </is>
      </c>
      <c r="C82" t="inlineStr">
        <is>
          <t>ASU_LRN_stratix10_arch_timing.blif</t>
        </is>
      </c>
      <c r="D82">
        <f>IF(OR('titanium_s10_ap'!H2=-1, 'titanium_s10_no_ap'!H2=-1), "", 'titanium_s10_ap'!F2/'titanium_s10_no_ap'!F2)</f>
        <v/>
      </c>
      <c r="E82">
        <f>IF(OR('titanium_s10_ap'!H2=-1, 'titanium_s10_no_ap'!H2=-1), "", 'titanium_s10_ap'!G2/'titanium_s10_no_ap'!G2)</f>
        <v/>
      </c>
      <c r="F82">
        <f>IF(OR('titanium_s10_ap'!H2=-1, 'titanium_s10_no_ap'!H2=-1), "", 'titanium_s10_ap'!H2/'titanium_s10_no_ap'!H2)</f>
        <v/>
      </c>
      <c r="G82">
        <f>IF(OR('titanium_s10_ap'!H2=-1, 'titanium_s10_no_ap'!H2=-1), "", 'titanium_s10_ap'!J2/'titanium_s10_no_ap'!J2)</f>
        <v/>
      </c>
      <c r="H82">
        <f>IF(OR('titanium_s10_ap'!H2=-1, 'titanium_s10_no_ap'!H2=-1), "", 'titanium_s10_ap'!K2/'titanium_s10_no_ap'!K2)</f>
        <v/>
      </c>
      <c r="I82">
        <f>IF(OR('titanium_s10_ap'!H2=-1, 'titanium_s10_no_ap'!H2=-1), "", 'titanium_s10_ap'!L2/'titanium_s10_no_ap'!L2)</f>
        <v/>
      </c>
      <c r="J82">
        <f>IF(OR('titanium_s10_ap'!H2=-1, 'titanium_s10_no_ap'!H2=-1), "", 'titanium_s10_ap'!AC2/'titanium_s10_no_ap'!AC2)</f>
        <v/>
      </c>
      <c r="K82">
        <f>IF(OR('titanium_s10_ap'!H2=-1, 'titanium_s10_no_ap'!H2=-1), "", 'titanium_s10_ap'!AD2/'titanium_s10_no_ap'!AD2)</f>
        <v/>
      </c>
    </row>
    <row r="83">
      <c r="A83" t="inlineStr">
        <is>
          <t>titanium_s10</t>
        </is>
      </c>
      <c r="B83" t="inlineStr">
        <is>
          <t>stratix10_arch.timing.xml</t>
        </is>
      </c>
      <c r="C83" t="inlineStr">
        <is>
          <t>ChainNN_LRN_LG_stratix10_arch_timing.blif</t>
        </is>
      </c>
      <c r="D83">
        <f>IF(OR('titanium_s10_ap'!H3=-1, 'titanium_s10_no_ap'!H3=-1), "", 'titanium_s10_ap'!F3/'titanium_s10_no_ap'!F3)</f>
        <v/>
      </c>
      <c r="E83">
        <f>IF(OR('titanium_s10_ap'!H3=-1, 'titanium_s10_no_ap'!H3=-1), "", 'titanium_s10_ap'!G3/'titanium_s10_no_ap'!G3)</f>
        <v/>
      </c>
      <c r="F83">
        <f>IF(OR('titanium_s10_ap'!H3=-1, 'titanium_s10_no_ap'!H3=-1), "", 'titanium_s10_ap'!H3/'titanium_s10_no_ap'!H3)</f>
        <v/>
      </c>
      <c r="G83">
        <f>IF(OR('titanium_s10_ap'!H3=-1, 'titanium_s10_no_ap'!H3=-1), "", 'titanium_s10_ap'!J3/'titanium_s10_no_ap'!J3)</f>
        <v/>
      </c>
      <c r="H83">
        <f>IF(OR('titanium_s10_ap'!H3=-1, 'titanium_s10_no_ap'!H3=-1), "", 'titanium_s10_ap'!K3/'titanium_s10_no_ap'!K3)</f>
        <v/>
      </c>
      <c r="I83">
        <f>IF(OR('titanium_s10_ap'!H3=-1, 'titanium_s10_no_ap'!H3=-1), "", 'titanium_s10_ap'!L3/'titanium_s10_no_ap'!L3)</f>
        <v/>
      </c>
      <c r="J83">
        <f>IF(OR('titanium_s10_ap'!H3=-1, 'titanium_s10_no_ap'!H3=-1), "", 'titanium_s10_ap'!AC3/'titanium_s10_no_ap'!AC3)</f>
        <v/>
      </c>
      <c r="K83">
        <f>IF(OR('titanium_s10_ap'!H3=-1, 'titanium_s10_no_ap'!H3=-1), "", 'titanium_s10_ap'!AD3/'titanium_s10_no_ap'!AD3)</f>
        <v/>
      </c>
    </row>
    <row r="84">
      <c r="A84" t="inlineStr">
        <is>
          <t>titanium_s10</t>
        </is>
      </c>
      <c r="B84" t="inlineStr">
        <is>
          <t>stratix10_arch.timing.xml</t>
        </is>
      </c>
      <c r="C84" t="inlineStr">
        <is>
          <t>ChainNN_ELT_LG_stratix10_arch_timing.blif</t>
        </is>
      </c>
      <c r="D84">
        <f>IF(OR('titanium_s10_ap'!H4=-1, 'titanium_s10_no_ap'!H4=-1), "", 'titanium_s10_ap'!F4/'titanium_s10_no_ap'!F4)</f>
        <v/>
      </c>
      <c r="E84">
        <f>IF(OR('titanium_s10_ap'!H4=-1, 'titanium_s10_no_ap'!H4=-1), "", 'titanium_s10_ap'!G4/'titanium_s10_no_ap'!G4)</f>
        <v/>
      </c>
      <c r="F84">
        <f>IF(OR('titanium_s10_ap'!H4=-1, 'titanium_s10_no_ap'!H4=-1), "", 'titanium_s10_ap'!H4/'titanium_s10_no_ap'!H4)</f>
        <v/>
      </c>
      <c r="G84">
        <f>IF(OR('titanium_s10_ap'!H4=-1, 'titanium_s10_no_ap'!H4=-1), "", 'titanium_s10_ap'!J4/'titanium_s10_no_ap'!J4)</f>
        <v/>
      </c>
      <c r="H84">
        <f>IF(OR('titanium_s10_ap'!H4=-1, 'titanium_s10_no_ap'!H4=-1), "", 'titanium_s10_ap'!K4/'titanium_s10_no_ap'!K4)</f>
        <v/>
      </c>
      <c r="I84">
        <f>IF(OR('titanium_s10_ap'!H4=-1, 'titanium_s10_no_ap'!H4=-1), "", 'titanium_s10_ap'!L4/'titanium_s10_no_ap'!L4)</f>
        <v/>
      </c>
      <c r="J84">
        <f>IF(OR('titanium_s10_ap'!H4=-1, 'titanium_s10_no_ap'!H4=-1), "", 'titanium_s10_ap'!AC4/'titanium_s10_no_ap'!AC4)</f>
        <v/>
      </c>
      <c r="K84">
        <f>IF(OR('titanium_s10_ap'!H4=-1, 'titanium_s10_no_ap'!H4=-1), "", 'titanium_s10_ap'!AD4/'titanium_s10_no_ap'!AD4)</f>
        <v/>
      </c>
    </row>
    <row r="85">
      <c r="A85" t="inlineStr">
        <is>
          <t>titanium_s10</t>
        </is>
      </c>
      <c r="B85" t="inlineStr">
        <is>
          <t>stratix10_arch.timing.xml</t>
        </is>
      </c>
      <c r="C85" t="inlineStr">
        <is>
          <t>ChainNN_BSC_LG_stratix10_arch_timing.blif</t>
        </is>
      </c>
      <c r="D85">
        <f>IF(OR('titanium_s10_ap'!H5=-1, 'titanium_s10_no_ap'!H5=-1), "", 'titanium_s10_ap'!F5/'titanium_s10_no_ap'!F5)</f>
        <v/>
      </c>
      <c r="E85">
        <f>IF(OR('titanium_s10_ap'!H5=-1, 'titanium_s10_no_ap'!H5=-1), "", 'titanium_s10_ap'!G5/'titanium_s10_no_ap'!G5)</f>
        <v/>
      </c>
      <c r="F85">
        <f>IF(OR('titanium_s10_ap'!H5=-1, 'titanium_s10_no_ap'!H5=-1), "", 'titanium_s10_ap'!H5/'titanium_s10_no_ap'!H5)</f>
        <v/>
      </c>
      <c r="G85">
        <f>IF(OR('titanium_s10_ap'!H5=-1, 'titanium_s10_no_ap'!H5=-1), "", 'titanium_s10_ap'!J5/'titanium_s10_no_ap'!J5)</f>
        <v/>
      </c>
      <c r="H85">
        <f>IF(OR('titanium_s10_ap'!H5=-1, 'titanium_s10_no_ap'!H5=-1), "", 'titanium_s10_ap'!K5/'titanium_s10_no_ap'!K5)</f>
        <v/>
      </c>
      <c r="I85">
        <f>IF(OR('titanium_s10_ap'!H5=-1, 'titanium_s10_no_ap'!H5=-1), "", 'titanium_s10_ap'!L5/'titanium_s10_no_ap'!L5)</f>
        <v/>
      </c>
      <c r="J85">
        <f>IF(OR('titanium_s10_ap'!H5=-1, 'titanium_s10_no_ap'!H5=-1), "", 'titanium_s10_ap'!AC5/'titanium_s10_no_ap'!AC5)</f>
        <v/>
      </c>
      <c r="K85">
        <f>IF(OR('titanium_s10_ap'!H5=-1, 'titanium_s10_no_ap'!H5=-1), "", 'titanium_s10_ap'!AD5/'titanium_s10_no_ap'!AD5)</f>
        <v/>
      </c>
    </row>
    <row r="86">
      <c r="A86" t="inlineStr">
        <is>
          <t>titanium_s10</t>
        </is>
      </c>
      <c r="B86" t="inlineStr">
        <is>
          <t>stratix10_arch.timing.xml</t>
        </is>
      </c>
      <c r="C86" t="inlineStr">
        <is>
          <t>rocket17_stratix10_arch_timing.blif</t>
        </is>
      </c>
      <c r="D86">
        <f>IF(OR('titanium_s10_ap'!H6=-1, 'titanium_s10_no_ap'!H6=-1), "", 'titanium_s10_ap'!F6/'titanium_s10_no_ap'!F6)</f>
        <v/>
      </c>
      <c r="E86">
        <f>IF(OR('titanium_s10_ap'!H6=-1, 'titanium_s10_no_ap'!H6=-1), "", 'titanium_s10_ap'!G6/'titanium_s10_no_ap'!G6)</f>
        <v/>
      </c>
      <c r="F86">
        <f>IF(OR('titanium_s10_ap'!H6=-1, 'titanium_s10_no_ap'!H6=-1), "", 'titanium_s10_ap'!H6/'titanium_s10_no_ap'!H6)</f>
        <v/>
      </c>
      <c r="G86">
        <f>IF(OR('titanium_s10_ap'!H6=-1, 'titanium_s10_no_ap'!H6=-1), "", 'titanium_s10_ap'!J6/'titanium_s10_no_ap'!J6)</f>
        <v/>
      </c>
      <c r="H86">
        <f>IF(OR('titanium_s10_ap'!H6=-1, 'titanium_s10_no_ap'!H6=-1), "", 'titanium_s10_ap'!K6/'titanium_s10_no_ap'!K6)</f>
        <v/>
      </c>
      <c r="I86">
        <f>IF(OR('titanium_s10_ap'!H6=-1, 'titanium_s10_no_ap'!H6=-1), "", 'titanium_s10_ap'!L6/'titanium_s10_no_ap'!L6)</f>
        <v/>
      </c>
      <c r="J86">
        <f>IF(OR('titanium_s10_ap'!H6=-1, 'titanium_s10_no_ap'!H6=-1), "", 'titanium_s10_ap'!AC6/'titanium_s10_no_ap'!AC6)</f>
        <v/>
      </c>
      <c r="K86">
        <f>IF(OR('titanium_s10_ap'!H6=-1, 'titanium_s10_no_ap'!H6=-1), "", 'titanium_s10_ap'!AD6/'titanium_s10_no_ap'!AD6)</f>
        <v/>
      </c>
    </row>
    <row r="87">
      <c r="A87" t="inlineStr">
        <is>
          <t>titanium_s10</t>
        </is>
      </c>
      <c r="B87" t="inlineStr">
        <is>
          <t>stratix10_arch.timing.xml</t>
        </is>
      </c>
      <c r="C87" t="inlineStr">
        <is>
          <t>ASU_ELT_stratix10_arch_timing.blif</t>
        </is>
      </c>
      <c r="D87">
        <f>IF(OR('titanium_s10_ap'!H7=-1, 'titanium_s10_no_ap'!H7=-1), "", 'titanium_s10_ap'!F7/'titanium_s10_no_ap'!F7)</f>
        <v/>
      </c>
      <c r="E87">
        <f>IF(OR('titanium_s10_ap'!H7=-1, 'titanium_s10_no_ap'!H7=-1), "", 'titanium_s10_ap'!G7/'titanium_s10_no_ap'!G7)</f>
        <v/>
      </c>
      <c r="F87">
        <f>IF(OR('titanium_s10_ap'!H7=-1, 'titanium_s10_no_ap'!H7=-1), "", 'titanium_s10_ap'!H7/'titanium_s10_no_ap'!H7)</f>
        <v/>
      </c>
      <c r="G87">
        <f>IF(OR('titanium_s10_ap'!H7=-1, 'titanium_s10_no_ap'!H7=-1), "", 'titanium_s10_ap'!J7/'titanium_s10_no_ap'!J7)</f>
        <v/>
      </c>
      <c r="H87">
        <f>IF(OR('titanium_s10_ap'!H7=-1, 'titanium_s10_no_ap'!H7=-1), "", 'titanium_s10_ap'!K7/'titanium_s10_no_ap'!K7)</f>
        <v/>
      </c>
      <c r="I87">
        <f>IF(OR('titanium_s10_ap'!H7=-1, 'titanium_s10_no_ap'!H7=-1), "", 'titanium_s10_ap'!L7/'titanium_s10_no_ap'!L7)</f>
        <v/>
      </c>
      <c r="J87">
        <f>IF(OR('titanium_s10_ap'!H7=-1, 'titanium_s10_no_ap'!H7=-1), "", 'titanium_s10_ap'!AC7/'titanium_s10_no_ap'!AC7)</f>
        <v/>
      </c>
      <c r="K87">
        <f>IF(OR('titanium_s10_ap'!H7=-1, 'titanium_s10_no_ap'!H7=-1), "", 'titanium_s10_ap'!AD7/'titanium_s10_no_ap'!AD7)</f>
        <v/>
      </c>
    </row>
    <row r="88">
      <c r="A88" t="inlineStr">
        <is>
          <t>titanium_s10</t>
        </is>
      </c>
      <c r="B88" t="inlineStr">
        <is>
          <t>stratix10_arch.timing.xml</t>
        </is>
      </c>
      <c r="C88" t="inlineStr">
        <is>
          <t>ASU_BSC_stratix10_arch_timing.blif</t>
        </is>
      </c>
      <c r="D88">
        <f>IF(OR('titanium_s10_ap'!H8=-1, 'titanium_s10_no_ap'!H8=-1), "", 'titanium_s10_ap'!F8/'titanium_s10_no_ap'!F8)</f>
        <v/>
      </c>
      <c r="E88">
        <f>IF(OR('titanium_s10_ap'!H8=-1, 'titanium_s10_no_ap'!H8=-1), "", 'titanium_s10_ap'!G8/'titanium_s10_no_ap'!G8)</f>
        <v/>
      </c>
      <c r="F88">
        <f>IF(OR('titanium_s10_ap'!H8=-1, 'titanium_s10_no_ap'!H8=-1), "", 'titanium_s10_ap'!H8/'titanium_s10_no_ap'!H8)</f>
        <v/>
      </c>
      <c r="G88">
        <f>IF(OR('titanium_s10_ap'!H8=-1, 'titanium_s10_no_ap'!H8=-1), "", 'titanium_s10_ap'!J8/'titanium_s10_no_ap'!J8)</f>
        <v/>
      </c>
      <c r="H88">
        <f>IF(OR('titanium_s10_ap'!H8=-1, 'titanium_s10_no_ap'!H8=-1), "", 'titanium_s10_ap'!K8/'titanium_s10_no_ap'!K8)</f>
        <v/>
      </c>
      <c r="I88">
        <f>IF(OR('titanium_s10_ap'!H8=-1, 'titanium_s10_no_ap'!H8=-1), "", 'titanium_s10_ap'!L8/'titanium_s10_no_ap'!L8)</f>
        <v/>
      </c>
      <c r="J88">
        <f>IF(OR('titanium_s10_ap'!H8=-1, 'titanium_s10_no_ap'!H8=-1), "", 'titanium_s10_ap'!AC8/'titanium_s10_no_ap'!AC8)</f>
        <v/>
      </c>
      <c r="K88">
        <f>IF(OR('titanium_s10_ap'!H8=-1, 'titanium_s10_no_ap'!H8=-1), "", 'titanium_s10_ap'!AD8/'titanium_s10_no_ap'!AD8)</f>
        <v/>
      </c>
    </row>
    <row r="89">
      <c r="A89" t="inlineStr">
        <is>
          <t>titanium_s10</t>
        </is>
      </c>
      <c r="B89" t="inlineStr">
        <is>
          <t>stratix10_arch.timing.xml</t>
        </is>
      </c>
      <c r="C89" t="inlineStr">
        <is>
          <t>tdfir_stratix10_arch_timing.blif</t>
        </is>
      </c>
      <c r="D89">
        <f>IF(OR('titanium_s10_ap'!H9=-1, 'titanium_s10_no_ap'!H9=-1), "", 'titanium_s10_ap'!F9/'titanium_s10_no_ap'!F9)</f>
        <v/>
      </c>
      <c r="E89">
        <f>IF(OR('titanium_s10_ap'!H9=-1, 'titanium_s10_no_ap'!H9=-1), "", 'titanium_s10_ap'!G9/'titanium_s10_no_ap'!G9)</f>
        <v/>
      </c>
      <c r="F89">
        <f>IF(OR('titanium_s10_ap'!H9=-1, 'titanium_s10_no_ap'!H9=-1), "", 'titanium_s10_ap'!H9/'titanium_s10_no_ap'!H9)</f>
        <v/>
      </c>
      <c r="G89">
        <f>IF(OR('titanium_s10_ap'!H9=-1, 'titanium_s10_no_ap'!H9=-1), "", 'titanium_s10_ap'!J9/'titanium_s10_no_ap'!J9)</f>
        <v/>
      </c>
      <c r="H89">
        <f>IF(OR('titanium_s10_ap'!H9=-1, 'titanium_s10_no_ap'!H9=-1), "", 'titanium_s10_ap'!K9/'titanium_s10_no_ap'!K9)</f>
        <v/>
      </c>
      <c r="I89">
        <f>IF(OR('titanium_s10_ap'!H9=-1, 'titanium_s10_no_ap'!H9=-1), "", 'titanium_s10_ap'!L9/'titanium_s10_no_ap'!L9)</f>
        <v/>
      </c>
      <c r="J89">
        <f>IF(OR('titanium_s10_ap'!H9=-1, 'titanium_s10_no_ap'!H9=-1), "", 'titanium_s10_ap'!AC9/'titanium_s10_no_ap'!AC9)</f>
        <v/>
      </c>
      <c r="K89">
        <f>IF(OR('titanium_s10_ap'!H9=-1, 'titanium_s10_no_ap'!H9=-1), "", 'titanium_s10_ap'!AD9/'titanium_s10_no_ap'!AD9)</f>
        <v/>
      </c>
    </row>
    <row r="90">
      <c r="A90" t="inlineStr">
        <is>
          <t>titanium_s10</t>
        </is>
      </c>
      <c r="B90" t="inlineStr">
        <is>
          <t>stratix10_arch.timing.xml</t>
        </is>
      </c>
      <c r="C90" t="inlineStr">
        <is>
          <t>pricing_stratix10_arch_timing.blif</t>
        </is>
      </c>
      <c r="D90">
        <f>IF(OR('titanium_s10_ap'!H10=-1, 'titanium_s10_no_ap'!H10=-1), "", 'titanium_s10_ap'!F10/'titanium_s10_no_ap'!F10)</f>
        <v/>
      </c>
      <c r="E90">
        <f>IF(OR('titanium_s10_ap'!H10=-1, 'titanium_s10_no_ap'!H10=-1), "", 'titanium_s10_ap'!G10/'titanium_s10_no_ap'!G10)</f>
        <v/>
      </c>
      <c r="F90">
        <f>IF(OR('titanium_s10_ap'!H10=-1, 'titanium_s10_no_ap'!H10=-1), "", 'titanium_s10_ap'!H10/'titanium_s10_no_ap'!H10)</f>
        <v/>
      </c>
      <c r="G90">
        <f>IF(OR('titanium_s10_ap'!H10=-1, 'titanium_s10_no_ap'!H10=-1), "", 'titanium_s10_ap'!J10/'titanium_s10_no_ap'!J10)</f>
        <v/>
      </c>
      <c r="H90">
        <f>IF(OR('titanium_s10_ap'!H10=-1, 'titanium_s10_no_ap'!H10=-1), "", 'titanium_s10_ap'!K10/'titanium_s10_no_ap'!K10)</f>
        <v/>
      </c>
      <c r="I90">
        <f>IF(OR('titanium_s10_ap'!H10=-1, 'titanium_s10_no_ap'!H10=-1), "", 'titanium_s10_ap'!L10/'titanium_s10_no_ap'!L10)</f>
        <v/>
      </c>
      <c r="J90">
        <f>IF(OR('titanium_s10_ap'!H10=-1, 'titanium_s10_no_ap'!H10=-1), "", 'titanium_s10_ap'!AC10/'titanium_s10_no_ap'!AC10)</f>
        <v/>
      </c>
      <c r="K90">
        <f>IF(OR('titanium_s10_ap'!H10=-1, 'titanium_s10_no_ap'!H10=-1), "", 'titanium_s10_ap'!AD10/'titanium_s10_no_ap'!AD10)</f>
        <v/>
      </c>
    </row>
    <row r="91">
      <c r="A91" t="inlineStr">
        <is>
          <t>titanium_s10</t>
        </is>
      </c>
      <c r="B91" t="inlineStr">
        <is>
          <t>stratix10_arch.timing.xml</t>
        </is>
      </c>
      <c r="C91" t="inlineStr">
        <is>
          <t>mem_tester_stratix10_arch_timing.blif</t>
        </is>
      </c>
      <c r="D91">
        <f>IF(OR('titanium_s10_ap'!H11=-1, 'titanium_s10_no_ap'!H11=-1), "", 'titanium_s10_ap'!F11/'titanium_s10_no_ap'!F11)</f>
        <v/>
      </c>
      <c r="E91">
        <f>IF(OR('titanium_s10_ap'!H11=-1, 'titanium_s10_no_ap'!H11=-1), "", 'titanium_s10_ap'!G11/'titanium_s10_no_ap'!G11)</f>
        <v/>
      </c>
      <c r="F91">
        <f>IF(OR('titanium_s10_ap'!H11=-1, 'titanium_s10_no_ap'!H11=-1), "", 'titanium_s10_ap'!H11/'titanium_s10_no_ap'!H11)</f>
        <v/>
      </c>
      <c r="G91">
        <f>IF(OR('titanium_s10_ap'!H11=-1, 'titanium_s10_no_ap'!H11=-1), "", 'titanium_s10_ap'!J11/'titanium_s10_no_ap'!J11)</f>
        <v/>
      </c>
      <c r="H91">
        <f>IF(OR('titanium_s10_ap'!H11=-1, 'titanium_s10_no_ap'!H11=-1), "", 'titanium_s10_ap'!K11/'titanium_s10_no_ap'!K11)</f>
        <v/>
      </c>
      <c r="I91">
        <f>IF(OR('titanium_s10_ap'!H11=-1, 'titanium_s10_no_ap'!H11=-1), "", 'titanium_s10_ap'!L11/'titanium_s10_no_ap'!L11)</f>
        <v/>
      </c>
      <c r="J91">
        <f>IF(OR('titanium_s10_ap'!H11=-1, 'titanium_s10_no_ap'!H11=-1), "", 'titanium_s10_ap'!AC11/'titanium_s10_no_ap'!AC11)</f>
        <v/>
      </c>
      <c r="K91">
        <f>IF(OR('titanium_s10_ap'!H11=-1, 'titanium_s10_no_ap'!H11=-1), "", 'titanium_s10_ap'!AD11/'titanium_s10_no_ap'!AD11)</f>
        <v/>
      </c>
    </row>
    <row r="92">
      <c r="A92" t="inlineStr">
        <is>
          <t>titanium_s10</t>
        </is>
      </c>
      <c r="B92" t="inlineStr">
        <is>
          <t>stratix10_arch.timing.xml</t>
        </is>
      </c>
      <c r="C92" t="inlineStr">
        <is>
          <t>mandelbrot_stratix10_arch_timing.blif</t>
        </is>
      </c>
      <c r="D92">
        <f>IF(OR('titanium_s10_ap'!H12=-1, 'titanium_s10_no_ap'!H12=-1), "", 'titanium_s10_ap'!F12/'titanium_s10_no_ap'!F12)</f>
        <v/>
      </c>
      <c r="E92">
        <f>IF(OR('titanium_s10_ap'!H12=-1, 'titanium_s10_no_ap'!H12=-1), "", 'titanium_s10_ap'!G12/'titanium_s10_no_ap'!G12)</f>
        <v/>
      </c>
      <c r="F92">
        <f>IF(OR('titanium_s10_ap'!H12=-1, 'titanium_s10_no_ap'!H12=-1), "", 'titanium_s10_ap'!H12/'titanium_s10_no_ap'!H12)</f>
        <v/>
      </c>
      <c r="G92">
        <f>IF(OR('titanium_s10_ap'!H12=-1, 'titanium_s10_no_ap'!H12=-1), "", 'titanium_s10_ap'!J12/'titanium_s10_no_ap'!J12)</f>
        <v/>
      </c>
      <c r="H92">
        <f>IF(OR('titanium_s10_ap'!H12=-1, 'titanium_s10_no_ap'!H12=-1), "", 'titanium_s10_ap'!K12/'titanium_s10_no_ap'!K12)</f>
        <v/>
      </c>
      <c r="I92">
        <f>IF(OR('titanium_s10_ap'!H12=-1, 'titanium_s10_no_ap'!H12=-1), "", 'titanium_s10_ap'!L12/'titanium_s10_no_ap'!L12)</f>
        <v/>
      </c>
      <c r="J92">
        <f>IF(OR('titanium_s10_ap'!H12=-1, 'titanium_s10_no_ap'!H12=-1), "", 'titanium_s10_ap'!AC12/'titanium_s10_no_ap'!AC12)</f>
        <v/>
      </c>
      <c r="K92">
        <f>IF(OR('titanium_s10_ap'!H12=-1, 'titanium_s10_no_ap'!H12=-1), "", 'titanium_s10_ap'!AD12/'titanium_s10_no_ap'!AD12)</f>
        <v/>
      </c>
    </row>
    <row r="93">
      <c r="A93" t="inlineStr">
        <is>
          <t>titanium_s10</t>
        </is>
      </c>
      <c r="B93" t="inlineStr">
        <is>
          <t>stratix10_arch.timing.xml</t>
        </is>
      </c>
      <c r="C93" t="inlineStr">
        <is>
          <t>channelizer_stratix10_arch_timing.blif</t>
        </is>
      </c>
      <c r="D93">
        <f>IF(OR('titanium_s10_ap'!H13=-1, 'titanium_s10_no_ap'!H13=-1), "", 'titanium_s10_ap'!F13/'titanium_s10_no_ap'!F13)</f>
        <v/>
      </c>
      <c r="E93">
        <f>IF(OR('titanium_s10_ap'!H13=-1, 'titanium_s10_no_ap'!H13=-1), "", 'titanium_s10_ap'!G13/'titanium_s10_no_ap'!G13)</f>
        <v/>
      </c>
      <c r="F93">
        <f>IF(OR('titanium_s10_ap'!H13=-1, 'titanium_s10_no_ap'!H13=-1), "", 'titanium_s10_ap'!H13/'titanium_s10_no_ap'!H13)</f>
        <v/>
      </c>
      <c r="G93">
        <f>IF(OR('titanium_s10_ap'!H13=-1, 'titanium_s10_no_ap'!H13=-1), "", 'titanium_s10_ap'!J13/'titanium_s10_no_ap'!J13)</f>
        <v/>
      </c>
      <c r="H93">
        <f>IF(OR('titanium_s10_ap'!H13=-1, 'titanium_s10_no_ap'!H13=-1), "", 'titanium_s10_ap'!K13/'titanium_s10_no_ap'!K13)</f>
        <v/>
      </c>
      <c r="I93">
        <f>IF(OR('titanium_s10_ap'!H13=-1, 'titanium_s10_no_ap'!H13=-1), "", 'titanium_s10_ap'!L13/'titanium_s10_no_ap'!L13)</f>
        <v/>
      </c>
      <c r="J93">
        <f>IF(OR('titanium_s10_ap'!H13=-1, 'titanium_s10_no_ap'!H13=-1), "", 'titanium_s10_ap'!AC13/'titanium_s10_no_ap'!AC13)</f>
        <v/>
      </c>
      <c r="K93">
        <f>IF(OR('titanium_s10_ap'!H13=-1, 'titanium_s10_no_ap'!H13=-1), "", 'titanium_s10_ap'!AD13/'titanium_s10_no_ap'!AD13)</f>
        <v/>
      </c>
    </row>
    <row r="94">
      <c r="A94" t="inlineStr">
        <is>
          <t>titanium_s10</t>
        </is>
      </c>
      <c r="B94" t="inlineStr">
        <is>
          <t>stratix10_arch.timing.xml</t>
        </is>
      </c>
      <c r="C94" t="inlineStr">
        <is>
          <t>fft1d_offchip_stratix10_arch_timing.blif</t>
        </is>
      </c>
      <c r="D94">
        <f>IF(OR('titanium_s10_ap'!H14=-1, 'titanium_s10_no_ap'!H14=-1), "", 'titanium_s10_ap'!F14/'titanium_s10_no_ap'!F14)</f>
        <v/>
      </c>
      <c r="E94">
        <f>IF(OR('titanium_s10_ap'!H14=-1, 'titanium_s10_no_ap'!H14=-1), "", 'titanium_s10_ap'!G14/'titanium_s10_no_ap'!G14)</f>
        <v/>
      </c>
      <c r="F94">
        <f>IF(OR('titanium_s10_ap'!H14=-1, 'titanium_s10_no_ap'!H14=-1), "", 'titanium_s10_ap'!H14/'titanium_s10_no_ap'!H14)</f>
        <v/>
      </c>
      <c r="G94">
        <f>IF(OR('titanium_s10_ap'!H14=-1, 'titanium_s10_no_ap'!H14=-1), "", 'titanium_s10_ap'!J14/'titanium_s10_no_ap'!J14)</f>
        <v/>
      </c>
      <c r="H94">
        <f>IF(OR('titanium_s10_ap'!H14=-1, 'titanium_s10_no_ap'!H14=-1), "", 'titanium_s10_ap'!K14/'titanium_s10_no_ap'!K14)</f>
        <v/>
      </c>
      <c r="I94">
        <f>IF(OR('titanium_s10_ap'!H14=-1, 'titanium_s10_no_ap'!H14=-1), "", 'titanium_s10_ap'!L14/'titanium_s10_no_ap'!L14)</f>
        <v/>
      </c>
      <c r="J94">
        <f>IF(OR('titanium_s10_ap'!H14=-1, 'titanium_s10_no_ap'!H14=-1), "", 'titanium_s10_ap'!AC14/'titanium_s10_no_ap'!AC14)</f>
        <v/>
      </c>
      <c r="K94">
        <f>IF(OR('titanium_s10_ap'!H14=-1, 'titanium_s10_no_ap'!H14=-1), "", 'titanium_s10_ap'!AD14/'titanium_s10_no_ap'!AD14)</f>
        <v/>
      </c>
    </row>
    <row r="95">
      <c r="A95" t="inlineStr">
        <is>
          <t>titanium_s10</t>
        </is>
      </c>
      <c r="B95" t="inlineStr">
        <is>
          <t>stratix10_arch.timing.xml</t>
        </is>
      </c>
      <c r="C95" t="inlineStr">
        <is>
          <t>DLA_LRN_stratix10_arch_timing.blif</t>
        </is>
      </c>
      <c r="D95">
        <f>IF(OR('titanium_s10_ap'!H15=-1, 'titanium_s10_no_ap'!H15=-1), "", 'titanium_s10_ap'!F15/'titanium_s10_no_ap'!F15)</f>
        <v/>
      </c>
      <c r="E95">
        <f>IF(OR('titanium_s10_ap'!H15=-1, 'titanium_s10_no_ap'!H15=-1), "", 'titanium_s10_ap'!G15/'titanium_s10_no_ap'!G15)</f>
        <v/>
      </c>
      <c r="F95">
        <f>IF(OR('titanium_s10_ap'!H15=-1, 'titanium_s10_no_ap'!H15=-1), "", 'titanium_s10_ap'!H15/'titanium_s10_no_ap'!H15)</f>
        <v/>
      </c>
      <c r="G95">
        <f>IF(OR('titanium_s10_ap'!H15=-1, 'titanium_s10_no_ap'!H15=-1), "", 'titanium_s10_ap'!J15/'titanium_s10_no_ap'!J15)</f>
        <v/>
      </c>
      <c r="H95">
        <f>IF(OR('titanium_s10_ap'!H15=-1, 'titanium_s10_no_ap'!H15=-1), "", 'titanium_s10_ap'!K15/'titanium_s10_no_ap'!K15)</f>
        <v/>
      </c>
      <c r="I95">
        <f>IF(OR('titanium_s10_ap'!H15=-1, 'titanium_s10_no_ap'!H15=-1), "", 'titanium_s10_ap'!L15/'titanium_s10_no_ap'!L15)</f>
        <v/>
      </c>
      <c r="J95">
        <f>IF(OR('titanium_s10_ap'!H15=-1, 'titanium_s10_no_ap'!H15=-1), "", 'titanium_s10_ap'!AC15/'titanium_s10_no_ap'!AC15)</f>
        <v/>
      </c>
      <c r="K95">
        <f>IF(OR('titanium_s10_ap'!H15=-1, 'titanium_s10_no_ap'!H15=-1), "", 'titanium_s10_ap'!AD15/'titanium_s10_no_ap'!AD15)</f>
        <v/>
      </c>
    </row>
    <row r="96">
      <c r="A96" t="inlineStr">
        <is>
          <t>titanium_s10</t>
        </is>
      </c>
      <c r="B96" t="inlineStr">
        <is>
          <t>stratix10_arch.timing.xml</t>
        </is>
      </c>
      <c r="C96" t="inlineStr">
        <is>
          <t>matrix_mult_stratix10_arch_timing.blif</t>
        </is>
      </c>
      <c r="D96">
        <f>IF(OR('titanium_s10_ap'!H16=-1, 'titanium_s10_no_ap'!H16=-1), "", 'titanium_s10_ap'!F16/'titanium_s10_no_ap'!F16)</f>
        <v/>
      </c>
      <c r="E96">
        <f>IF(OR('titanium_s10_ap'!H16=-1, 'titanium_s10_no_ap'!H16=-1), "", 'titanium_s10_ap'!G16/'titanium_s10_no_ap'!G16)</f>
        <v/>
      </c>
      <c r="F96">
        <f>IF(OR('titanium_s10_ap'!H16=-1, 'titanium_s10_no_ap'!H16=-1), "", 'titanium_s10_ap'!H16/'titanium_s10_no_ap'!H16)</f>
        <v/>
      </c>
      <c r="G96">
        <f>IF(OR('titanium_s10_ap'!H16=-1, 'titanium_s10_no_ap'!H16=-1), "", 'titanium_s10_ap'!J16/'titanium_s10_no_ap'!J16)</f>
        <v/>
      </c>
      <c r="H96">
        <f>IF(OR('titanium_s10_ap'!H16=-1, 'titanium_s10_no_ap'!H16=-1), "", 'titanium_s10_ap'!K16/'titanium_s10_no_ap'!K16)</f>
        <v/>
      </c>
      <c r="I96">
        <f>IF(OR('titanium_s10_ap'!H16=-1, 'titanium_s10_no_ap'!H16=-1), "", 'titanium_s10_ap'!L16/'titanium_s10_no_ap'!L16)</f>
        <v/>
      </c>
      <c r="J96">
        <f>IF(OR('titanium_s10_ap'!H16=-1, 'titanium_s10_no_ap'!H16=-1), "", 'titanium_s10_ap'!AC16/'titanium_s10_no_ap'!AC16)</f>
        <v/>
      </c>
      <c r="K96">
        <f>IF(OR('titanium_s10_ap'!H16=-1, 'titanium_s10_no_ap'!H16=-1), "", 'titanium_s10_ap'!AD16/'titanium_s10_no_ap'!AD16)</f>
        <v/>
      </c>
    </row>
    <row r="97">
      <c r="A97" t="inlineStr">
        <is>
          <t>titanium_s10</t>
        </is>
      </c>
      <c r="B97" t="inlineStr">
        <is>
          <t>stratix10_arch.timing.xml</t>
        </is>
      </c>
      <c r="C97" t="inlineStr">
        <is>
          <t>fft1d_stratix10_arch_timing.blif</t>
        </is>
      </c>
      <c r="D97">
        <f>IF(OR('titanium_s10_ap'!H17=-1, 'titanium_s10_no_ap'!H17=-1), "", 'titanium_s10_ap'!F17/'titanium_s10_no_ap'!F17)</f>
        <v/>
      </c>
      <c r="E97">
        <f>IF(OR('titanium_s10_ap'!H17=-1, 'titanium_s10_no_ap'!H17=-1), "", 'titanium_s10_ap'!G17/'titanium_s10_no_ap'!G17)</f>
        <v/>
      </c>
      <c r="F97">
        <f>IF(OR('titanium_s10_ap'!H17=-1, 'titanium_s10_no_ap'!H17=-1), "", 'titanium_s10_ap'!H17/'titanium_s10_no_ap'!H17)</f>
        <v/>
      </c>
      <c r="G97">
        <f>IF(OR('titanium_s10_ap'!H17=-1, 'titanium_s10_no_ap'!H17=-1), "", 'titanium_s10_ap'!J17/'titanium_s10_no_ap'!J17)</f>
        <v/>
      </c>
      <c r="H97">
        <f>IF(OR('titanium_s10_ap'!H17=-1, 'titanium_s10_no_ap'!H17=-1), "", 'titanium_s10_ap'!K17/'titanium_s10_no_ap'!K17)</f>
        <v/>
      </c>
      <c r="I97">
        <f>IF(OR('titanium_s10_ap'!H17=-1, 'titanium_s10_no_ap'!H17=-1), "", 'titanium_s10_ap'!L17/'titanium_s10_no_ap'!L17)</f>
        <v/>
      </c>
      <c r="J97">
        <f>IF(OR('titanium_s10_ap'!H17=-1, 'titanium_s10_no_ap'!H17=-1), "", 'titanium_s10_ap'!AC17/'titanium_s10_no_ap'!AC17)</f>
        <v/>
      </c>
      <c r="K97">
        <f>IF(OR('titanium_s10_ap'!H17=-1, 'titanium_s10_no_ap'!H17=-1), "", 'titanium_s10_ap'!AD17/'titanium_s10_no_ap'!AD17)</f>
        <v/>
      </c>
    </row>
    <row r="98">
      <c r="A98" t="inlineStr">
        <is>
          <t>titanium_s10</t>
        </is>
      </c>
      <c r="B98" t="inlineStr">
        <is>
          <t>stratix10_arch.timing.xml</t>
        </is>
      </c>
      <c r="C98" t="inlineStr">
        <is>
          <t>fft2d_stratix10_arch_timing.blif</t>
        </is>
      </c>
      <c r="D98">
        <f>IF(OR('titanium_s10_ap'!H18=-1, 'titanium_s10_no_ap'!H18=-1), "", 'titanium_s10_ap'!F18/'titanium_s10_no_ap'!F18)</f>
        <v/>
      </c>
      <c r="E98">
        <f>IF(OR('titanium_s10_ap'!H18=-1, 'titanium_s10_no_ap'!H18=-1), "", 'titanium_s10_ap'!G18/'titanium_s10_no_ap'!G18)</f>
        <v/>
      </c>
      <c r="F98">
        <f>IF(OR('titanium_s10_ap'!H18=-1, 'titanium_s10_no_ap'!H18=-1), "", 'titanium_s10_ap'!H18/'titanium_s10_no_ap'!H18)</f>
        <v/>
      </c>
      <c r="G98">
        <f>IF(OR('titanium_s10_ap'!H18=-1, 'titanium_s10_no_ap'!H18=-1), "", 'titanium_s10_ap'!J18/'titanium_s10_no_ap'!J18)</f>
        <v/>
      </c>
      <c r="H98">
        <f>IF(OR('titanium_s10_ap'!H18=-1, 'titanium_s10_no_ap'!H18=-1), "", 'titanium_s10_ap'!K18/'titanium_s10_no_ap'!K18)</f>
        <v/>
      </c>
      <c r="I98">
        <f>IF(OR('titanium_s10_ap'!H18=-1, 'titanium_s10_no_ap'!H18=-1), "", 'titanium_s10_ap'!L18/'titanium_s10_no_ap'!L18)</f>
        <v/>
      </c>
      <c r="J98">
        <f>IF(OR('titanium_s10_ap'!H18=-1, 'titanium_s10_no_ap'!H18=-1), "", 'titanium_s10_ap'!AC18/'titanium_s10_no_ap'!AC18)</f>
        <v/>
      </c>
      <c r="K98">
        <f>IF(OR('titanium_s10_ap'!H18=-1, 'titanium_s10_no_ap'!H18=-1), "", 'titanium_s10_ap'!AD18/'titanium_s10_no_ap'!AD18)</f>
        <v/>
      </c>
    </row>
    <row r="99">
      <c r="A99" t="inlineStr">
        <is>
          <t>titanium_s10</t>
        </is>
      </c>
      <c r="B99" t="inlineStr">
        <is>
          <t>stratix10_arch.timing.xml</t>
        </is>
      </c>
      <c r="C99" t="inlineStr">
        <is>
          <t>DLA_ELT_stratix10_arch_timing.blif</t>
        </is>
      </c>
      <c r="D99">
        <f>IF(OR('titanium_s10_ap'!H19=-1, 'titanium_s10_no_ap'!H19=-1), "", 'titanium_s10_ap'!F19/'titanium_s10_no_ap'!F19)</f>
        <v/>
      </c>
      <c r="E99">
        <f>IF(OR('titanium_s10_ap'!H19=-1, 'titanium_s10_no_ap'!H19=-1), "", 'titanium_s10_ap'!G19/'titanium_s10_no_ap'!G19)</f>
        <v/>
      </c>
      <c r="F99">
        <f>IF(OR('titanium_s10_ap'!H19=-1, 'titanium_s10_no_ap'!H19=-1), "", 'titanium_s10_ap'!H19/'titanium_s10_no_ap'!H19)</f>
        <v/>
      </c>
      <c r="G99">
        <f>IF(OR('titanium_s10_ap'!H19=-1, 'titanium_s10_no_ap'!H19=-1), "", 'titanium_s10_ap'!J19/'titanium_s10_no_ap'!J19)</f>
        <v/>
      </c>
      <c r="H99">
        <f>IF(OR('titanium_s10_ap'!H19=-1, 'titanium_s10_no_ap'!H19=-1), "", 'titanium_s10_ap'!K19/'titanium_s10_no_ap'!K19)</f>
        <v/>
      </c>
      <c r="I99">
        <f>IF(OR('titanium_s10_ap'!H19=-1, 'titanium_s10_no_ap'!H19=-1), "", 'titanium_s10_ap'!L19/'titanium_s10_no_ap'!L19)</f>
        <v/>
      </c>
      <c r="J99">
        <f>IF(OR('titanium_s10_ap'!H19=-1, 'titanium_s10_no_ap'!H19=-1), "", 'titanium_s10_ap'!AC19/'titanium_s10_no_ap'!AC19)</f>
        <v/>
      </c>
      <c r="K99">
        <f>IF(OR('titanium_s10_ap'!H19=-1, 'titanium_s10_no_ap'!H19=-1), "", 'titanium_s10_ap'!AD19/'titanium_s10_no_ap'!AD19)</f>
        <v/>
      </c>
    </row>
    <row r="100">
      <c r="A100" t="inlineStr">
        <is>
          <t>titanium_s10</t>
        </is>
      </c>
      <c r="B100" t="inlineStr">
        <is>
          <t>stratix10_arch.timing.xml</t>
        </is>
      </c>
      <c r="C100" t="inlineStr">
        <is>
          <t>DLA_BSC_stratix10_arch_timing.blif</t>
        </is>
      </c>
      <c r="D100">
        <f>IF(OR('titanium_s10_ap'!H20=-1, 'titanium_s10_no_ap'!H20=-1), "", 'titanium_s10_ap'!F20/'titanium_s10_no_ap'!F20)</f>
        <v/>
      </c>
      <c r="E100">
        <f>IF(OR('titanium_s10_ap'!H20=-1, 'titanium_s10_no_ap'!H20=-1), "", 'titanium_s10_ap'!G20/'titanium_s10_no_ap'!G20)</f>
        <v/>
      </c>
      <c r="F100">
        <f>IF(OR('titanium_s10_ap'!H20=-1, 'titanium_s10_no_ap'!H20=-1), "", 'titanium_s10_ap'!H20/'titanium_s10_no_ap'!H20)</f>
        <v/>
      </c>
      <c r="G100">
        <f>IF(OR('titanium_s10_ap'!H20=-1, 'titanium_s10_no_ap'!H20=-1), "", 'titanium_s10_ap'!J20/'titanium_s10_no_ap'!J20)</f>
        <v/>
      </c>
      <c r="H100">
        <f>IF(OR('titanium_s10_ap'!H20=-1, 'titanium_s10_no_ap'!H20=-1), "", 'titanium_s10_ap'!K20/'titanium_s10_no_ap'!K20)</f>
        <v/>
      </c>
      <c r="I100">
        <f>IF(OR('titanium_s10_ap'!H20=-1, 'titanium_s10_no_ap'!H20=-1), "", 'titanium_s10_ap'!L20/'titanium_s10_no_ap'!L20)</f>
        <v/>
      </c>
      <c r="J100">
        <f>IF(OR('titanium_s10_ap'!H20=-1, 'titanium_s10_no_ap'!H20=-1), "", 'titanium_s10_ap'!AC20/'titanium_s10_no_ap'!AC20)</f>
        <v/>
      </c>
      <c r="K100">
        <f>IF(OR('titanium_s10_ap'!H20=-1, 'titanium_s10_no_ap'!H20=-1), "", 'titanium_s10_ap'!AD20/'titanium_s10_no_ap'!AD20)</f>
        <v/>
      </c>
    </row>
    <row r="101">
      <c r="A101" t="inlineStr">
        <is>
          <t>titanium_s10</t>
        </is>
      </c>
      <c r="B101" t="inlineStr">
        <is>
          <t>stratix10_arch.timing.xml</t>
        </is>
      </c>
      <c r="C101" t="inlineStr">
        <is>
          <t>jpeg_deco_stratix10_arch_timing.blif</t>
        </is>
      </c>
      <c r="D101">
        <f>IF(OR('titanium_s10_ap'!H21=-1, 'titanium_s10_no_ap'!H21=-1), "", 'titanium_s10_ap'!F21/'titanium_s10_no_ap'!F21)</f>
        <v/>
      </c>
      <c r="E101">
        <f>IF(OR('titanium_s10_ap'!H21=-1, 'titanium_s10_no_ap'!H21=-1), "", 'titanium_s10_ap'!G21/'titanium_s10_no_ap'!G21)</f>
        <v/>
      </c>
      <c r="F101">
        <f>IF(OR('titanium_s10_ap'!H21=-1, 'titanium_s10_no_ap'!H21=-1), "", 'titanium_s10_ap'!H21/'titanium_s10_no_ap'!H21)</f>
        <v/>
      </c>
      <c r="G101">
        <f>IF(OR('titanium_s10_ap'!H21=-1, 'titanium_s10_no_ap'!H21=-1), "", 'titanium_s10_ap'!J21/'titanium_s10_no_ap'!J21)</f>
        <v/>
      </c>
      <c r="H101">
        <f>IF(OR('titanium_s10_ap'!H21=-1, 'titanium_s10_no_ap'!H21=-1), "", 'titanium_s10_ap'!K21/'titanium_s10_no_ap'!K21)</f>
        <v/>
      </c>
      <c r="I101">
        <f>IF(OR('titanium_s10_ap'!H21=-1, 'titanium_s10_no_ap'!H21=-1), "", 'titanium_s10_ap'!L21/'titanium_s10_no_ap'!L21)</f>
        <v/>
      </c>
      <c r="J101">
        <f>IF(OR('titanium_s10_ap'!H21=-1, 'titanium_s10_no_ap'!H21=-1), "", 'titanium_s10_ap'!AC21/'titanium_s10_no_ap'!AC21)</f>
        <v/>
      </c>
      <c r="K101">
        <f>IF(OR('titanium_s10_ap'!H21=-1, 'titanium_s10_no_ap'!H21=-1), "", 'titanium_s10_ap'!AD21/'titanium_s10_no_ap'!AD21)</f>
        <v/>
      </c>
    </row>
    <row r="102">
      <c r="A102" t="inlineStr">
        <is>
          <t>titanium_s10</t>
        </is>
      </c>
      <c r="B102" t="inlineStr">
        <is>
          <t>stratix10_arch.timing.xml</t>
        </is>
      </c>
      <c r="C102" t="inlineStr">
        <is>
          <t>nyuzi_stratix10_arch_timing.blif</t>
        </is>
      </c>
      <c r="D102">
        <f>IF(OR('titanium_s10_ap'!H22=-1, 'titanium_s10_no_ap'!H22=-1), "", 'titanium_s10_ap'!F22/'titanium_s10_no_ap'!F22)</f>
        <v/>
      </c>
      <c r="E102">
        <f>IF(OR('titanium_s10_ap'!H22=-1, 'titanium_s10_no_ap'!H22=-1), "", 'titanium_s10_ap'!G22/'titanium_s10_no_ap'!G22)</f>
        <v/>
      </c>
      <c r="F102">
        <f>IF(OR('titanium_s10_ap'!H22=-1, 'titanium_s10_no_ap'!H22=-1), "", 'titanium_s10_ap'!H22/'titanium_s10_no_ap'!H22)</f>
        <v/>
      </c>
      <c r="G102">
        <f>IF(OR('titanium_s10_ap'!H22=-1, 'titanium_s10_no_ap'!H22=-1), "", 'titanium_s10_ap'!J22/'titanium_s10_no_ap'!J22)</f>
        <v/>
      </c>
      <c r="H102">
        <f>IF(OR('titanium_s10_ap'!H22=-1, 'titanium_s10_no_ap'!H22=-1), "", 'titanium_s10_ap'!K22/'titanium_s10_no_ap'!K22)</f>
        <v/>
      </c>
      <c r="I102">
        <f>IF(OR('titanium_s10_ap'!H22=-1, 'titanium_s10_no_ap'!H22=-1), "", 'titanium_s10_ap'!L22/'titanium_s10_no_ap'!L22)</f>
        <v/>
      </c>
      <c r="J102">
        <f>IF(OR('titanium_s10_ap'!H22=-1, 'titanium_s10_no_ap'!H22=-1), "", 'titanium_s10_ap'!AC22/'titanium_s10_no_ap'!AC22)</f>
        <v/>
      </c>
      <c r="K102">
        <f>IF(OR('titanium_s10_ap'!H22=-1, 'titanium_s10_no_ap'!H22=-1), "", 'titanium_s10_ap'!AD22/'titanium_s10_no_ap'!AD22)</f>
        <v/>
      </c>
    </row>
    <row r="103">
      <c r="A103" t="inlineStr">
        <is>
          <t>titanium_s10</t>
        </is>
      </c>
      <c r="B103" t="inlineStr">
        <is>
          <t>stratix10_arch.timing.xml</t>
        </is>
      </c>
      <c r="C103" t="inlineStr">
        <is>
          <t>sobel_stratix10_arch_timing.blif</t>
        </is>
      </c>
      <c r="D103">
        <f>IF(OR('titanium_s10_ap'!H23=-1, 'titanium_s10_no_ap'!H23=-1), "", 'titanium_s10_ap'!F23/'titanium_s10_no_ap'!F23)</f>
        <v/>
      </c>
      <c r="E103">
        <f>IF(OR('titanium_s10_ap'!H23=-1, 'titanium_s10_no_ap'!H23=-1), "", 'titanium_s10_ap'!G23/'titanium_s10_no_ap'!G23)</f>
        <v/>
      </c>
      <c r="F103">
        <f>IF(OR('titanium_s10_ap'!H23=-1, 'titanium_s10_no_ap'!H23=-1), "", 'titanium_s10_ap'!H23/'titanium_s10_no_ap'!H23)</f>
        <v/>
      </c>
      <c r="G103">
        <f>IF(OR('titanium_s10_ap'!H23=-1, 'titanium_s10_no_ap'!H23=-1), "", 'titanium_s10_ap'!J23/'titanium_s10_no_ap'!J23)</f>
        <v/>
      </c>
      <c r="H103">
        <f>IF(OR('titanium_s10_ap'!H23=-1, 'titanium_s10_no_ap'!H23=-1), "", 'titanium_s10_ap'!K23/'titanium_s10_no_ap'!K23)</f>
        <v/>
      </c>
      <c r="I103">
        <f>IF(OR('titanium_s10_ap'!H23=-1, 'titanium_s10_no_ap'!H23=-1), "", 'titanium_s10_ap'!L23/'titanium_s10_no_ap'!L23)</f>
        <v/>
      </c>
      <c r="J103">
        <f>IF(OR('titanium_s10_ap'!H23=-1, 'titanium_s10_no_ap'!H23=-1), "", 'titanium_s10_ap'!AC23/'titanium_s10_no_ap'!AC23)</f>
        <v/>
      </c>
      <c r="K103">
        <f>IF(OR('titanium_s10_ap'!H23=-1, 'titanium_s10_no_ap'!H23=-1), "", 'titanium_s10_ap'!AD23/'titanium_s10_no_ap'!AD23)</f>
        <v/>
      </c>
    </row>
    <row r="104">
      <c r="A104" t="inlineStr">
        <is>
          <t>titanium_s10</t>
        </is>
      </c>
      <c r="B104" t="inlineStr">
        <is>
          <t>stratix10_arch.timing.xml</t>
        </is>
      </c>
      <c r="C104" t="inlineStr">
        <is>
          <t>mem_tester_max_stratix10_arch_timing.blif</t>
        </is>
      </c>
      <c r="D104">
        <f>IF(OR('titanium_s10_ap'!H24=-1, 'titanium_s10_no_ap'!H24=-1), "", 'titanium_s10_ap'!F24/'titanium_s10_no_ap'!F24)</f>
        <v/>
      </c>
      <c r="E104">
        <f>IF(OR('titanium_s10_ap'!H24=-1, 'titanium_s10_no_ap'!H24=-1), "", 'titanium_s10_ap'!G24/'titanium_s10_no_ap'!G24)</f>
        <v/>
      </c>
      <c r="F104">
        <f>IF(OR('titanium_s10_ap'!H24=-1, 'titanium_s10_no_ap'!H24=-1), "", 'titanium_s10_ap'!H24/'titanium_s10_no_ap'!H24)</f>
        <v/>
      </c>
      <c r="G104">
        <f>IF(OR('titanium_s10_ap'!H24=-1, 'titanium_s10_no_ap'!H24=-1), "", 'titanium_s10_ap'!J24/'titanium_s10_no_ap'!J24)</f>
        <v/>
      </c>
      <c r="H104">
        <f>IF(OR('titanium_s10_ap'!H24=-1, 'titanium_s10_no_ap'!H24=-1), "", 'titanium_s10_ap'!K24/'titanium_s10_no_ap'!K24)</f>
        <v/>
      </c>
      <c r="I104">
        <f>IF(OR('titanium_s10_ap'!H24=-1, 'titanium_s10_no_ap'!H24=-1), "", 'titanium_s10_ap'!L24/'titanium_s10_no_ap'!L24)</f>
        <v/>
      </c>
      <c r="J104">
        <f>IF(OR('titanium_s10_ap'!H24=-1, 'titanium_s10_no_ap'!H24=-1), "", 'titanium_s10_ap'!AC24/'titanium_s10_no_ap'!AC24)</f>
        <v/>
      </c>
      <c r="K104">
        <f>IF(OR('titanium_s10_ap'!H24=-1, 'titanium_s10_no_ap'!H24=-1), "", 'titanium_s10_ap'!AD24/'titanium_s10_no_ap'!AD24)</f>
        <v/>
      </c>
    </row>
    <row r="105">
      <c r="A105" t="inlineStr">
        <is>
          <t>titanium_s10</t>
        </is>
      </c>
      <c r="B105" t="inlineStr">
        <is>
          <t>stratix10_arch.timing.xml</t>
        </is>
      </c>
      <c r="C105" t="inlineStr">
        <is>
          <t>rocket31_stratix10_arch_timing.blif</t>
        </is>
      </c>
      <c r="D105">
        <f>IF(OR('titanium_s10_ap'!H25=-1, 'titanium_s10_no_ap'!H25=-1), "", 'titanium_s10_ap'!F25/'titanium_s10_no_ap'!F25)</f>
        <v/>
      </c>
      <c r="E105">
        <f>IF(OR('titanium_s10_ap'!H25=-1, 'titanium_s10_no_ap'!H25=-1), "", 'titanium_s10_ap'!G25/'titanium_s10_no_ap'!G25)</f>
        <v/>
      </c>
      <c r="F105">
        <f>IF(OR('titanium_s10_ap'!H25=-1, 'titanium_s10_no_ap'!H25=-1), "", 'titanium_s10_ap'!H25/'titanium_s10_no_ap'!H25)</f>
        <v/>
      </c>
      <c r="G105">
        <f>IF(OR('titanium_s10_ap'!H25=-1, 'titanium_s10_no_ap'!H25=-1), "", 'titanium_s10_ap'!J25/'titanium_s10_no_ap'!J25)</f>
        <v/>
      </c>
      <c r="H105">
        <f>IF(OR('titanium_s10_ap'!H25=-1, 'titanium_s10_no_ap'!H25=-1), "", 'titanium_s10_ap'!K25/'titanium_s10_no_ap'!K25)</f>
        <v/>
      </c>
      <c r="I105">
        <f>IF(OR('titanium_s10_ap'!H25=-1, 'titanium_s10_no_ap'!H25=-1), "", 'titanium_s10_ap'!L25/'titanium_s10_no_ap'!L25)</f>
        <v/>
      </c>
      <c r="J105">
        <f>IF(OR('titanium_s10_ap'!H25=-1, 'titanium_s10_no_ap'!H25=-1), "", 'titanium_s10_ap'!AC25/'titanium_s10_no_ap'!AC25)</f>
        <v/>
      </c>
      <c r="K105">
        <f>IF(OR('titanium_s10_ap'!H25=-1, 'titanium_s10_no_ap'!H25=-1), "", 'titanium_s10_ap'!AD25/'titanium_s10_no_ap'!AD25)</f>
        <v/>
      </c>
    </row>
    <row r="106">
      <c r="A106" t="inlineStr">
        <is>
          <t>titanium_s10</t>
        </is>
      </c>
      <c r="B106" t="inlineStr">
        <is>
          <t>stratix10_arch.timing.xml</t>
        </is>
      </c>
      <c r="C106" t="inlineStr">
        <is>
          <t>neko_stratix10_arch_timing.blif</t>
        </is>
      </c>
      <c r="D106">
        <f>IF(OR('titanium_s10_ap'!H26=-1, 'titanium_s10_no_ap'!H26=-1), "", 'titanium_s10_ap'!F26/'titanium_s10_no_ap'!F26)</f>
        <v/>
      </c>
      <c r="E106">
        <f>IF(OR('titanium_s10_ap'!H26=-1, 'titanium_s10_no_ap'!H26=-1), "", 'titanium_s10_ap'!G26/'titanium_s10_no_ap'!G26)</f>
        <v/>
      </c>
      <c r="F106">
        <f>IF(OR('titanium_s10_ap'!H26=-1, 'titanium_s10_no_ap'!H26=-1), "", 'titanium_s10_ap'!H26/'titanium_s10_no_ap'!H26)</f>
        <v/>
      </c>
      <c r="G106">
        <f>IF(OR('titanium_s10_ap'!H26=-1, 'titanium_s10_no_ap'!H26=-1), "", 'titanium_s10_ap'!J26/'titanium_s10_no_ap'!J26)</f>
        <v/>
      </c>
      <c r="H106">
        <f>IF(OR('titanium_s10_ap'!H26=-1, 'titanium_s10_no_ap'!H26=-1), "", 'titanium_s10_ap'!K26/'titanium_s10_no_ap'!K26)</f>
        <v/>
      </c>
      <c r="I106">
        <f>IF(OR('titanium_s10_ap'!H26=-1, 'titanium_s10_no_ap'!H26=-1), "", 'titanium_s10_ap'!L26/'titanium_s10_no_ap'!L26)</f>
        <v/>
      </c>
      <c r="J106">
        <f>IF(OR('titanium_s10_ap'!H26=-1, 'titanium_s10_no_ap'!H26=-1), "", 'titanium_s10_ap'!AC26/'titanium_s10_no_ap'!AC26)</f>
        <v/>
      </c>
      <c r="K106">
        <f>IF(OR('titanium_s10_ap'!H26=-1, 'titanium_s10_no_ap'!H26=-1), "", 'titanium_s10_ap'!AD26/'titanium_s10_no_ap'!AD26)</f>
        <v/>
      </c>
    </row>
    <row r="107">
      <c r="A107" t="inlineStr">
        <is>
          <t>titanium_s10</t>
        </is>
      </c>
      <c r="B107" t="inlineStr"/>
      <c r="C107" t="inlineStr">
        <is>
          <t>GEOMEAN</t>
        </is>
      </c>
      <c r="D107">
        <f>GEOMEAN(D82:D106)</f>
        <v/>
      </c>
      <c r="E107">
        <f>GEOMEAN(E82:E106)</f>
        <v/>
      </c>
      <c r="F107">
        <f>GEOMEAN(F82:F106)</f>
        <v/>
      </c>
      <c r="G107">
        <f>GEOMEAN(G82:G106)</f>
        <v/>
      </c>
      <c r="H107">
        <f>GEOMEAN(H82:H106)</f>
        <v/>
      </c>
      <c r="I107">
        <f>GEOMEAN(I82:I106)</f>
        <v/>
      </c>
      <c r="J107">
        <f>GEOMEAN(J82:J106)</f>
        <v/>
      </c>
      <c r="K107">
        <f>GEOMEAN(K82:K106)</f>
        <v/>
      </c>
    </row>
    <row r="108">
      <c r="A108" t="inlineStr">
        <is>
          <t>titanium_s10</t>
        </is>
      </c>
      <c r="B108" t="inlineStr"/>
      <c r="C108" t="inlineStr">
        <is>
          <t>UNROUTES</t>
        </is>
      </c>
      <c r="D108">
        <f>25 - COUNT(F82:F106)</f>
        <v/>
      </c>
    </row>
    <row r="109">
      <c r="A109" t="inlineStr"/>
    </row>
    <row r="110">
      <c r="A110" t="inlineStr">
        <is>
          <t>z1000</t>
        </is>
      </c>
      <c r="B110" t="inlineStr">
        <is>
          <t>z1000.xml</t>
        </is>
      </c>
      <c r="C110" t="inlineStr">
        <is>
          <t>alu4.blif</t>
        </is>
      </c>
      <c r="D110">
        <f>IF(OR('z1000_ap'!H2=-1, 'z1000_no_ap'!H2=-1), "", 'z1000_ap'!F2/'z1000_no_ap'!F2)</f>
        <v/>
      </c>
      <c r="E110">
        <f>IF(OR('z1000_ap'!H2=-1, 'z1000_no_ap'!H2=-1), "", 'z1000_ap'!G2/'z1000_no_ap'!G2)</f>
        <v/>
      </c>
      <c r="F110">
        <f>IF(OR('z1000_ap'!H2=-1, 'z1000_no_ap'!H2=-1), "", 'z1000_ap'!H2/'z1000_no_ap'!H2)</f>
        <v/>
      </c>
      <c r="G110">
        <f>IF(OR('z1000_ap'!H2=-1, 'z1000_no_ap'!H2=-1), "", 'z1000_ap'!J2/'z1000_no_ap'!J2)</f>
        <v/>
      </c>
      <c r="H110">
        <f>IF(OR('z1000_ap'!H2=-1, 'z1000_no_ap'!H2=-1), "", 'z1000_ap'!K2/'z1000_no_ap'!K2)</f>
        <v/>
      </c>
      <c r="I110">
        <f>IF(OR('z1000_ap'!H2=-1, 'z1000_no_ap'!H2=-1), "", 'z1000_ap'!L2/'z1000_no_ap'!L2)</f>
        <v/>
      </c>
      <c r="J110">
        <f>IF(OR('z1000_ap'!H2=-1, 'z1000_no_ap'!H2=-1), "", 'z1000_ap'!AC2/'z1000_no_ap'!AC2)</f>
        <v/>
      </c>
      <c r="K110">
        <f>IF(OR('z1000_ap'!H2=-1, 'z1000_no_ap'!H2=-1), "", 'z1000_ap'!AD2/'z1000_no_ap'!AD2)</f>
        <v/>
      </c>
    </row>
    <row r="111">
      <c r="A111" t="inlineStr">
        <is>
          <t>z1000</t>
        </is>
      </c>
      <c r="B111" t="inlineStr">
        <is>
          <t>z1000.xml</t>
        </is>
      </c>
      <c r="C111" t="inlineStr">
        <is>
          <t>apex4.blif</t>
        </is>
      </c>
      <c r="D111">
        <f>IF(OR('z1000_ap'!H3=-1, 'z1000_no_ap'!H3=-1), "", 'z1000_ap'!F3/'z1000_no_ap'!F3)</f>
        <v/>
      </c>
      <c r="E111">
        <f>IF(OR('z1000_ap'!H3=-1, 'z1000_no_ap'!H3=-1), "", 'z1000_ap'!G3/'z1000_no_ap'!G3)</f>
        <v/>
      </c>
      <c r="F111">
        <f>IF(OR('z1000_ap'!H3=-1, 'z1000_no_ap'!H3=-1), "", 'z1000_ap'!H3/'z1000_no_ap'!H3)</f>
        <v/>
      </c>
      <c r="G111">
        <f>IF(OR('z1000_ap'!H3=-1, 'z1000_no_ap'!H3=-1), "", 'z1000_ap'!J3/'z1000_no_ap'!J3)</f>
        <v/>
      </c>
      <c r="H111">
        <f>IF(OR('z1000_ap'!H3=-1, 'z1000_no_ap'!H3=-1), "", 'z1000_ap'!K3/'z1000_no_ap'!K3)</f>
        <v/>
      </c>
      <c r="I111">
        <f>IF(OR('z1000_ap'!H3=-1, 'z1000_no_ap'!H3=-1), "", 'z1000_ap'!L3/'z1000_no_ap'!L3)</f>
        <v/>
      </c>
      <c r="J111">
        <f>IF(OR('z1000_ap'!H3=-1, 'z1000_no_ap'!H3=-1), "", 'z1000_ap'!AC3/'z1000_no_ap'!AC3)</f>
        <v/>
      </c>
      <c r="K111">
        <f>IF(OR('z1000_ap'!H3=-1, 'z1000_no_ap'!H3=-1), "", 'z1000_ap'!AD3/'z1000_no_ap'!AD3)</f>
        <v/>
      </c>
    </row>
    <row r="112">
      <c r="A112" t="inlineStr">
        <is>
          <t>z1000</t>
        </is>
      </c>
      <c r="B112" t="inlineStr">
        <is>
          <t>z1000.xml</t>
        </is>
      </c>
      <c r="C112" t="inlineStr">
        <is>
          <t>bigkey.blif</t>
        </is>
      </c>
      <c r="D112">
        <f>IF(OR('z1000_ap'!H4=-1, 'z1000_no_ap'!H4=-1), "", 'z1000_ap'!F4/'z1000_no_ap'!F4)</f>
        <v/>
      </c>
      <c r="E112">
        <f>IF(OR('z1000_ap'!H4=-1, 'z1000_no_ap'!H4=-1), "", 'z1000_ap'!G4/'z1000_no_ap'!G4)</f>
        <v/>
      </c>
      <c r="F112">
        <f>IF(OR('z1000_ap'!H4=-1, 'z1000_no_ap'!H4=-1), "", 'z1000_ap'!H4/'z1000_no_ap'!H4)</f>
        <v/>
      </c>
      <c r="G112">
        <f>IF(OR('z1000_ap'!H4=-1, 'z1000_no_ap'!H4=-1), "", 'z1000_ap'!J4/'z1000_no_ap'!J4)</f>
        <v/>
      </c>
      <c r="H112">
        <f>IF(OR('z1000_ap'!H4=-1, 'z1000_no_ap'!H4=-1), "", 'z1000_ap'!K4/'z1000_no_ap'!K4)</f>
        <v/>
      </c>
      <c r="I112">
        <f>IF(OR('z1000_ap'!H4=-1, 'z1000_no_ap'!H4=-1), "", 'z1000_ap'!L4/'z1000_no_ap'!L4)</f>
        <v/>
      </c>
      <c r="J112">
        <f>IF(OR('z1000_ap'!H4=-1, 'z1000_no_ap'!H4=-1), "", 'z1000_ap'!AC4/'z1000_no_ap'!AC4)</f>
        <v/>
      </c>
      <c r="K112">
        <f>IF(OR('z1000_ap'!H4=-1, 'z1000_no_ap'!H4=-1), "", 'z1000_ap'!AD4/'z1000_no_ap'!AD4)</f>
        <v/>
      </c>
    </row>
    <row r="113">
      <c r="A113" t="inlineStr">
        <is>
          <t>z1000</t>
        </is>
      </c>
      <c r="B113" t="inlineStr">
        <is>
          <t>z1000.xml</t>
        </is>
      </c>
      <c r="C113" t="inlineStr">
        <is>
          <t>des.blif</t>
        </is>
      </c>
      <c r="D113">
        <f>IF(OR('z1000_ap'!H5=-1, 'z1000_no_ap'!H5=-1), "", 'z1000_ap'!F5/'z1000_no_ap'!F5)</f>
        <v/>
      </c>
      <c r="E113">
        <f>IF(OR('z1000_ap'!H5=-1, 'z1000_no_ap'!H5=-1), "", 'z1000_ap'!G5/'z1000_no_ap'!G5)</f>
        <v/>
      </c>
      <c r="F113">
        <f>IF(OR('z1000_ap'!H5=-1, 'z1000_no_ap'!H5=-1), "", 'z1000_ap'!H5/'z1000_no_ap'!H5)</f>
        <v/>
      </c>
      <c r="G113">
        <f>IF(OR('z1000_ap'!H5=-1, 'z1000_no_ap'!H5=-1), "", 'z1000_ap'!J5/'z1000_no_ap'!J5)</f>
        <v/>
      </c>
      <c r="H113">
        <f>IF(OR('z1000_ap'!H5=-1, 'z1000_no_ap'!H5=-1), "", 'z1000_ap'!K5/'z1000_no_ap'!K5)</f>
        <v/>
      </c>
      <c r="I113">
        <f>IF(OR('z1000_ap'!H5=-1, 'z1000_no_ap'!H5=-1), "", 'z1000_ap'!L5/'z1000_no_ap'!L5)</f>
        <v/>
      </c>
      <c r="J113">
        <f>IF(OR('z1000_ap'!H5=-1, 'z1000_no_ap'!H5=-1), "", 'z1000_ap'!AC5/'z1000_no_ap'!AC5)</f>
        <v/>
      </c>
      <c r="K113">
        <f>IF(OR('z1000_ap'!H5=-1, 'z1000_no_ap'!H5=-1), "", 'z1000_ap'!AD5/'z1000_no_ap'!AD5)</f>
        <v/>
      </c>
    </row>
    <row r="114">
      <c r="A114" t="inlineStr">
        <is>
          <t>z1000</t>
        </is>
      </c>
      <c r="B114" t="inlineStr">
        <is>
          <t>z1000.xml</t>
        </is>
      </c>
      <c r="C114" t="inlineStr">
        <is>
          <t>diffeq.blif</t>
        </is>
      </c>
      <c r="D114">
        <f>IF(OR('z1000_ap'!H6=-1, 'z1000_no_ap'!H6=-1), "", 'z1000_ap'!F6/'z1000_no_ap'!F6)</f>
        <v/>
      </c>
      <c r="E114">
        <f>IF(OR('z1000_ap'!H6=-1, 'z1000_no_ap'!H6=-1), "", 'z1000_ap'!G6/'z1000_no_ap'!G6)</f>
        <v/>
      </c>
      <c r="F114">
        <f>IF(OR('z1000_ap'!H6=-1, 'z1000_no_ap'!H6=-1), "", 'z1000_ap'!H6/'z1000_no_ap'!H6)</f>
        <v/>
      </c>
      <c r="G114">
        <f>IF(OR('z1000_ap'!H6=-1, 'z1000_no_ap'!H6=-1), "", 'z1000_ap'!J6/'z1000_no_ap'!J6)</f>
        <v/>
      </c>
      <c r="H114">
        <f>IF(OR('z1000_ap'!H6=-1, 'z1000_no_ap'!H6=-1), "", 'z1000_ap'!K6/'z1000_no_ap'!K6)</f>
        <v/>
      </c>
      <c r="I114">
        <f>IF(OR('z1000_ap'!H6=-1, 'z1000_no_ap'!H6=-1), "", 'z1000_ap'!L6/'z1000_no_ap'!L6)</f>
        <v/>
      </c>
      <c r="J114">
        <f>IF(OR('z1000_ap'!H6=-1, 'z1000_no_ap'!H6=-1), "", 'z1000_ap'!AC6/'z1000_no_ap'!AC6)</f>
        <v/>
      </c>
      <c r="K114">
        <f>IF(OR('z1000_ap'!H6=-1, 'z1000_no_ap'!H6=-1), "", 'z1000_ap'!AD6/'z1000_no_ap'!AD6)</f>
        <v/>
      </c>
    </row>
    <row r="115">
      <c r="A115" t="inlineStr">
        <is>
          <t>z1000</t>
        </is>
      </c>
      <c r="B115" t="inlineStr">
        <is>
          <t>z1000.xml</t>
        </is>
      </c>
      <c r="C115" t="inlineStr">
        <is>
          <t>dsip.blif</t>
        </is>
      </c>
      <c r="D115">
        <f>IF(OR('z1000_ap'!H7=-1, 'z1000_no_ap'!H7=-1), "", 'z1000_ap'!F7/'z1000_no_ap'!F7)</f>
        <v/>
      </c>
      <c r="E115">
        <f>IF(OR('z1000_ap'!H7=-1, 'z1000_no_ap'!H7=-1), "", 'z1000_ap'!G7/'z1000_no_ap'!G7)</f>
        <v/>
      </c>
      <c r="F115">
        <f>IF(OR('z1000_ap'!H7=-1, 'z1000_no_ap'!H7=-1), "", 'z1000_ap'!H7/'z1000_no_ap'!H7)</f>
        <v/>
      </c>
      <c r="G115">
        <f>IF(OR('z1000_ap'!H7=-1, 'z1000_no_ap'!H7=-1), "", 'z1000_ap'!J7/'z1000_no_ap'!J7)</f>
        <v/>
      </c>
      <c r="H115">
        <f>IF(OR('z1000_ap'!H7=-1, 'z1000_no_ap'!H7=-1), "", 'z1000_ap'!K7/'z1000_no_ap'!K7)</f>
        <v/>
      </c>
      <c r="I115">
        <f>IF(OR('z1000_ap'!H7=-1, 'z1000_no_ap'!H7=-1), "", 'z1000_ap'!L7/'z1000_no_ap'!L7)</f>
        <v/>
      </c>
      <c r="J115">
        <f>IF(OR('z1000_ap'!H7=-1, 'z1000_no_ap'!H7=-1), "", 'z1000_ap'!AC7/'z1000_no_ap'!AC7)</f>
        <v/>
      </c>
      <c r="K115">
        <f>IF(OR('z1000_ap'!H7=-1, 'z1000_no_ap'!H7=-1), "", 'z1000_ap'!AD7/'z1000_no_ap'!AD7)</f>
        <v/>
      </c>
    </row>
    <row r="116">
      <c r="A116" t="inlineStr">
        <is>
          <t>z1000</t>
        </is>
      </c>
      <c r="B116" t="inlineStr">
        <is>
          <t>z1000.xml</t>
        </is>
      </c>
      <c r="C116" t="inlineStr">
        <is>
          <t>ex5p.blif</t>
        </is>
      </c>
      <c r="D116">
        <f>IF(OR('z1000_ap'!H8=-1, 'z1000_no_ap'!H8=-1), "", 'z1000_ap'!F8/'z1000_no_ap'!F8)</f>
        <v/>
      </c>
      <c r="E116">
        <f>IF(OR('z1000_ap'!H8=-1, 'z1000_no_ap'!H8=-1), "", 'z1000_ap'!G8/'z1000_no_ap'!G8)</f>
        <v/>
      </c>
      <c r="F116">
        <f>IF(OR('z1000_ap'!H8=-1, 'z1000_no_ap'!H8=-1), "", 'z1000_ap'!H8/'z1000_no_ap'!H8)</f>
        <v/>
      </c>
      <c r="G116">
        <f>IF(OR('z1000_ap'!H8=-1, 'z1000_no_ap'!H8=-1), "", 'z1000_ap'!J8/'z1000_no_ap'!J8)</f>
        <v/>
      </c>
      <c r="H116">
        <f>IF(OR('z1000_ap'!H8=-1, 'z1000_no_ap'!H8=-1), "", 'z1000_ap'!K8/'z1000_no_ap'!K8)</f>
        <v/>
      </c>
      <c r="I116">
        <f>IF(OR('z1000_ap'!H8=-1, 'z1000_no_ap'!H8=-1), "", 'z1000_ap'!L8/'z1000_no_ap'!L8)</f>
        <v/>
      </c>
      <c r="J116">
        <f>IF(OR('z1000_ap'!H8=-1, 'z1000_no_ap'!H8=-1), "", 'z1000_ap'!AC8/'z1000_no_ap'!AC8)</f>
        <v/>
      </c>
      <c r="K116">
        <f>IF(OR('z1000_ap'!H8=-1, 'z1000_no_ap'!H8=-1), "", 'z1000_ap'!AD8/'z1000_no_ap'!AD8)</f>
        <v/>
      </c>
    </row>
    <row r="117">
      <c r="A117" t="inlineStr">
        <is>
          <t>z1000</t>
        </is>
      </c>
      <c r="B117" t="inlineStr">
        <is>
          <t>z1000.xml</t>
        </is>
      </c>
      <c r="C117" t="inlineStr">
        <is>
          <t>misex3.blif</t>
        </is>
      </c>
      <c r="D117">
        <f>IF(OR('z1000_ap'!H9=-1, 'z1000_no_ap'!H9=-1), "", 'z1000_ap'!F9/'z1000_no_ap'!F9)</f>
        <v/>
      </c>
      <c r="E117">
        <f>IF(OR('z1000_ap'!H9=-1, 'z1000_no_ap'!H9=-1), "", 'z1000_ap'!G9/'z1000_no_ap'!G9)</f>
        <v/>
      </c>
      <c r="F117">
        <f>IF(OR('z1000_ap'!H9=-1, 'z1000_no_ap'!H9=-1), "", 'z1000_ap'!H9/'z1000_no_ap'!H9)</f>
        <v/>
      </c>
      <c r="G117">
        <f>IF(OR('z1000_ap'!H9=-1, 'z1000_no_ap'!H9=-1), "", 'z1000_ap'!J9/'z1000_no_ap'!J9)</f>
        <v/>
      </c>
      <c r="H117">
        <f>IF(OR('z1000_ap'!H9=-1, 'z1000_no_ap'!H9=-1), "", 'z1000_ap'!K9/'z1000_no_ap'!K9)</f>
        <v/>
      </c>
      <c r="I117">
        <f>IF(OR('z1000_ap'!H9=-1, 'z1000_no_ap'!H9=-1), "", 'z1000_ap'!L9/'z1000_no_ap'!L9)</f>
        <v/>
      </c>
      <c r="J117">
        <f>IF(OR('z1000_ap'!H9=-1, 'z1000_no_ap'!H9=-1), "", 'z1000_ap'!AC9/'z1000_no_ap'!AC9)</f>
        <v/>
      </c>
      <c r="K117">
        <f>IF(OR('z1000_ap'!H9=-1, 'z1000_no_ap'!H9=-1), "", 'z1000_ap'!AD9/'z1000_no_ap'!AD9)</f>
        <v/>
      </c>
    </row>
    <row r="118">
      <c r="A118" t="inlineStr">
        <is>
          <t>z1000</t>
        </is>
      </c>
      <c r="B118" t="inlineStr">
        <is>
          <t>z1000.xml</t>
        </is>
      </c>
      <c r="C118" t="inlineStr">
        <is>
          <t>seq.blif</t>
        </is>
      </c>
      <c r="D118">
        <f>IF(OR('z1000_ap'!H10=-1, 'z1000_no_ap'!H10=-1), "", 'z1000_ap'!F10/'z1000_no_ap'!F10)</f>
        <v/>
      </c>
      <c r="E118">
        <f>IF(OR('z1000_ap'!H10=-1, 'z1000_no_ap'!H10=-1), "", 'z1000_ap'!G10/'z1000_no_ap'!G10)</f>
        <v/>
      </c>
      <c r="F118">
        <f>IF(OR('z1000_ap'!H10=-1, 'z1000_no_ap'!H10=-1), "", 'z1000_ap'!H10/'z1000_no_ap'!H10)</f>
        <v/>
      </c>
      <c r="G118">
        <f>IF(OR('z1000_ap'!H10=-1, 'z1000_no_ap'!H10=-1), "", 'z1000_ap'!J10/'z1000_no_ap'!J10)</f>
        <v/>
      </c>
      <c r="H118">
        <f>IF(OR('z1000_ap'!H10=-1, 'z1000_no_ap'!H10=-1), "", 'z1000_ap'!K10/'z1000_no_ap'!K10)</f>
        <v/>
      </c>
      <c r="I118">
        <f>IF(OR('z1000_ap'!H10=-1, 'z1000_no_ap'!H10=-1), "", 'z1000_ap'!L10/'z1000_no_ap'!L10)</f>
        <v/>
      </c>
      <c r="J118">
        <f>IF(OR('z1000_ap'!H10=-1, 'z1000_no_ap'!H10=-1), "", 'z1000_ap'!AC10/'z1000_no_ap'!AC10)</f>
        <v/>
      </c>
      <c r="K118">
        <f>IF(OR('z1000_ap'!H10=-1, 'z1000_no_ap'!H10=-1), "", 'z1000_ap'!AD10/'z1000_no_ap'!AD10)</f>
        <v/>
      </c>
    </row>
    <row r="119">
      <c r="A119" t="inlineStr">
        <is>
          <t>z1000</t>
        </is>
      </c>
      <c r="B119" t="inlineStr">
        <is>
          <t>z1000.xml</t>
        </is>
      </c>
      <c r="C119" t="inlineStr">
        <is>
          <t>tseng.blif</t>
        </is>
      </c>
      <c r="D119">
        <f>IF(OR('z1000_ap'!H11=-1, 'z1000_no_ap'!H11=-1), "", 'z1000_ap'!F11/'z1000_no_ap'!F11)</f>
        <v/>
      </c>
      <c r="E119">
        <f>IF(OR('z1000_ap'!H11=-1, 'z1000_no_ap'!H11=-1), "", 'z1000_ap'!G11/'z1000_no_ap'!G11)</f>
        <v/>
      </c>
      <c r="F119">
        <f>IF(OR('z1000_ap'!H11=-1, 'z1000_no_ap'!H11=-1), "", 'z1000_ap'!H11/'z1000_no_ap'!H11)</f>
        <v/>
      </c>
      <c r="G119">
        <f>IF(OR('z1000_ap'!H11=-1, 'z1000_no_ap'!H11=-1), "", 'z1000_ap'!J11/'z1000_no_ap'!J11)</f>
        <v/>
      </c>
      <c r="H119">
        <f>IF(OR('z1000_ap'!H11=-1, 'z1000_no_ap'!H11=-1), "", 'z1000_ap'!K11/'z1000_no_ap'!K11)</f>
        <v/>
      </c>
      <c r="I119">
        <f>IF(OR('z1000_ap'!H11=-1, 'z1000_no_ap'!H11=-1), "", 'z1000_ap'!L11/'z1000_no_ap'!L11)</f>
        <v/>
      </c>
      <c r="J119">
        <f>IF(OR('z1000_ap'!H11=-1, 'z1000_no_ap'!H11=-1), "", 'z1000_ap'!AC11/'z1000_no_ap'!AC11)</f>
        <v/>
      </c>
      <c r="K119">
        <f>IF(OR('z1000_ap'!H11=-1, 'z1000_no_ap'!H11=-1), "", 'z1000_ap'!AD11/'z1000_no_ap'!AD11)</f>
        <v/>
      </c>
    </row>
    <row r="120">
      <c r="A120" t="inlineStr">
        <is>
          <t>z1000</t>
        </is>
      </c>
      <c r="B120" t="inlineStr"/>
      <c r="C120" t="inlineStr">
        <is>
          <t>GEOMEAN</t>
        </is>
      </c>
      <c r="D120">
        <f>GEOMEAN(D110:D119)</f>
        <v/>
      </c>
      <c r="E120">
        <f>GEOMEAN(E110:E119)</f>
        <v/>
      </c>
      <c r="F120">
        <f>GEOMEAN(F110:F119)</f>
        <v/>
      </c>
      <c r="G120">
        <f>GEOMEAN(G110:G119)</f>
        <v/>
      </c>
      <c r="H120">
        <f>GEOMEAN(H110:H119)</f>
        <v/>
      </c>
      <c r="I120">
        <f>GEOMEAN(I110:I119)</f>
        <v/>
      </c>
      <c r="J120">
        <f>GEOMEAN(J110:J119)</f>
        <v/>
      </c>
      <c r="K120">
        <f>GEOMEAN(K110:K119)</f>
        <v/>
      </c>
    </row>
    <row r="121">
      <c r="A121" t="inlineStr">
        <is>
          <t>z1000</t>
        </is>
      </c>
      <c r="B121" t="inlineStr"/>
      <c r="C121" t="inlineStr">
        <is>
          <t>UNROUTES</t>
        </is>
      </c>
      <c r="D121">
        <f>10 - COUNT(F110:F119)</f>
        <v/>
      </c>
    </row>
    <row r="122">
      <c r="A1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k6_frac_N10_frac_chain_mem32K_40nm.xml</t>
        </is>
      </c>
      <c r="B2" t="inlineStr">
        <is>
          <t>arm_core.v</t>
        </is>
      </c>
      <c r="C2" t="inlineStr">
        <is>
          <t>common</t>
        </is>
      </c>
      <c r="D2" t="inlineStr">
        <is>
          <t>success</t>
        </is>
      </c>
      <c r="E2" t="n">
        <v>129429</v>
      </c>
      <c r="F2" t="n">
        <v>144558</v>
      </c>
      <c r="G2" t="n">
        <v>107157</v>
      </c>
      <c r="H2" t="n">
        <v>145592</v>
      </c>
      <c r="I2" t="n">
        <v>22.047289</v>
      </c>
      <c r="J2" t="n">
        <v>25.0979</v>
      </c>
      <c r="K2" t="n">
        <v>22.3311</v>
      </c>
      <c r="L2" t="n">
        <v>23.0942</v>
      </c>
      <c r="M2" t="n">
        <v>-242370.8125</v>
      </c>
      <c r="N2" t="n">
        <v>-264171</v>
      </c>
      <c r="O2" t="n">
        <v>-218451</v>
      </c>
      <c r="P2" t="n">
        <v>-227424</v>
      </c>
      <c r="Q2" t="n">
        <v>13</v>
      </c>
      <c r="R2" t="n">
        <v>25.846153</v>
      </c>
      <c r="S2" t="n">
        <v>0</v>
      </c>
      <c r="T2" t="n">
        <v>69.03595</v>
      </c>
      <c r="U2" t="n">
        <v>63.583855</v>
      </c>
      <c r="V2" t="n">
        <v>39450.648438</v>
      </c>
      <c r="W2" t="n">
        <v>2.813081</v>
      </c>
      <c r="X2" t="n">
        <v>59.165165</v>
      </c>
      <c r="Y2" t="n">
        <v>40.29</v>
      </c>
      <c r="Z2" t="n">
        <v>7.56</v>
      </c>
      <c r="AA2" t="n">
        <v>25.64</v>
      </c>
      <c r="AB2" t="n">
        <v>5.97</v>
      </c>
      <c r="AC2" t="n">
        <v>2.85</v>
      </c>
      <c r="AD2" t="n">
        <v>46.98</v>
      </c>
      <c r="AE2" t="n">
        <v>884</v>
      </c>
      <c r="AF2" t="n">
        <v>-1</v>
      </c>
      <c r="AG2" t="n">
        <v>14024</v>
      </c>
      <c r="AH2" t="n">
        <v/>
      </c>
    </row>
    <row r="3">
      <c r="A3" t="inlineStr">
        <is>
          <t>k6_frac_N10_frac_chain_mem32K_40nm.xml</t>
        </is>
      </c>
      <c r="B3" t="inlineStr">
        <is>
          <t>bgm.v</t>
        </is>
      </c>
      <c r="C3" t="inlineStr">
        <is>
          <t>common</t>
        </is>
      </c>
      <c r="D3" t="inlineStr">
        <is>
          <t>success</t>
        </is>
      </c>
      <c r="E3" t="n">
        <v>367156</v>
      </c>
      <c r="F3" t="n">
        <v>508261</v>
      </c>
      <c r="G3" t="n">
        <v>268876</v>
      </c>
      <c r="H3" t="n">
        <v>369920</v>
      </c>
      <c r="I3" t="n">
        <v>26.581743</v>
      </c>
      <c r="J3" t="n">
        <v>36.2806</v>
      </c>
      <c r="K3" t="n">
        <v>21.0134</v>
      </c>
      <c r="L3" t="n">
        <v>21.5482</v>
      </c>
      <c r="M3" t="n">
        <v>-26428.623047</v>
      </c>
      <c r="N3" t="n">
        <v>-32512.1</v>
      </c>
      <c r="O3" t="n">
        <v>-26610.9</v>
      </c>
      <c r="P3" t="n">
        <v>-27124</v>
      </c>
      <c r="Q3" t="n">
        <v>54</v>
      </c>
      <c r="R3" t="n">
        <v>220.555557</v>
      </c>
      <c r="S3" t="n">
        <v>0</v>
      </c>
      <c r="T3" t="n">
        <v>83.15688299999999</v>
      </c>
      <c r="U3" t="n">
        <v>71.82579800000001</v>
      </c>
      <c r="V3" t="n">
        <v>179658.796875</v>
      </c>
      <c r="W3" t="n">
        <v>5.209162</v>
      </c>
      <c r="X3" t="n">
        <v>86</v>
      </c>
      <c r="Y3" t="n">
        <v>192.52</v>
      </c>
      <c r="Z3" t="n">
        <v>26.91</v>
      </c>
      <c r="AA3" t="n">
        <v>112.67</v>
      </c>
      <c r="AB3" t="n">
        <v>49.98</v>
      </c>
      <c r="AC3" t="n">
        <v>10.41</v>
      </c>
      <c r="AD3" t="n">
        <v>212.18</v>
      </c>
      <c r="AE3" t="n">
        <v>2817</v>
      </c>
      <c r="AF3" t="n">
        <v>-1</v>
      </c>
      <c r="AG3" t="n">
        <v>34489</v>
      </c>
      <c r="AH3" t="n">
        <v/>
      </c>
    </row>
    <row r="4">
      <c r="A4" t="inlineStr">
        <is>
          <t>k6_frac_N10_frac_chain_mem32K_40nm.xml</t>
        </is>
      </c>
      <c r="B4" t="inlineStr">
        <is>
          <t>stereovision0.v</t>
        </is>
      </c>
      <c r="C4" t="inlineStr">
        <is>
          <t>common</t>
        </is>
      </c>
      <c r="D4" t="inlineStr">
        <is>
          <t>success</t>
        </is>
      </c>
      <c r="E4" t="n">
        <v>40415.8</v>
      </c>
      <c r="F4" t="n">
        <v>44229.3</v>
      </c>
      <c r="G4" t="n">
        <v>38550</v>
      </c>
      <c r="H4" t="n">
        <v>54197</v>
      </c>
      <c r="I4" t="n">
        <v>4.130682</v>
      </c>
      <c r="J4" t="n">
        <v>4.35373</v>
      </c>
      <c r="K4" t="n">
        <v>3.52872</v>
      </c>
      <c r="L4" t="n">
        <v>3.5842</v>
      </c>
      <c r="M4" t="n">
        <v>-13372.56543</v>
      </c>
      <c r="N4" t="n">
        <v>-16280.6</v>
      </c>
      <c r="O4" t="n">
        <v>-14579</v>
      </c>
      <c r="P4" t="n">
        <v>-15968.2</v>
      </c>
      <c r="Q4" t="n">
        <v>33</v>
      </c>
      <c r="R4" t="n">
        <v>10.090909</v>
      </c>
      <c r="S4" t="n">
        <v>0</v>
      </c>
      <c r="T4" t="n">
        <v>58.333332</v>
      </c>
      <c r="U4" t="n">
        <v>43.358807</v>
      </c>
      <c r="V4" t="n">
        <v>21144.078125</v>
      </c>
      <c r="W4" t="n">
        <v>0.99133</v>
      </c>
      <c r="X4" t="n">
        <v>13.222509</v>
      </c>
      <c r="Y4" t="n">
        <v>18</v>
      </c>
      <c r="Z4" t="n">
        <v>4.93</v>
      </c>
      <c r="AA4" t="n">
        <v>8.699999999999999</v>
      </c>
      <c r="AB4" t="n">
        <v>3.48</v>
      </c>
      <c r="AC4" t="n">
        <v>1.66</v>
      </c>
      <c r="AD4" t="n">
        <v>22.29</v>
      </c>
      <c r="AE4" t="n">
        <v>750</v>
      </c>
      <c r="AF4" t="n">
        <v>-1</v>
      </c>
      <c r="AG4" t="n">
        <v>21329</v>
      </c>
      <c r="AH4" t="n">
        <v/>
      </c>
    </row>
    <row r="5">
      <c r="A5" t="inlineStr">
        <is>
          <t>k6_frac_N10_frac_chain_mem32K_40nm.xml</t>
        </is>
      </c>
      <c r="B5" t="inlineStr">
        <is>
          <t>stereovision1.v</t>
        </is>
      </c>
      <c r="C5" t="inlineStr">
        <is>
          <t>common</t>
        </is>
      </c>
      <c r="D5" t="inlineStr">
        <is>
          <t>success</t>
        </is>
      </c>
      <c r="E5" t="n">
        <v>70781.7</v>
      </c>
      <c r="F5" t="n">
        <v>99508</v>
      </c>
      <c r="G5" t="n">
        <v>72742</v>
      </c>
      <c r="H5" t="n">
        <v>109533</v>
      </c>
      <c r="I5" t="n">
        <v>4.755558</v>
      </c>
      <c r="J5" t="n">
        <v>6.81239</v>
      </c>
      <c r="K5" t="n">
        <v>4.99493</v>
      </c>
      <c r="L5" t="n">
        <v>5.2543</v>
      </c>
      <c r="M5" t="n">
        <v>-21713.824219</v>
      </c>
      <c r="N5" t="n">
        <v>-26441.8</v>
      </c>
      <c r="O5" t="n">
        <v>-23110</v>
      </c>
      <c r="P5" t="n">
        <v>-26180.1</v>
      </c>
      <c r="Q5" t="n">
        <v>121</v>
      </c>
      <c r="R5" t="n">
        <v>28.099174</v>
      </c>
      <c r="S5" t="n">
        <v>0</v>
      </c>
      <c r="T5" t="n">
        <v>61.917328</v>
      </c>
      <c r="U5" t="n">
        <v>59.12064</v>
      </c>
      <c r="V5" t="n">
        <v>52356.167969</v>
      </c>
      <c r="W5" t="n">
        <v>2.717824</v>
      </c>
      <c r="X5" t="n">
        <v>28.948456</v>
      </c>
      <c r="Y5" t="n">
        <v>20.4</v>
      </c>
      <c r="Z5" t="n">
        <v>5.24</v>
      </c>
      <c r="AA5" t="n">
        <v>9.07</v>
      </c>
      <c r="AB5" t="n">
        <v>5.15</v>
      </c>
      <c r="AC5" t="n">
        <v>2.36</v>
      </c>
      <c r="AD5" t="n">
        <v>25.79</v>
      </c>
      <c r="AE5" t="n">
        <v>834</v>
      </c>
      <c r="AF5" t="n">
        <v>-1</v>
      </c>
      <c r="AG5" t="n">
        <v>19264</v>
      </c>
      <c r="AH5" t="n">
        <v/>
      </c>
    </row>
    <row r="6">
      <c r="A6" t="inlineStr">
        <is>
          <t>k6_frac_N10_frac_chain_mem32K_40nm.xml</t>
        </is>
      </c>
      <c r="B6" t="inlineStr">
        <is>
          <t>stereovision2.v</t>
        </is>
      </c>
      <c r="C6" t="inlineStr">
        <is>
          <t>common</t>
        </is>
      </c>
      <c r="D6" t="inlineStr">
        <is>
          <t>success</t>
        </is>
      </c>
      <c r="E6" t="n">
        <v>269912</v>
      </c>
      <c r="F6" t="n">
        <v>370813</v>
      </c>
      <c r="G6" t="n">
        <v>232874</v>
      </c>
      <c r="H6" t="n">
        <v>322216</v>
      </c>
      <c r="I6" t="n">
        <v>13.457654</v>
      </c>
      <c r="J6" t="n">
        <v>15.7883</v>
      </c>
      <c r="K6" t="n">
        <v>12.8442</v>
      </c>
      <c r="L6" t="n">
        <v>12.8906</v>
      </c>
      <c r="M6" t="n">
        <v>-39351.503906</v>
      </c>
      <c r="N6" t="n">
        <v>-58392.9</v>
      </c>
      <c r="O6" t="n">
        <v>-46882.6</v>
      </c>
      <c r="P6" t="n">
        <v>-51389.9</v>
      </c>
      <c r="Q6" t="n">
        <v>585</v>
      </c>
      <c r="R6" t="n">
        <v>35.128204</v>
      </c>
      <c r="S6" t="n">
        <v>0</v>
      </c>
      <c r="T6" t="n">
        <v>51.424927</v>
      </c>
      <c r="U6" t="n">
        <v>66.699203</v>
      </c>
      <c r="V6" t="n">
        <v>78207.265625</v>
      </c>
      <c r="W6" t="n">
        <v>2.1203</v>
      </c>
      <c r="X6" t="n">
        <v>73.240799</v>
      </c>
      <c r="Y6" t="n">
        <v>64.97</v>
      </c>
      <c r="Z6" t="n">
        <v>12.11</v>
      </c>
      <c r="AA6" t="n">
        <v>20.52</v>
      </c>
      <c r="AB6" t="n">
        <v>26.87</v>
      </c>
      <c r="AC6" t="n">
        <v>6.91</v>
      </c>
      <c r="AD6" t="n">
        <v>87.16</v>
      </c>
      <c r="AE6" t="n">
        <v>1808</v>
      </c>
      <c r="AF6" t="n">
        <v>-1</v>
      </c>
      <c r="AG6" t="n">
        <v>36885</v>
      </c>
      <c r="AH6" t="n">
        <v/>
      </c>
    </row>
    <row r="7">
      <c r="A7" t="inlineStr">
        <is>
          <t>k6_frac_N10_frac_chain_mem32K_40nm.xml</t>
        </is>
      </c>
      <c r="B7" t="inlineStr">
        <is>
          <t>LU8PEEng.v</t>
        </is>
      </c>
      <c r="C7" t="inlineStr">
        <is>
          <t>common</t>
        </is>
      </c>
      <c r="D7" t="inlineStr">
        <is>
          <t>success</t>
        </is>
      </c>
      <c r="E7" t="n">
        <v>320369</v>
      </c>
      <c r="F7" t="n">
        <v>320607</v>
      </c>
      <c r="G7" t="n">
        <v>219165</v>
      </c>
      <c r="H7" t="n">
        <v>306432</v>
      </c>
      <c r="I7" t="n">
        <v>109.650917</v>
      </c>
      <c r="J7" t="n">
        <v>100.381</v>
      </c>
      <c r="K7" t="n">
        <v>73.8873</v>
      </c>
      <c r="L7" t="n">
        <v>74.5842</v>
      </c>
      <c r="M7" t="n">
        <v>-53477.0625</v>
      </c>
      <c r="N7" t="n">
        <v>-56369.7</v>
      </c>
      <c r="O7" t="n">
        <v>-53868.2</v>
      </c>
      <c r="P7" t="n">
        <v>-62656.5</v>
      </c>
      <c r="Q7" t="n">
        <v>115</v>
      </c>
      <c r="R7" t="n">
        <v>45.04348</v>
      </c>
      <c r="S7" t="n">
        <v>0</v>
      </c>
      <c r="T7" t="n">
        <v>82.170845</v>
      </c>
      <c r="U7" t="n">
        <v>67.327698</v>
      </c>
      <c r="V7" t="n">
        <v>84943.875</v>
      </c>
      <c r="W7" t="n">
        <v>2.678097</v>
      </c>
      <c r="X7" t="n">
        <v>48.578743</v>
      </c>
      <c r="Y7" t="n">
        <v>99.56</v>
      </c>
      <c r="Z7" t="n">
        <v>22.33</v>
      </c>
      <c r="AA7" t="n">
        <v>46.05</v>
      </c>
      <c r="AB7" t="n">
        <v>28.45</v>
      </c>
      <c r="AC7" t="n">
        <v>8.210000000000001</v>
      </c>
      <c r="AD7" t="n">
        <v>116.41</v>
      </c>
      <c r="AE7" t="n">
        <v>2283</v>
      </c>
      <c r="AF7" t="n">
        <v>-1</v>
      </c>
      <c r="AG7" t="n">
        <v>31718</v>
      </c>
      <c r="AH7" t="n">
        <v/>
      </c>
    </row>
    <row r="8">
      <c r="A8" t="inlineStr">
        <is>
          <t>k6_frac_N10_frac_chain_mem32K_40nm.xml</t>
        </is>
      </c>
      <c r="B8" t="inlineStr">
        <is>
          <t>LU32PEEng.v</t>
        </is>
      </c>
      <c r="C8" t="inlineStr">
        <is>
          <t>common</t>
        </is>
      </c>
      <c r="D8" t="inlineStr">
        <is>
          <t>success</t>
        </is>
      </c>
      <c r="E8" t="n">
        <v>1251490</v>
      </c>
      <c r="F8" t="n">
        <v>1280490</v>
      </c>
      <c r="G8" t="n">
        <v>871462</v>
      </c>
      <c r="H8" t="n">
        <v>1154799</v>
      </c>
      <c r="I8" t="n">
        <v>95.831841</v>
      </c>
      <c r="J8" t="n">
        <v>85.9785</v>
      </c>
      <c r="K8" t="n">
        <v>72.06780000000001</v>
      </c>
      <c r="L8" t="n">
        <v>73.32080000000001</v>
      </c>
      <c r="M8" t="n">
        <v>-511625.90625</v>
      </c>
      <c r="N8" t="n">
        <v>-371677</v>
      </c>
      <c r="O8" t="n">
        <v>-330332</v>
      </c>
      <c r="P8" t="n">
        <v>-461229</v>
      </c>
      <c r="Q8" t="n">
        <v>319</v>
      </c>
      <c r="R8" t="n">
        <v>114.150467</v>
      </c>
      <c r="S8" t="n">
        <v>0</v>
      </c>
      <c r="T8" t="n">
        <v>88.24174499999999</v>
      </c>
      <c r="U8" t="n">
        <v>58.663574</v>
      </c>
      <c r="V8" t="n">
        <v>407500.75</v>
      </c>
      <c r="W8" t="n">
        <v>3.793492</v>
      </c>
      <c r="X8" t="n">
        <v>148.786926</v>
      </c>
      <c r="Y8" t="n">
        <v>546.62</v>
      </c>
      <c r="Z8" t="n">
        <v>100.24</v>
      </c>
      <c r="AA8" t="n">
        <v>166.85</v>
      </c>
      <c r="AB8" t="n">
        <v>268.97</v>
      </c>
      <c r="AC8" t="n">
        <v>38.38</v>
      </c>
      <c r="AD8" t="n">
        <v>617.6799999999999</v>
      </c>
      <c r="AE8" t="n">
        <v>7791</v>
      </c>
      <c r="AF8" t="n">
        <v>-1</v>
      </c>
      <c r="AG8" t="n">
        <v>107421</v>
      </c>
      <c r="AH8" t="n">
        <v/>
      </c>
    </row>
    <row r="9">
      <c r="A9" t="inlineStr">
        <is>
          <t>k6_frac_N10_frac_chain_mem32K_40nm.xml</t>
        </is>
      </c>
      <c r="B9" t="inlineStr">
        <is>
          <t>mcml.v</t>
        </is>
      </c>
      <c r="C9" t="inlineStr">
        <is>
          <t>common</t>
        </is>
      </c>
      <c r="D9" t="inlineStr">
        <is>
          <t>success</t>
        </is>
      </c>
      <c r="E9" t="n">
        <v>947931</v>
      </c>
      <c r="F9" t="n">
        <v>1527920</v>
      </c>
      <c r="G9" t="n">
        <v>664138</v>
      </c>
      <c r="H9" t="n">
        <v>848312</v>
      </c>
      <c r="I9" t="n">
        <v>61.873665</v>
      </c>
      <c r="J9" t="n">
        <v>102.478</v>
      </c>
      <c r="K9" t="n">
        <v>45.9161</v>
      </c>
      <c r="L9" t="n">
        <v>46.0483</v>
      </c>
      <c r="M9" t="n">
        <v>-477432.46875</v>
      </c>
      <c r="N9" t="n">
        <v>-439966</v>
      </c>
      <c r="O9" t="n">
        <v>-315345</v>
      </c>
      <c r="P9" t="n">
        <v>-343065</v>
      </c>
      <c r="Q9" t="n">
        <v>1531</v>
      </c>
      <c r="R9" t="n">
        <v>1016.133911</v>
      </c>
      <c r="S9" t="n">
        <v>0</v>
      </c>
      <c r="T9" t="n">
        <v>71.067848</v>
      </c>
      <c r="U9" t="n">
        <v>65.72249600000001</v>
      </c>
      <c r="V9" t="n">
        <v>969696.5</v>
      </c>
      <c r="W9" t="n">
        <v>6.110518</v>
      </c>
      <c r="X9" t="n">
        <v>150</v>
      </c>
      <c r="Y9" t="n">
        <v>579.01</v>
      </c>
      <c r="Z9" t="n">
        <v>72.76000000000001</v>
      </c>
      <c r="AA9" t="n">
        <v>167.26</v>
      </c>
      <c r="AB9" t="n">
        <v>327.8</v>
      </c>
      <c r="AC9" t="n">
        <v>21.91</v>
      </c>
      <c r="AD9" t="n">
        <v>635.99</v>
      </c>
      <c r="AE9" t="n">
        <v>7897</v>
      </c>
      <c r="AF9" t="n">
        <v>-1</v>
      </c>
      <c r="AG9" t="n">
        <v>158693</v>
      </c>
      <c r="AH9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k6_frac_N10_frac_chain_mem32K_40nm.xml</t>
        </is>
      </c>
      <c r="B2" t="inlineStr">
        <is>
          <t>arm_core.v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295014</v>
      </c>
      <c r="G2" t="n">
        <v>117941</v>
      </c>
      <c r="H2" t="n">
        <v>161632</v>
      </c>
      <c r="I2" t="n">
        <v>-1</v>
      </c>
      <c r="J2" t="n">
        <v>38.9544</v>
      </c>
      <c r="K2" t="n">
        <v>22.2791</v>
      </c>
      <c r="L2" t="n">
        <v>23.1245</v>
      </c>
      <c r="M2" t="n">
        <v>-1</v>
      </c>
      <c r="N2" t="n">
        <v>-339284</v>
      </c>
      <c r="O2" t="n">
        <v>-210703</v>
      </c>
      <c r="P2" t="n">
        <v>-217716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3.09</v>
      </c>
      <c r="AD2" t="n">
        <v>45.3</v>
      </c>
      <c r="AE2" t="n">
        <v>862</v>
      </c>
      <c r="AF2" t="n">
        <v>-1</v>
      </c>
      <c r="AG2" t="n">
        <v>14024</v>
      </c>
      <c r="AH2" t="n">
        <v/>
      </c>
    </row>
    <row r="3">
      <c r="A3" t="inlineStr">
        <is>
          <t>k6_frac_N10_frac_chain_mem32K_40nm.xml</t>
        </is>
      </c>
      <c r="B3" t="inlineStr">
        <is>
          <t>bgm.v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1291910</v>
      </c>
      <c r="G3" t="n">
        <v>252707</v>
      </c>
      <c r="H3" t="n">
        <v>360788</v>
      </c>
      <c r="I3" t="n">
        <v>-1</v>
      </c>
      <c r="J3" t="n">
        <v>54.482</v>
      </c>
      <c r="K3" t="n">
        <v>19.3888</v>
      </c>
      <c r="L3" t="n">
        <v>19.6734</v>
      </c>
      <c r="M3" t="n">
        <v>-1</v>
      </c>
      <c r="N3" t="n">
        <v>-56083</v>
      </c>
      <c r="O3" t="n">
        <v>-25529.2</v>
      </c>
      <c r="P3" t="n">
        <v>-26010.7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8.32</v>
      </c>
      <c r="AD3" t="n">
        <v>154.6</v>
      </c>
      <c r="AE3" t="n">
        <v>2799</v>
      </c>
      <c r="AF3" t="n">
        <v>-1</v>
      </c>
      <c r="AG3" t="n">
        <v>34489</v>
      </c>
      <c r="AH3" t="n">
        <v/>
      </c>
    </row>
    <row r="4">
      <c r="A4" t="inlineStr">
        <is>
          <t>k6_frac_N10_frac_chain_mem32K_40nm.xml</t>
        </is>
      </c>
      <c r="B4" t="inlineStr">
        <is>
          <t>stereovision0.v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144854</v>
      </c>
      <c r="G4" t="n">
        <v>39651</v>
      </c>
      <c r="H4" t="n">
        <v>54897</v>
      </c>
      <c r="I4" t="n">
        <v>-1</v>
      </c>
      <c r="J4" t="n">
        <v>7.78789</v>
      </c>
      <c r="K4" t="n">
        <v>3.50846</v>
      </c>
      <c r="L4" t="n">
        <v>3.67778</v>
      </c>
      <c r="M4" t="n">
        <v>-1</v>
      </c>
      <c r="N4" t="n">
        <v>-18801.8</v>
      </c>
      <c r="O4" t="n">
        <v>-13691.2</v>
      </c>
      <c r="P4" t="n">
        <v>-14790.9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1.28</v>
      </c>
      <c r="AD4" t="n">
        <v>17.89</v>
      </c>
      <c r="AE4" t="n">
        <v>712</v>
      </c>
      <c r="AF4" t="n">
        <v>-1</v>
      </c>
      <c r="AG4" t="n">
        <v>21329</v>
      </c>
      <c r="AH4" t="n">
        <v/>
      </c>
    </row>
    <row r="5">
      <c r="A5" t="inlineStr">
        <is>
          <t>k6_frac_N10_frac_chain_mem32K_40nm.xml</t>
        </is>
      </c>
      <c r="B5" t="inlineStr">
        <is>
          <t>stereovision1.v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231708</v>
      </c>
      <c r="G5" t="n">
        <v>79935</v>
      </c>
      <c r="H5" t="n">
        <v>117598</v>
      </c>
      <c r="I5" t="n">
        <v>-1</v>
      </c>
      <c r="J5" t="n">
        <v>7.69617</v>
      </c>
      <c r="K5" t="n">
        <v>5.42144</v>
      </c>
      <c r="L5" t="n">
        <v>5.56846</v>
      </c>
      <c r="M5" t="n">
        <v>-1</v>
      </c>
      <c r="N5" t="n">
        <v>-29502.3</v>
      </c>
      <c r="O5" t="n">
        <v>-22856</v>
      </c>
      <c r="P5" t="n">
        <v>-25409.3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2.28</v>
      </c>
      <c r="AD5" t="n">
        <v>20.95</v>
      </c>
      <c r="AE5" t="n">
        <v>765</v>
      </c>
      <c r="AF5" t="n">
        <v>-1</v>
      </c>
      <c r="AG5" t="n">
        <v>19264</v>
      </c>
      <c r="AH5" t="n">
        <v/>
      </c>
    </row>
    <row r="6">
      <c r="A6" t="inlineStr">
        <is>
          <t>k6_frac_N10_frac_chain_mem32K_40nm.xml</t>
        </is>
      </c>
      <c r="B6" t="inlineStr">
        <is>
          <t>stereovision2.v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1175050</v>
      </c>
      <c r="G6" t="n">
        <v>286881</v>
      </c>
      <c r="H6" t="n">
        <v>377576</v>
      </c>
      <c r="I6" t="n">
        <v>-1</v>
      </c>
      <c r="J6" t="n">
        <v>34.3964</v>
      </c>
      <c r="K6" t="n">
        <v>14.1361</v>
      </c>
      <c r="L6" t="n">
        <v>15.2064</v>
      </c>
      <c r="M6" t="n">
        <v>-1</v>
      </c>
      <c r="N6" t="n">
        <v>-79240.89999999999</v>
      </c>
      <c r="O6" t="n">
        <v>-52693.9</v>
      </c>
      <c r="P6" t="n">
        <v>-58055.9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6.34</v>
      </c>
      <c r="AD6" t="n">
        <v>86.44</v>
      </c>
      <c r="AE6" t="n">
        <v>1683</v>
      </c>
      <c r="AF6" t="n">
        <v>-1</v>
      </c>
      <c r="AG6" t="n">
        <v>36885</v>
      </c>
      <c r="AH6" t="n">
        <v/>
      </c>
    </row>
    <row r="7">
      <c r="A7" t="inlineStr">
        <is>
          <t>k6_frac_N10_frac_chain_mem32K_40nm.xml</t>
        </is>
      </c>
      <c r="B7" t="inlineStr">
        <is>
          <t>LU8PEEng.v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1020460</v>
      </c>
      <c r="G7" t="n">
        <v>213606</v>
      </c>
      <c r="H7" t="n">
        <v>298974</v>
      </c>
      <c r="I7" t="n">
        <v>-1</v>
      </c>
      <c r="J7" t="n">
        <v>224.083</v>
      </c>
      <c r="K7" t="n">
        <v>73.01649999999999</v>
      </c>
      <c r="L7" t="n">
        <v>73.7166</v>
      </c>
      <c r="M7" t="n">
        <v>-1</v>
      </c>
      <c r="N7" t="n">
        <v>-81874.89999999999</v>
      </c>
      <c r="O7" t="n">
        <v>-56645</v>
      </c>
      <c r="P7" t="n">
        <v>-69511.60000000001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7.66</v>
      </c>
      <c r="AD7" t="n">
        <v>117.03</v>
      </c>
      <c r="AE7" t="n">
        <v>2139</v>
      </c>
      <c r="AF7" t="n">
        <v>-1</v>
      </c>
      <c r="AG7" t="n">
        <v>31718</v>
      </c>
      <c r="AH7" t="n">
        <v/>
      </c>
    </row>
    <row r="8">
      <c r="A8" t="inlineStr">
        <is>
          <t>k6_frac_N10_frac_chain_mem32K_40nm.xml</t>
        </is>
      </c>
      <c r="B8" t="inlineStr">
        <is>
          <t>LU32PEEng.v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5936290</v>
      </c>
      <c r="G8" t="n">
        <v>929428</v>
      </c>
      <c r="H8" t="n">
        <v>1203285</v>
      </c>
      <c r="I8" t="n">
        <v>-1</v>
      </c>
      <c r="J8" t="n">
        <v>155.638</v>
      </c>
      <c r="K8" t="n">
        <v>74.98260000000001</v>
      </c>
      <c r="L8" t="n">
        <v>75.61920000000001</v>
      </c>
      <c r="M8" t="n">
        <v>-1</v>
      </c>
      <c r="N8" t="n">
        <v>-441642</v>
      </c>
      <c r="O8" t="n">
        <v>-348509</v>
      </c>
      <c r="P8" t="n">
        <v>-487412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31.76</v>
      </c>
      <c r="AD8" t="n">
        <v>665.58</v>
      </c>
      <c r="AE8" t="n">
        <v>7443</v>
      </c>
      <c r="AF8" t="n">
        <v>-1</v>
      </c>
      <c r="AG8" t="n">
        <v>107421</v>
      </c>
      <c r="AH8" t="n">
        <v/>
      </c>
    </row>
    <row r="9">
      <c r="A9" t="inlineStr">
        <is>
          <t>k6_frac_N10_frac_chain_mem32K_40nm.xml</t>
        </is>
      </c>
      <c r="B9" t="inlineStr">
        <is>
          <t>mcml.v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4661100</v>
      </c>
      <c r="G9" t="n">
        <v>702751</v>
      </c>
      <c r="H9" t="n">
        <v>897452</v>
      </c>
      <c r="I9" t="n">
        <v>-1</v>
      </c>
      <c r="J9" t="n">
        <v>145.923</v>
      </c>
      <c r="K9" t="n">
        <v>46.4284</v>
      </c>
      <c r="L9" t="n">
        <v>46.7428</v>
      </c>
      <c r="M9" t="n">
        <v>-1</v>
      </c>
      <c r="N9" t="n">
        <v>-627575</v>
      </c>
      <c r="O9" t="n">
        <v>-294636</v>
      </c>
      <c r="P9" t="n">
        <v>-345504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20.51</v>
      </c>
      <c r="AD9" t="n">
        <v>733.83</v>
      </c>
      <c r="AE9" t="n">
        <v>6659</v>
      </c>
      <c r="AF9" t="n">
        <v>-1</v>
      </c>
      <c r="AG9" t="n">
        <v>158693</v>
      </c>
      <c r="AH9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7series_BRAM_DSP_carry.xml</t>
        </is>
      </c>
      <c r="B2" t="inlineStr">
        <is>
          <t>arm_core.v</t>
        </is>
      </c>
      <c r="C2" t="inlineStr">
        <is>
          <t>common</t>
        </is>
      </c>
      <c r="D2" t="inlineStr">
        <is>
          <t>success</t>
        </is>
      </c>
      <c r="E2" t="n">
        <v>137481</v>
      </c>
      <c r="F2" t="n">
        <v>160369</v>
      </c>
      <c r="G2" t="n">
        <v>135180</v>
      </c>
      <c r="H2" t="n">
        <v>176901</v>
      </c>
      <c r="I2" t="n">
        <v>20.884626</v>
      </c>
      <c r="J2" t="n">
        <v>21.8346</v>
      </c>
      <c r="K2" t="n">
        <v>19.8205</v>
      </c>
      <c r="L2" t="n">
        <v>23.2662</v>
      </c>
      <c r="M2" t="n">
        <v>-205158.828125</v>
      </c>
      <c r="N2" t="n">
        <v>-206519</v>
      </c>
      <c r="O2" t="n">
        <v>-182599</v>
      </c>
      <c r="P2" t="n">
        <v>-228456</v>
      </c>
      <c r="Q2" t="n">
        <v>0</v>
      </c>
      <c r="R2" t="n">
        <v>0</v>
      </c>
      <c r="S2" t="n">
        <v>0</v>
      </c>
      <c r="T2" t="n">
        <v>70.08086400000001</v>
      </c>
      <c r="U2" t="n">
        <v>57.686821</v>
      </c>
      <c r="V2" t="n">
        <v>30185.951172</v>
      </c>
      <c r="W2" t="n">
        <v>2.152449</v>
      </c>
      <c r="X2" t="n">
        <v>29.331795</v>
      </c>
      <c r="Y2" t="n">
        <v>387.54</v>
      </c>
      <c r="Z2" t="n">
        <v>8.109999999999999</v>
      </c>
      <c r="AA2" t="n">
        <v>61.16</v>
      </c>
      <c r="AB2" t="n">
        <v>9.06</v>
      </c>
      <c r="AC2" t="n">
        <v>12.56</v>
      </c>
      <c r="AD2" t="n">
        <v>530.47</v>
      </c>
      <c r="AE2" t="n">
        <v>-1</v>
      </c>
      <c r="AF2" t="n">
        <v>-1</v>
      </c>
      <c r="AG2" t="n">
        <v>14024</v>
      </c>
      <c r="AH2" t="n">
        <v/>
      </c>
    </row>
    <row r="3">
      <c r="A3" t="inlineStr">
        <is>
          <t>7series_BRAM_DSP_carry.xml</t>
        </is>
      </c>
      <c r="B3" t="inlineStr">
        <is>
          <t>bgm.v</t>
        </is>
      </c>
      <c r="C3" t="inlineStr">
        <is>
          <t>common</t>
        </is>
      </c>
      <c r="D3" t="inlineStr">
        <is>
          <t>success</t>
        </is>
      </c>
      <c r="E3" t="n">
        <v>282520</v>
      </c>
      <c r="F3" t="n">
        <v>359033</v>
      </c>
      <c r="G3" t="n">
        <v>304985</v>
      </c>
      <c r="H3" t="n">
        <v>462015</v>
      </c>
      <c r="I3" t="n">
        <v>26.485891</v>
      </c>
      <c r="J3" t="n">
        <v>25.5947</v>
      </c>
      <c r="K3" t="n">
        <v>23.4826</v>
      </c>
      <c r="L3" t="n">
        <v>23.3178</v>
      </c>
      <c r="M3" t="n">
        <v>-30072.769531</v>
      </c>
      <c r="N3" t="n">
        <v>-29588.1</v>
      </c>
      <c r="O3" t="n">
        <v>-28688.9</v>
      </c>
      <c r="P3" t="n">
        <v>-30449</v>
      </c>
      <c r="Q3" t="n">
        <v>3</v>
      </c>
      <c r="R3" t="n">
        <v>10</v>
      </c>
      <c r="S3" t="n">
        <v>0</v>
      </c>
      <c r="T3" t="n">
        <v>82.047905</v>
      </c>
      <c r="U3" t="n">
        <v>63.309288</v>
      </c>
      <c r="V3" t="n">
        <v>65138.617188</v>
      </c>
      <c r="W3" t="n">
        <v>1.909999</v>
      </c>
      <c r="X3" t="n">
        <v>28.123028</v>
      </c>
      <c r="Y3" t="n">
        <v>675.5599999999999</v>
      </c>
      <c r="Z3" t="n">
        <v>27.32</v>
      </c>
      <c r="AA3" t="n">
        <v>477.54</v>
      </c>
      <c r="AB3" t="n">
        <v>76.23999999999999</v>
      </c>
      <c r="AC3" t="n">
        <v>40.88</v>
      </c>
      <c r="AD3" t="n">
        <v>765.08</v>
      </c>
      <c r="AE3" t="n">
        <v>-1</v>
      </c>
      <c r="AF3" t="n">
        <v>-1</v>
      </c>
      <c r="AG3" t="n">
        <v>34104</v>
      </c>
      <c r="AH3" t="n">
        <v/>
      </c>
    </row>
    <row r="4">
      <c r="A4" t="inlineStr">
        <is>
          <t>7series_BRAM_DSP_carry.xml</t>
        </is>
      </c>
      <c r="B4" t="inlineStr">
        <is>
          <t>stereovision0.v</t>
        </is>
      </c>
      <c r="C4" t="inlineStr">
        <is>
          <t>common</t>
        </is>
      </c>
      <c r="D4" t="inlineStr">
        <is>
          <t>success</t>
        </is>
      </c>
      <c r="E4" t="n">
        <v>69812.5</v>
      </c>
      <c r="F4" t="n">
        <v>97861</v>
      </c>
      <c r="G4" t="n">
        <v>83296</v>
      </c>
      <c r="H4" t="n">
        <v>80433</v>
      </c>
      <c r="I4" t="n">
        <v>5.5985</v>
      </c>
      <c r="J4" t="n">
        <v>5.68345</v>
      </c>
      <c r="K4" t="n">
        <v>3.79403</v>
      </c>
      <c r="L4" t="n">
        <v>4.63393</v>
      </c>
      <c r="M4" t="n">
        <v>-16522.003906</v>
      </c>
      <c r="N4" t="n">
        <v>-18274.3</v>
      </c>
      <c r="O4" t="n">
        <v>-16165.6</v>
      </c>
      <c r="P4" t="n">
        <v>-21716.6</v>
      </c>
      <c r="Q4" t="n">
        <v>17</v>
      </c>
      <c r="R4" t="n">
        <v>10.058824</v>
      </c>
      <c r="S4" t="n">
        <v>0</v>
      </c>
      <c r="T4" t="n">
        <v>61.60957</v>
      </c>
      <c r="U4" t="n">
        <v>68.826477</v>
      </c>
      <c r="V4" t="n">
        <v>49771.324219</v>
      </c>
      <c r="W4" t="n">
        <v>2.333505</v>
      </c>
      <c r="X4" t="n">
        <v>41.481319</v>
      </c>
      <c r="Y4" t="n">
        <v>623.53</v>
      </c>
      <c r="Z4" t="n">
        <v>5.48</v>
      </c>
      <c r="AA4" t="n">
        <v>305.36</v>
      </c>
      <c r="AB4" t="n">
        <v>11.96</v>
      </c>
      <c r="AC4" t="n">
        <v>4.25</v>
      </c>
      <c r="AD4" t="n">
        <v>757.1</v>
      </c>
      <c r="AE4" t="n">
        <v>-1</v>
      </c>
      <c r="AF4" t="n">
        <v>-1</v>
      </c>
      <c r="AG4" t="n">
        <v>21329</v>
      </c>
      <c r="AH4" t="n">
        <v/>
      </c>
    </row>
    <row r="5">
      <c r="A5" t="inlineStr">
        <is>
          <t>7series_BRAM_DSP_carry.xml</t>
        </is>
      </c>
      <c r="B5" t="inlineStr">
        <is>
          <t>stereovision1.v</t>
        </is>
      </c>
      <c r="C5" t="inlineStr">
        <is>
          <t>common</t>
        </is>
      </c>
      <c r="D5" t="inlineStr">
        <is>
          <t>success</t>
        </is>
      </c>
      <c r="E5" t="n">
        <v>125951</v>
      </c>
      <c r="F5" t="n">
        <v>168095</v>
      </c>
      <c r="G5" t="n">
        <v>124336</v>
      </c>
      <c r="H5" t="n">
        <v>123373</v>
      </c>
      <c r="I5" t="n">
        <v>7.06658</v>
      </c>
      <c r="J5" t="n">
        <v>4.92994</v>
      </c>
      <c r="K5" t="n">
        <v>4.8329</v>
      </c>
      <c r="L5" t="n">
        <v>4.8124</v>
      </c>
      <c r="M5" t="n">
        <v>-21212.498047</v>
      </c>
      <c r="N5" t="n">
        <v>-23078.8</v>
      </c>
      <c r="O5" t="n">
        <v>-21625.9</v>
      </c>
      <c r="P5" t="n">
        <v>-27154.6</v>
      </c>
      <c r="Q5" t="n">
        <v>27</v>
      </c>
      <c r="R5" t="n">
        <v>56.888889</v>
      </c>
      <c r="S5" t="n">
        <v>0</v>
      </c>
      <c r="T5" t="n">
        <v>69.551682</v>
      </c>
      <c r="U5" t="n">
        <v>76.43913999999999</v>
      </c>
      <c r="V5" t="n">
        <v>54571.4375</v>
      </c>
      <c r="W5" t="n">
        <v>2.832673</v>
      </c>
      <c r="X5" t="n">
        <v>83.00009900000001</v>
      </c>
      <c r="Y5" t="n">
        <v>492.64</v>
      </c>
      <c r="Z5" t="n">
        <v>5.6</v>
      </c>
      <c r="AA5" t="n">
        <v>378.97</v>
      </c>
      <c r="AB5" t="n">
        <v>13.42</v>
      </c>
      <c r="AC5" t="n">
        <v>4.08</v>
      </c>
      <c r="AD5" t="n">
        <v>541.6799999999999</v>
      </c>
      <c r="AE5" t="n">
        <v>-1</v>
      </c>
      <c r="AF5" t="n">
        <v>-1</v>
      </c>
      <c r="AG5" t="n">
        <v>19265</v>
      </c>
      <c r="AH5" t="n">
        <v/>
      </c>
    </row>
    <row r="6">
      <c r="A6" t="inlineStr">
        <is>
          <t>7series_BRAM_DSP_carry.xml</t>
        </is>
      </c>
      <c r="B6" t="inlineStr">
        <is>
          <t>stereovision2.v</t>
        </is>
      </c>
      <c r="C6" t="inlineStr">
        <is>
          <t>common</t>
        </is>
      </c>
      <c r="D6" t="inlineStr">
        <is>
          <t>success</t>
        </is>
      </c>
      <c r="E6" t="n">
        <v>475467</v>
      </c>
      <c r="F6" t="n">
        <v>699120</v>
      </c>
      <c r="G6" t="n">
        <v>348792</v>
      </c>
      <c r="H6" t="n">
        <v>329506</v>
      </c>
      <c r="I6" t="n">
        <v>17.240788</v>
      </c>
      <c r="J6" t="n">
        <v>15.9002</v>
      </c>
      <c r="K6" t="n">
        <v>13.775</v>
      </c>
      <c r="L6" t="n">
        <v>13.9694</v>
      </c>
      <c r="M6" t="n">
        <v>-42625.953125</v>
      </c>
      <c r="N6" t="n">
        <v>-56531.7</v>
      </c>
      <c r="O6" t="n">
        <v>-44609.1</v>
      </c>
      <c r="P6" t="n">
        <v>-60864.7</v>
      </c>
      <c r="Q6" t="n">
        <v>106</v>
      </c>
      <c r="R6" t="n">
        <v>65.80188800000001</v>
      </c>
      <c r="S6" t="n">
        <v>0</v>
      </c>
      <c r="T6" t="n">
        <v>53.675613</v>
      </c>
      <c r="U6" t="n">
        <v>86.334801</v>
      </c>
      <c r="V6" t="n">
        <v>222450.359375</v>
      </c>
      <c r="W6" t="n">
        <v>6.031407</v>
      </c>
      <c r="X6" t="n">
        <v>91</v>
      </c>
      <c r="Y6" t="n">
        <v>984.1799999999999</v>
      </c>
      <c r="Z6" t="n">
        <v>11.08</v>
      </c>
      <c r="AA6" t="n">
        <v>588.76</v>
      </c>
      <c r="AB6" t="n">
        <v>88.04000000000001</v>
      </c>
      <c r="AC6" t="n">
        <v>13.23</v>
      </c>
      <c r="AD6" t="n">
        <v>1129.44</v>
      </c>
      <c r="AE6" t="n">
        <v>-1</v>
      </c>
      <c r="AF6" t="n">
        <v>-1</v>
      </c>
      <c r="AG6" t="n">
        <v>36882</v>
      </c>
      <c r="AH6" t="n">
        <v/>
      </c>
    </row>
    <row r="7">
      <c r="A7" t="inlineStr">
        <is>
          <t>7series_BRAM_DSP_carry.xml</t>
        </is>
      </c>
      <c r="B7" t="inlineStr">
        <is>
          <t>LU8PEEng.v</t>
        </is>
      </c>
      <c r="C7" t="inlineStr">
        <is>
          <t>common</t>
        </is>
      </c>
      <c r="D7" t="inlineStr">
        <is>
          <t>success</t>
        </is>
      </c>
      <c r="E7" t="n">
        <v>290440</v>
      </c>
      <c r="F7" t="n">
        <v>381547</v>
      </c>
      <c r="G7" t="n">
        <v>278601</v>
      </c>
      <c r="H7" t="n">
        <v>368036</v>
      </c>
      <c r="I7" t="n">
        <v>151.507111</v>
      </c>
      <c r="J7" t="n">
        <v>111.002</v>
      </c>
      <c r="K7" t="n">
        <v>109.083</v>
      </c>
      <c r="L7" t="n">
        <v>91.7427</v>
      </c>
      <c r="M7" t="n">
        <v>-53223.011719</v>
      </c>
      <c r="N7" t="n">
        <v>-53785.8</v>
      </c>
      <c r="O7" t="n">
        <v>-51642.2</v>
      </c>
      <c r="P7" t="n">
        <v>-75727.7</v>
      </c>
      <c r="Q7" t="n">
        <v>2</v>
      </c>
      <c r="R7" t="n">
        <v>12</v>
      </c>
      <c r="S7" t="n">
        <v>0</v>
      </c>
      <c r="T7" t="n">
        <v>78.315414</v>
      </c>
      <c r="U7" t="n">
        <v>75.208</v>
      </c>
      <c r="V7" t="n">
        <v>126521.75</v>
      </c>
      <c r="W7" t="n">
        <v>3.942593</v>
      </c>
      <c r="X7" t="n">
        <v>64.000198</v>
      </c>
      <c r="Y7" t="n">
        <v>852.15</v>
      </c>
      <c r="Z7" t="n">
        <v>21.28</v>
      </c>
      <c r="AA7" t="n">
        <v>683.13</v>
      </c>
      <c r="AB7" t="n">
        <v>86.25</v>
      </c>
      <c r="AC7" t="n">
        <v>28.23</v>
      </c>
      <c r="AD7" t="n">
        <v>914.12</v>
      </c>
      <c r="AE7" t="n">
        <v>-1</v>
      </c>
      <c r="AF7" t="n">
        <v>-1</v>
      </c>
      <c r="AG7" t="n">
        <v>32091</v>
      </c>
      <c r="AH7" t="n">
        <v/>
      </c>
    </row>
    <row r="8">
      <c r="A8" t="inlineStr">
        <is>
          <t>7series_BRAM_DSP_carry.xml</t>
        </is>
      </c>
      <c r="B8" t="inlineStr">
        <is>
          <t>LU32PEEng.v</t>
        </is>
      </c>
      <c r="C8" t="inlineStr">
        <is>
          <t>common</t>
        </is>
      </c>
      <c r="D8" t="inlineStr">
        <is>
          <t>success</t>
        </is>
      </c>
      <c r="E8" t="n">
        <v>1445820</v>
      </c>
      <c r="F8" t="n">
        <v>1462150</v>
      </c>
      <c r="G8" t="n">
        <v>1134364</v>
      </c>
      <c r="H8" t="n">
        <v>1429238</v>
      </c>
      <c r="I8" t="n">
        <v>134.592468</v>
      </c>
      <c r="J8" t="n">
        <v>107.745</v>
      </c>
      <c r="K8" t="n">
        <v>106.926</v>
      </c>
      <c r="L8" t="n">
        <v>92.7803</v>
      </c>
      <c r="M8" t="n">
        <v>-220175.5</v>
      </c>
      <c r="N8" t="n">
        <v>-268521</v>
      </c>
      <c r="O8" t="n">
        <v>-244562</v>
      </c>
      <c r="P8" t="n">
        <v>-498638</v>
      </c>
      <c r="Q8" t="n">
        <v>4</v>
      </c>
      <c r="R8" t="n">
        <v>268</v>
      </c>
      <c r="S8" t="n">
        <v>0</v>
      </c>
      <c r="T8" t="n">
        <v>84.227097</v>
      </c>
      <c r="U8" t="n">
        <v>71.682991</v>
      </c>
      <c r="V8" t="n">
        <v>407422.46875</v>
      </c>
      <c r="W8" t="n">
        <v>3.744072</v>
      </c>
      <c r="X8" t="n">
        <v>163.000214</v>
      </c>
      <c r="Y8" t="n">
        <v>3626.58</v>
      </c>
      <c r="Z8" t="n">
        <v>92.98</v>
      </c>
      <c r="AA8" t="n">
        <v>2446.05</v>
      </c>
      <c r="AB8" t="n">
        <v>734.71</v>
      </c>
      <c r="AC8" t="n">
        <v>127.5</v>
      </c>
      <c r="AD8" t="n">
        <v>3906.55</v>
      </c>
      <c r="AE8" t="n">
        <v>-1</v>
      </c>
      <c r="AF8" t="n">
        <v>-1</v>
      </c>
      <c r="AG8" t="n">
        <v>108818</v>
      </c>
      <c r="AH8" t="n">
        <v/>
      </c>
    </row>
    <row r="9">
      <c r="A9" t="inlineStr">
        <is>
          <t>7series_BRAM_DSP_carry.xml</t>
        </is>
      </c>
      <c r="B9" t="inlineStr">
        <is>
          <t>mcml.v</t>
        </is>
      </c>
      <c r="C9" t="inlineStr">
        <is>
          <t>common</t>
        </is>
      </c>
      <c r="D9" t="inlineStr">
        <is>
          <t>success</t>
        </is>
      </c>
      <c r="E9" t="n">
        <v>1331460</v>
      </c>
      <c r="F9" t="n">
        <v>2801400</v>
      </c>
      <c r="G9" t="n">
        <v>1670407</v>
      </c>
      <c r="H9" t="n">
        <v>1167439</v>
      </c>
      <c r="I9" t="n">
        <v>88.716713</v>
      </c>
      <c r="J9" t="n">
        <v>81.6293</v>
      </c>
      <c r="K9" t="n">
        <v>67.4174</v>
      </c>
      <c r="L9" t="n">
        <v>62.4563</v>
      </c>
      <c r="M9" t="n">
        <v>-414264.09375</v>
      </c>
      <c r="N9" t="n">
        <v>-424467</v>
      </c>
      <c r="O9" t="n">
        <v>-372326</v>
      </c>
      <c r="P9" t="n">
        <v>-629700</v>
      </c>
      <c r="Q9" t="n">
        <v>50</v>
      </c>
      <c r="R9" t="n">
        <v>12796.080078</v>
      </c>
      <c r="S9" t="n">
        <v>0</v>
      </c>
      <c r="T9" t="n">
        <v>56.487736</v>
      </c>
      <c r="U9" t="n">
        <v>78.733887</v>
      </c>
      <c r="V9" t="n">
        <v>2593409.5</v>
      </c>
      <c r="W9" t="n">
        <v>15.691291</v>
      </c>
      <c r="X9" t="n">
        <v>129.499359</v>
      </c>
      <c r="Y9" t="n">
        <v>6060.51</v>
      </c>
      <c r="Z9" t="n">
        <v>71.36</v>
      </c>
      <c r="AA9" t="n">
        <v>1637.07</v>
      </c>
      <c r="AB9" t="n">
        <v>4021.38</v>
      </c>
      <c r="AC9" t="n">
        <v>76.14</v>
      </c>
      <c r="AD9" t="n">
        <v>6395.76</v>
      </c>
      <c r="AE9" t="n">
        <v>-1</v>
      </c>
      <c r="AF9" t="n">
        <v>-1</v>
      </c>
      <c r="AG9" t="n">
        <v>165277</v>
      </c>
      <c r="AH9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7series_BRAM_DSP_carry.xml</t>
        </is>
      </c>
      <c r="B2" t="inlineStr">
        <is>
          <t>arm_core.v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667017</v>
      </c>
      <c r="G2" t="n">
        <v>146894</v>
      </c>
      <c r="H2" t="n">
        <v>197440</v>
      </c>
      <c r="I2" t="n">
        <v>-1</v>
      </c>
      <c r="J2" t="n">
        <v>29.8284</v>
      </c>
      <c r="K2" t="n">
        <v>19.3224</v>
      </c>
      <c r="L2" t="n">
        <v>23.6626</v>
      </c>
      <c r="M2" t="n">
        <v>-1</v>
      </c>
      <c r="N2" t="n">
        <v>-285808</v>
      </c>
      <c r="O2" t="n">
        <v>-184482</v>
      </c>
      <c r="P2" t="n">
        <v>-227220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16.03</v>
      </c>
      <c r="AD2" t="n">
        <v>576.37</v>
      </c>
      <c r="AE2" t="n">
        <v>-1</v>
      </c>
      <c r="AF2" t="n">
        <v>-1</v>
      </c>
      <c r="AG2" t="n">
        <v>14024</v>
      </c>
      <c r="AH2" t="n">
        <v/>
      </c>
    </row>
    <row r="3">
      <c r="A3" t="inlineStr">
        <is>
          <t>7series_BRAM_DSP_carry.xml</t>
        </is>
      </c>
      <c r="B3" t="inlineStr">
        <is>
          <t>bgm.v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1544410</v>
      </c>
      <c r="G3" t="n">
        <v>288053</v>
      </c>
      <c r="H3" t="n">
        <v>454013</v>
      </c>
      <c r="I3" t="n">
        <v>-1</v>
      </c>
      <c r="J3" t="n">
        <v>38.6977</v>
      </c>
      <c r="K3" t="n">
        <v>22.6933</v>
      </c>
      <c r="L3" t="n">
        <v>23.3373</v>
      </c>
      <c r="M3" t="n">
        <v>-1</v>
      </c>
      <c r="N3" t="n">
        <v>-40773.7</v>
      </c>
      <c r="O3" t="n">
        <v>-27723.6</v>
      </c>
      <c r="P3" t="n">
        <v>-29551.3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35.54</v>
      </c>
      <c r="AD3" t="n">
        <v>1008.28</v>
      </c>
      <c r="AE3" t="n">
        <v>-1</v>
      </c>
      <c r="AF3" t="n">
        <v>-1</v>
      </c>
      <c r="AG3" t="n">
        <v>34104</v>
      </c>
      <c r="AH3" t="n">
        <v/>
      </c>
    </row>
    <row r="4">
      <c r="A4" t="inlineStr">
        <is>
          <t>7series_BRAM_DSP_carry.xml</t>
        </is>
      </c>
      <c r="B4" t="inlineStr">
        <is>
          <t>stereovision0.v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370210</v>
      </c>
      <c r="G4" t="n">
        <v>84747</v>
      </c>
      <c r="H4" t="n">
        <v>82803</v>
      </c>
      <c r="I4" t="n">
        <v>-1</v>
      </c>
      <c r="J4" t="n">
        <v>11.9283</v>
      </c>
      <c r="K4" t="n">
        <v>4.03877</v>
      </c>
      <c r="L4" t="n">
        <v>4.72006</v>
      </c>
      <c r="M4" t="n">
        <v>-1</v>
      </c>
      <c r="N4" t="n">
        <v>-21630.6</v>
      </c>
      <c r="O4" t="n">
        <v>-15837.8</v>
      </c>
      <c r="P4" t="n">
        <v>-20797.1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3.97</v>
      </c>
      <c r="AD4" t="n">
        <v>818.26</v>
      </c>
      <c r="AE4" t="n">
        <v>-1</v>
      </c>
      <c r="AF4" t="n">
        <v>-1</v>
      </c>
      <c r="AG4" t="n">
        <v>21329</v>
      </c>
      <c r="AH4" t="n">
        <v/>
      </c>
    </row>
    <row r="5">
      <c r="A5" t="inlineStr">
        <is>
          <t>7series_BRAM_DSP_carry.xml</t>
        </is>
      </c>
      <c r="B5" t="inlineStr">
        <is>
          <t>stereovision1.v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369058</v>
      </c>
      <c r="G5" t="n">
        <v>118878</v>
      </c>
      <c r="H5" t="n">
        <v>117678</v>
      </c>
      <c r="I5" t="n">
        <v>-1</v>
      </c>
      <c r="J5" t="n">
        <v>6.21099</v>
      </c>
      <c r="K5" t="n">
        <v>4.89671</v>
      </c>
      <c r="L5" t="n">
        <v>4.84443</v>
      </c>
      <c r="M5" t="n">
        <v>-1</v>
      </c>
      <c r="N5" t="n">
        <v>-25755</v>
      </c>
      <c r="O5" t="n">
        <v>-21292</v>
      </c>
      <c r="P5" t="n">
        <v>-27445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3.58</v>
      </c>
      <c r="AD5" t="n">
        <v>480.91</v>
      </c>
      <c r="AE5" t="n">
        <v>-1</v>
      </c>
      <c r="AF5" t="n">
        <v>-1</v>
      </c>
      <c r="AG5" t="n">
        <v>19265</v>
      </c>
      <c r="AH5" t="n">
        <v/>
      </c>
    </row>
    <row r="6">
      <c r="A6" t="inlineStr">
        <is>
          <t>7series_BRAM_DSP_carry.xml</t>
        </is>
      </c>
      <c r="B6" t="inlineStr">
        <is>
          <t>stereovision2.v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2099980</v>
      </c>
      <c r="G6" t="n">
        <v>465951</v>
      </c>
      <c r="H6" t="n">
        <v>449325</v>
      </c>
      <c r="I6" t="n">
        <v>-1</v>
      </c>
      <c r="J6" t="n">
        <v>23.9766</v>
      </c>
      <c r="K6" t="n">
        <v>14.7965</v>
      </c>
      <c r="L6" t="n">
        <v>15.6288</v>
      </c>
      <c r="M6" t="n">
        <v>-1</v>
      </c>
      <c r="N6" t="n">
        <v>-68143.5</v>
      </c>
      <c r="O6" t="n">
        <v>-47134.4</v>
      </c>
      <c r="P6" t="n">
        <v>-67039.10000000001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16.03</v>
      </c>
      <c r="AD6" t="n">
        <v>1646.5</v>
      </c>
      <c r="AE6" t="n">
        <v>-1</v>
      </c>
      <c r="AF6" t="n">
        <v>-1</v>
      </c>
      <c r="AG6" t="n">
        <v>36882</v>
      </c>
      <c r="AH6" t="n">
        <v/>
      </c>
    </row>
    <row r="7">
      <c r="A7" t="inlineStr">
        <is>
          <t>7series_BRAM_DSP_carry.xml</t>
        </is>
      </c>
      <c r="B7" t="inlineStr">
        <is>
          <t>LU8PEEng.v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1289310</v>
      </c>
      <c r="G7" t="n">
        <v>304329</v>
      </c>
      <c r="H7" t="n">
        <v>400562</v>
      </c>
      <c r="I7" t="n">
        <v>-1</v>
      </c>
      <c r="J7" t="n">
        <v>128.641</v>
      </c>
      <c r="K7" t="n">
        <v>111.109</v>
      </c>
      <c r="L7" t="n">
        <v>94.79300000000001</v>
      </c>
      <c r="M7" t="n">
        <v>-1</v>
      </c>
      <c r="N7" t="n">
        <v>-61911</v>
      </c>
      <c r="O7" t="n">
        <v>-51571.8</v>
      </c>
      <c r="P7" t="n">
        <v>-76768.5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32.98</v>
      </c>
      <c r="AD7" t="n">
        <v>1063.51</v>
      </c>
      <c r="AE7" t="n">
        <v>-1</v>
      </c>
      <c r="AF7" t="n">
        <v>-1</v>
      </c>
      <c r="AG7" t="n">
        <v>32091</v>
      </c>
      <c r="AH7" t="n">
        <v/>
      </c>
    </row>
    <row r="8">
      <c r="A8" t="inlineStr">
        <is>
          <t>7series_BRAM_DSP_carry.xml</t>
        </is>
      </c>
      <c r="B8" t="inlineStr">
        <is>
          <t>LU32PEEng.v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8724910</v>
      </c>
      <c r="G8" t="n">
        <v>1323462</v>
      </c>
      <c r="H8" t="n">
        <v>1657019</v>
      </c>
      <c r="I8" t="n">
        <v>-1</v>
      </c>
      <c r="J8" t="n">
        <v>158.933</v>
      </c>
      <c r="K8" t="n">
        <v>103.368</v>
      </c>
      <c r="L8" t="n">
        <v>90.05</v>
      </c>
      <c r="M8" t="n">
        <v>-1</v>
      </c>
      <c r="N8" t="n">
        <v>-317441</v>
      </c>
      <c r="O8" t="n">
        <v>-233381</v>
      </c>
      <c r="P8" t="n">
        <v>-475789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163.93</v>
      </c>
      <c r="AD8" t="n">
        <v>5028.21</v>
      </c>
      <c r="AE8" t="n">
        <v>-1</v>
      </c>
      <c r="AF8" t="n">
        <v>-1</v>
      </c>
      <c r="AG8" t="n">
        <v>108818</v>
      </c>
      <c r="AH8" t="n">
        <v/>
      </c>
    </row>
    <row r="9">
      <c r="A9" t="inlineStr">
        <is>
          <t>7series_BRAM_DSP_carry.xml</t>
        </is>
      </c>
      <c r="B9" t="inlineStr">
        <is>
          <t>mcml.v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7895820</v>
      </c>
      <c r="G9" t="n">
        <v>1546547</v>
      </c>
      <c r="H9" t="n">
        <v>1105767</v>
      </c>
      <c r="I9" t="n">
        <v>-1</v>
      </c>
      <c r="J9" t="n">
        <v>108.744</v>
      </c>
      <c r="K9" t="n">
        <v>69.42359999999999</v>
      </c>
      <c r="L9" t="n">
        <v>65.1377</v>
      </c>
      <c r="M9" t="n">
        <v>-1</v>
      </c>
      <c r="N9" t="n">
        <v>-481508</v>
      </c>
      <c r="O9" t="n">
        <v>-346401</v>
      </c>
      <c r="P9" t="n">
        <v>-574137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73.84999999999999</v>
      </c>
      <c r="AD9" t="n">
        <v>6933.77</v>
      </c>
      <c r="AE9" t="n">
        <v>-1</v>
      </c>
      <c r="AF9" t="n">
        <v>-1</v>
      </c>
      <c r="AG9" t="n">
        <v>165277</v>
      </c>
      <c r="AH9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stratixiv_arch.timing.xml</t>
        </is>
      </c>
      <c r="B2" t="inlineStr">
        <is>
          <t>LU230_stratixiv_arch_timing.blif</t>
        </is>
      </c>
      <c r="C2" t="inlineStr">
        <is>
          <t>common</t>
        </is>
      </c>
      <c r="D2" t="inlineStr">
        <is>
          <t>success</t>
        </is>
      </c>
      <c r="E2" t="n">
        <v>16880800</v>
      </c>
      <c r="F2" t="n">
        <v>24505000</v>
      </c>
      <c r="G2" t="n">
        <v>13135672</v>
      </c>
      <c r="H2" t="n">
        <v>13816832</v>
      </c>
      <c r="I2" t="n">
        <v>33.355068</v>
      </c>
      <c r="J2" t="n">
        <v>27.8452</v>
      </c>
      <c r="K2" t="n">
        <v>26.4984</v>
      </c>
      <c r="L2" t="n">
        <v>23.6627</v>
      </c>
      <c r="M2" t="n">
        <v>-2160811</v>
      </c>
      <c r="N2" t="n">
        <v>-3642350</v>
      </c>
      <c r="O2" t="n">
        <v>-3144420</v>
      </c>
      <c r="P2" t="n">
        <v>-5315550</v>
      </c>
      <c r="Q2" t="n">
        <v>2289</v>
      </c>
      <c r="R2" t="n">
        <v>71.12014000000001</v>
      </c>
      <c r="S2" t="n">
        <v>0</v>
      </c>
      <c r="T2" t="n">
        <v>87.66158299999999</v>
      </c>
      <c r="U2" t="n">
        <v>61.653412</v>
      </c>
      <c r="V2" t="n">
        <v>9554246</v>
      </c>
      <c r="W2" t="n">
        <v>16.820826</v>
      </c>
      <c r="X2" t="n">
        <v>482.000183</v>
      </c>
      <c r="Y2" t="n">
        <v>4199.33</v>
      </c>
      <c r="Z2" t="n">
        <v>586</v>
      </c>
      <c r="AA2" t="n">
        <v>810.34</v>
      </c>
      <c r="AB2" t="n">
        <v>2391.97</v>
      </c>
      <c r="AC2" t="n">
        <v>380.24</v>
      </c>
      <c r="AD2" t="n">
        <v>5234.14</v>
      </c>
      <c r="AE2" t="n">
        <v>-1</v>
      </c>
      <c r="AF2" t="n">
        <v>17655</v>
      </c>
      <c r="AG2" t="n">
        <v>568001</v>
      </c>
      <c r="AH2" t="n">
        <v/>
      </c>
    </row>
    <row r="3">
      <c r="A3" t="inlineStr">
        <is>
          <t>stratixiv_arch.timing.xml</t>
        </is>
      </c>
      <c r="B3" t="inlineStr">
        <is>
          <t>LU_Network_stratixiv_arch_timing.blif</t>
        </is>
      </c>
      <c r="C3" t="inlineStr">
        <is>
          <t>common</t>
        </is>
      </c>
      <c r="D3" t="inlineStr">
        <is>
          <t>success</t>
        </is>
      </c>
      <c r="E3" t="n">
        <v>7157810</v>
      </c>
      <c r="F3" t="n">
        <v>12740800</v>
      </c>
      <c r="G3" t="n">
        <v>4690346</v>
      </c>
      <c r="H3" t="n">
        <v>5741755</v>
      </c>
      <c r="I3" t="n">
        <v>10.074643</v>
      </c>
      <c r="J3" t="n">
        <v>21.8392</v>
      </c>
      <c r="K3" t="n">
        <v>7.44782</v>
      </c>
      <c r="L3" t="n">
        <v>7.86324</v>
      </c>
      <c r="M3" t="n">
        <v>-451335.1875</v>
      </c>
      <c r="N3" t="n">
        <v>-1339800</v>
      </c>
      <c r="O3" t="n">
        <v>-648431</v>
      </c>
      <c r="P3" t="n">
        <v>-839897</v>
      </c>
      <c r="Q3" t="n">
        <v>3410</v>
      </c>
      <c r="R3" t="n">
        <v>289.217896</v>
      </c>
      <c r="S3" t="n">
        <v>0</v>
      </c>
      <c r="T3" t="n">
        <v>67.999512</v>
      </c>
      <c r="U3" t="n">
        <v>69.93631000000001</v>
      </c>
      <c r="V3" t="n">
        <v>10208734</v>
      </c>
      <c r="W3" t="n">
        <v>16.202309</v>
      </c>
      <c r="X3" t="n">
        <v>239.590027</v>
      </c>
      <c r="Y3" t="n">
        <v>5837.75</v>
      </c>
      <c r="Z3" t="n">
        <v>834.72</v>
      </c>
      <c r="AA3" t="n">
        <v>1682.2</v>
      </c>
      <c r="AB3" t="n">
        <v>3201.91</v>
      </c>
      <c r="AC3" t="n">
        <v>270.54</v>
      </c>
      <c r="AD3" t="n">
        <v>6359.44</v>
      </c>
      <c r="AE3" t="n">
        <v>-1</v>
      </c>
      <c r="AF3" t="n">
        <v>31072</v>
      </c>
      <c r="AG3" t="n">
        <v>630079</v>
      </c>
      <c r="AH3" t="n">
        <v/>
      </c>
    </row>
    <row r="4">
      <c r="A4" t="inlineStr">
        <is>
          <t>stratixiv_arch.timing.xml</t>
        </is>
      </c>
      <c r="B4" t="inlineStr">
        <is>
          <t>SLAM_spheric_stratixiv_arch_timing.blif</t>
        </is>
      </c>
      <c r="C4" t="inlineStr">
        <is>
          <t>common</t>
        </is>
      </c>
      <c r="D4" t="inlineStr">
        <is>
          <t>success</t>
        </is>
      </c>
      <c r="E4" t="n">
        <v>916507</v>
      </c>
      <c r="F4" t="n">
        <v>2829460</v>
      </c>
      <c r="G4" t="n">
        <v>1121030</v>
      </c>
      <c r="H4" t="n">
        <v>1461994</v>
      </c>
      <c r="I4" t="n">
        <v>105.680069</v>
      </c>
      <c r="J4" t="n">
        <v>90.5446</v>
      </c>
      <c r="K4" t="n">
        <v>83.7561</v>
      </c>
      <c r="L4" t="n">
        <v>74.0033</v>
      </c>
      <c r="M4" t="n">
        <v>-325064.75</v>
      </c>
      <c r="N4" t="n">
        <v>-540355</v>
      </c>
      <c r="O4" t="n">
        <v>-400527</v>
      </c>
      <c r="P4" t="n">
        <v>-401258</v>
      </c>
      <c r="Q4" t="n">
        <v>455</v>
      </c>
      <c r="R4" t="n">
        <v>1092.270386</v>
      </c>
      <c r="S4" t="n">
        <v>0</v>
      </c>
      <c r="T4" t="n">
        <v>65.434082</v>
      </c>
      <c r="U4" t="n">
        <v>70.14656100000001</v>
      </c>
      <c r="V4" t="n">
        <v>1600912.5</v>
      </c>
      <c r="W4" t="n">
        <v>14.376785</v>
      </c>
      <c r="X4" t="n">
        <v>102.002831</v>
      </c>
      <c r="Y4" t="n">
        <v>797.79</v>
      </c>
      <c r="Z4" t="n">
        <v>148.67</v>
      </c>
      <c r="AA4" t="n">
        <v>354.29</v>
      </c>
      <c r="AB4" t="n">
        <v>274.84</v>
      </c>
      <c r="AC4" t="n">
        <v>96.15000000000001</v>
      </c>
      <c r="AD4" t="n">
        <v>951.22</v>
      </c>
      <c r="AE4" t="n">
        <v>-1</v>
      </c>
      <c r="AF4" t="n">
        <v>5704</v>
      </c>
      <c r="AG4" t="n">
        <v>111354</v>
      </c>
      <c r="AH4" t="n">
        <v/>
      </c>
    </row>
    <row r="5">
      <c r="A5" t="inlineStr">
        <is>
          <t>stratixiv_arch.timing.xml</t>
        </is>
      </c>
      <c r="B5" t="inlineStr">
        <is>
          <t>bitcoin_miner_stratixiv_arch_timing.blif</t>
        </is>
      </c>
      <c r="C5" t="inlineStr">
        <is>
          <t>common</t>
        </is>
      </c>
      <c r="D5" t="inlineStr">
        <is>
          <t>success</t>
        </is>
      </c>
      <c r="E5" t="n">
        <v>10747600</v>
      </c>
      <c r="F5" t="n">
        <v>30275900</v>
      </c>
      <c r="G5" t="n">
        <v>8056640</v>
      </c>
      <c r="H5" t="n">
        <v>9420741</v>
      </c>
      <c r="I5" t="n">
        <v>13.464309</v>
      </c>
      <c r="J5" t="n">
        <v>16.5092</v>
      </c>
      <c r="K5" t="n">
        <v>6.75719</v>
      </c>
      <c r="L5" t="n">
        <v>7.44269</v>
      </c>
      <c r="M5" t="n">
        <v>-1320320.125</v>
      </c>
      <c r="N5" t="n">
        <v>-1500800</v>
      </c>
      <c r="O5" t="n">
        <v>-951217</v>
      </c>
      <c r="P5" t="n">
        <v>-1276420</v>
      </c>
      <c r="Q5" t="n">
        <v>11309</v>
      </c>
      <c r="R5" t="n">
        <v>482.368469</v>
      </c>
      <c r="S5" t="n">
        <v>0</v>
      </c>
      <c r="T5" t="n">
        <v>73.30993700000001</v>
      </c>
      <c r="U5" t="n">
        <v>83.08049</v>
      </c>
      <c r="V5" t="n">
        <v>26048590</v>
      </c>
      <c r="W5" t="n">
        <v>23.951912</v>
      </c>
      <c r="X5" t="n">
        <v>307.029297</v>
      </c>
      <c r="Y5" t="n">
        <v>11270.43</v>
      </c>
      <c r="Z5" t="n">
        <v>907.21</v>
      </c>
      <c r="AA5" t="n">
        <v>4320.42</v>
      </c>
      <c r="AB5" t="n">
        <v>5899.72</v>
      </c>
      <c r="AC5" t="n">
        <v>2747.77</v>
      </c>
      <c r="AD5" t="n">
        <v>14295.18</v>
      </c>
      <c r="AE5" t="n">
        <v>-1</v>
      </c>
      <c r="AF5" t="n">
        <v>30847</v>
      </c>
      <c r="AG5" t="n">
        <v>1087537</v>
      </c>
      <c r="AH5" t="n">
        <v/>
      </c>
    </row>
    <row r="6">
      <c r="A6" t="inlineStr">
        <is>
          <t>stratixiv_arch.timing.xml</t>
        </is>
      </c>
      <c r="B6" t="inlineStr">
        <is>
          <t>bitonic_mesh_stratixiv_arch_timing.blif</t>
        </is>
      </c>
      <c r="C6" t="inlineStr">
        <is>
          <t>common</t>
        </is>
      </c>
      <c r="D6" t="inlineStr">
        <is>
          <t>success</t>
        </is>
      </c>
      <c r="E6" t="n">
        <v>4876880</v>
      </c>
      <c r="F6" t="n">
        <v>5495560</v>
      </c>
      <c r="G6" t="n">
        <v>2906962</v>
      </c>
      <c r="H6" t="n">
        <v>3934998</v>
      </c>
      <c r="I6" t="n">
        <v>12.066669</v>
      </c>
      <c r="J6" t="n">
        <v>16.9721</v>
      </c>
      <c r="K6" t="n">
        <v>11.297</v>
      </c>
      <c r="L6" t="n">
        <v>11.0031</v>
      </c>
      <c r="M6" t="n">
        <v>-1031684.9375</v>
      </c>
      <c r="N6" t="n">
        <v>-2094880</v>
      </c>
      <c r="O6" t="n">
        <v>-1649770</v>
      </c>
      <c r="P6" t="n">
        <v>-1868940</v>
      </c>
      <c r="Q6" t="n">
        <v>432</v>
      </c>
      <c r="R6" t="n">
        <v>84.49305699999999</v>
      </c>
      <c r="S6" t="n">
        <v>0</v>
      </c>
      <c r="T6" t="n">
        <v>85.034142</v>
      </c>
      <c r="U6" t="n">
        <v>67.911255</v>
      </c>
      <c r="V6" t="n">
        <v>1441696.5</v>
      </c>
      <c r="W6" t="n">
        <v>7.5582</v>
      </c>
      <c r="X6" t="n">
        <v>195.11676</v>
      </c>
      <c r="Y6" t="n">
        <v>1470.89</v>
      </c>
      <c r="Z6" t="n">
        <v>280.97</v>
      </c>
      <c r="AA6" t="n">
        <v>366.69</v>
      </c>
      <c r="AB6" t="n">
        <v>628.8</v>
      </c>
      <c r="AC6" t="n">
        <v>237.35</v>
      </c>
      <c r="AD6" t="n">
        <v>1979.99</v>
      </c>
      <c r="AE6" t="n">
        <v>-1</v>
      </c>
      <c r="AF6" t="n">
        <v>8506</v>
      </c>
      <c r="AG6" t="n">
        <v>190746</v>
      </c>
      <c r="AH6" t="n">
        <v/>
      </c>
    </row>
    <row r="7">
      <c r="A7" t="inlineStr">
        <is>
          <t>stratixiv_arch.timing.xml</t>
        </is>
      </c>
      <c r="B7" t="inlineStr">
        <is>
          <t>cholesky_bdti_stratixiv_arch_timing.blif</t>
        </is>
      </c>
      <c r="C7" t="inlineStr">
        <is>
          <t>common</t>
        </is>
      </c>
      <c r="D7" t="inlineStr">
        <is>
          <t>success</t>
        </is>
      </c>
      <c r="E7" t="n">
        <v>4314370</v>
      </c>
      <c r="F7" t="n">
        <v>2442370</v>
      </c>
      <c r="G7" t="n">
        <v>1634010</v>
      </c>
      <c r="H7" t="n">
        <v>2130182</v>
      </c>
      <c r="I7" t="n">
        <v>11.04652</v>
      </c>
      <c r="J7" t="n">
        <v>11.1882</v>
      </c>
      <c r="K7" t="n">
        <v>7.66269</v>
      </c>
      <c r="L7" t="n">
        <v>8.64903</v>
      </c>
      <c r="M7" t="n">
        <v>-291527.28125</v>
      </c>
      <c r="N7" t="n">
        <v>-765713</v>
      </c>
      <c r="O7" t="n">
        <v>-551786</v>
      </c>
      <c r="P7" t="n">
        <v>-760867</v>
      </c>
      <c r="Q7" t="n">
        <v>848</v>
      </c>
      <c r="R7" t="n">
        <v>104.1875</v>
      </c>
      <c r="S7" t="n">
        <v>0</v>
      </c>
      <c r="T7" t="n">
        <v>83.760338</v>
      </c>
      <c r="U7" t="n">
        <v>54.219151</v>
      </c>
      <c r="V7" t="n">
        <v>428257.03125</v>
      </c>
      <c r="W7" t="n">
        <v>1.676297</v>
      </c>
      <c r="X7" t="n">
        <v>119.839638</v>
      </c>
      <c r="Y7" t="n">
        <v>1174.82</v>
      </c>
      <c r="Z7" t="n">
        <v>223.47</v>
      </c>
      <c r="AA7" t="n">
        <v>309.98</v>
      </c>
      <c r="AB7" t="n">
        <v>548.4299999999999</v>
      </c>
      <c r="AC7" t="n">
        <v>152.18</v>
      </c>
      <c r="AD7" t="n">
        <v>1498.72</v>
      </c>
      <c r="AE7" t="n">
        <v>-1</v>
      </c>
      <c r="AF7" t="n">
        <v>11437</v>
      </c>
      <c r="AG7" t="n">
        <v>255478</v>
      </c>
      <c r="AH7" t="n">
        <v/>
      </c>
    </row>
    <row r="8">
      <c r="A8" t="inlineStr">
        <is>
          <t>stratixiv_arch.timing.xml</t>
        </is>
      </c>
      <c r="B8" t="inlineStr">
        <is>
          <t>cholesky_mc_stratixiv_arch_timing.blif</t>
        </is>
      </c>
      <c r="C8" t="inlineStr">
        <is>
          <t>common</t>
        </is>
      </c>
      <c r="D8" t="inlineStr">
        <is>
          <t>success</t>
        </is>
      </c>
      <c r="E8" t="n">
        <v>1487270</v>
      </c>
      <c r="F8" t="n">
        <v>1051880</v>
      </c>
      <c r="G8" t="n">
        <v>734665</v>
      </c>
      <c r="H8" t="n">
        <v>1033203</v>
      </c>
      <c r="I8" t="n">
        <v>7.522229</v>
      </c>
      <c r="J8" t="n">
        <v>9.209149999999999</v>
      </c>
      <c r="K8" t="n">
        <v>6.49458</v>
      </c>
      <c r="L8" t="n">
        <v>6.69678</v>
      </c>
      <c r="M8" t="n">
        <v>-111486.242188</v>
      </c>
      <c r="N8" t="n">
        <v>-273830</v>
      </c>
      <c r="O8" t="n">
        <v>-230616</v>
      </c>
      <c r="P8" t="n">
        <v>-322849</v>
      </c>
      <c r="Q8" t="n">
        <v>329</v>
      </c>
      <c r="R8" t="n">
        <v>202.896652</v>
      </c>
      <c r="S8" t="n">
        <v>0</v>
      </c>
      <c r="T8" t="n">
        <v>74.201683</v>
      </c>
      <c r="U8" t="n">
        <v>59.054073</v>
      </c>
      <c r="V8" t="n">
        <v>296843.0625</v>
      </c>
      <c r="W8" t="n">
        <v>2.733563</v>
      </c>
      <c r="X8" t="n">
        <v>142.550598</v>
      </c>
      <c r="Y8" t="n">
        <v>417.38</v>
      </c>
      <c r="Z8" t="n">
        <v>95.95</v>
      </c>
      <c r="AA8" t="n">
        <v>130.73</v>
      </c>
      <c r="AB8" t="n">
        <v>153.32</v>
      </c>
      <c r="AC8" t="n">
        <v>69.89</v>
      </c>
      <c r="AD8" t="n">
        <v>569.77</v>
      </c>
      <c r="AE8" t="n">
        <v>-1</v>
      </c>
      <c r="AF8" t="n">
        <v>5165</v>
      </c>
      <c r="AG8" t="n">
        <v>108592</v>
      </c>
      <c r="AH8" t="n">
        <v/>
      </c>
    </row>
    <row r="9">
      <c r="A9" t="inlineStr">
        <is>
          <t>stratixiv_arch.timing.xml</t>
        </is>
      </c>
      <c r="B9" t="inlineStr">
        <is>
          <t>dart_stratixiv_arch_timing.blif</t>
        </is>
      </c>
      <c r="C9" t="inlineStr">
        <is>
          <t>common</t>
        </is>
      </c>
      <c r="D9" t="inlineStr">
        <is>
          <t>success</t>
        </is>
      </c>
      <c r="E9" t="n">
        <v>3053840</v>
      </c>
      <c r="F9" t="n">
        <v>2017640</v>
      </c>
      <c r="G9" t="n">
        <v>1438038</v>
      </c>
      <c r="H9" t="n">
        <v>1681803</v>
      </c>
      <c r="I9" t="n">
        <v>17.646811</v>
      </c>
      <c r="J9" t="n">
        <v>20.9553</v>
      </c>
      <c r="K9" t="n">
        <v>16.674</v>
      </c>
      <c r="L9" t="n">
        <v>17.4451</v>
      </c>
      <c r="M9" t="n">
        <v>-1334079.625</v>
      </c>
      <c r="N9" t="n">
        <v>-1986680</v>
      </c>
      <c r="O9" t="n">
        <v>-1671490</v>
      </c>
      <c r="P9" t="n">
        <v>-1881070</v>
      </c>
      <c r="Q9" t="n">
        <v>566</v>
      </c>
      <c r="R9" t="n">
        <v>41.74205</v>
      </c>
      <c r="S9" t="n">
        <v>0</v>
      </c>
      <c r="T9" t="n">
        <v>82.873604</v>
      </c>
      <c r="U9" t="n">
        <v>69.528313</v>
      </c>
      <c r="V9" t="n">
        <v>510304.78125</v>
      </c>
      <c r="W9" t="n">
        <v>2.521256</v>
      </c>
      <c r="X9" t="n">
        <v>131.000214</v>
      </c>
      <c r="Y9" t="n">
        <v>1010.92</v>
      </c>
      <c r="Z9" t="n">
        <v>217.1</v>
      </c>
      <c r="AA9" t="n">
        <v>374.58</v>
      </c>
      <c r="AB9" t="n">
        <v>375.57</v>
      </c>
      <c r="AC9" t="n">
        <v>78.63</v>
      </c>
      <c r="AD9" t="n">
        <v>1188.41</v>
      </c>
      <c r="AE9" t="n">
        <v>-1</v>
      </c>
      <c r="AF9" t="n">
        <v>8428</v>
      </c>
      <c r="AG9" t="n">
        <v>202401</v>
      </c>
      <c r="AH9" t="n">
        <v/>
      </c>
    </row>
    <row r="10">
      <c r="A10" t="inlineStr">
        <is>
          <t>stratixiv_arch.timing.xml</t>
        </is>
      </c>
      <c r="B10" t="inlineStr">
        <is>
          <t>denoise_stratixiv_arch_timing.blif</t>
        </is>
      </c>
      <c r="C10" t="inlineStr">
        <is>
          <t>common</t>
        </is>
      </c>
      <c r="D10" t="inlineStr">
        <is>
          <t>success</t>
        </is>
      </c>
      <c r="E10" t="n">
        <v>2117240</v>
      </c>
      <c r="F10" t="n">
        <v>9428660</v>
      </c>
      <c r="G10" t="n">
        <v>2152487</v>
      </c>
      <c r="H10" t="n">
        <v>2813318</v>
      </c>
      <c r="I10" t="n">
        <v>1197.858643</v>
      </c>
      <c r="J10" t="n">
        <v>1781.67</v>
      </c>
      <c r="K10" t="n">
        <v>940.373</v>
      </c>
      <c r="L10" t="n">
        <v>844.081</v>
      </c>
      <c r="M10" t="n">
        <v>-725975.375</v>
      </c>
      <c r="N10" t="n">
        <v>-1740960</v>
      </c>
      <c r="O10" t="n">
        <v>-958498</v>
      </c>
      <c r="P10" t="n">
        <v>-1093450</v>
      </c>
      <c r="Q10" t="n">
        <v>1929</v>
      </c>
      <c r="R10" t="n">
        <v>858.602905</v>
      </c>
      <c r="S10" t="n">
        <v>0</v>
      </c>
      <c r="T10" t="n">
        <v>48.506336</v>
      </c>
      <c r="U10" t="n">
        <v>81.732697</v>
      </c>
      <c r="V10" t="n">
        <v>6756484</v>
      </c>
      <c r="W10" t="n">
        <v>24.588167</v>
      </c>
      <c r="X10" t="n">
        <v>149.081451</v>
      </c>
      <c r="Y10" t="n">
        <v>2745.61</v>
      </c>
      <c r="Z10" t="n">
        <v>329.02</v>
      </c>
      <c r="AA10" t="n">
        <v>786.3099999999999</v>
      </c>
      <c r="AB10" t="n">
        <v>1574.9</v>
      </c>
      <c r="AC10" t="n">
        <v>189.75</v>
      </c>
      <c r="AD10" t="n">
        <v>3061.38</v>
      </c>
      <c r="AE10" t="n">
        <v>-1</v>
      </c>
      <c r="AF10" t="n">
        <v>13976</v>
      </c>
      <c r="AG10" t="n">
        <v>274786</v>
      </c>
      <c r="AH10" t="n">
        <v/>
      </c>
    </row>
    <row r="11">
      <c r="A11" t="inlineStr">
        <is>
          <t>stratixiv_arch.timing.xml</t>
        </is>
      </c>
      <c r="B11" t="inlineStr">
        <is>
          <t>des90_stratixiv_arch_timing.blif</t>
        </is>
      </c>
      <c r="C11" t="inlineStr">
        <is>
          <t>common</t>
        </is>
      </c>
      <c r="D11" t="inlineStr">
        <is>
          <t>success</t>
        </is>
      </c>
      <c r="E11" t="n">
        <v>1934250</v>
      </c>
      <c r="F11" t="n">
        <v>2362110</v>
      </c>
      <c r="G11" t="n">
        <v>1349836</v>
      </c>
      <c r="H11" t="n">
        <v>1949032</v>
      </c>
      <c r="I11" t="n">
        <v>11.606024</v>
      </c>
      <c r="J11" t="n">
        <v>14.836</v>
      </c>
      <c r="K11" t="n">
        <v>10.6178</v>
      </c>
      <c r="L11" t="n">
        <v>10.7652</v>
      </c>
      <c r="M11" t="n">
        <v>-530242.8125</v>
      </c>
      <c r="N11" t="n">
        <v>-1035250</v>
      </c>
      <c r="O11" t="n">
        <v>-835570</v>
      </c>
      <c r="P11" t="n">
        <v>-907305</v>
      </c>
      <c r="Q11" t="n">
        <v>500</v>
      </c>
      <c r="R11" t="n">
        <v>98.853996</v>
      </c>
      <c r="S11" t="n">
        <v>0</v>
      </c>
      <c r="T11" t="n">
        <v>79.366158</v>
      </c>
      <c r="U11" t="n">
        <v>64.035858</v>
      </c>
      <c r="V11" t="n">
        <v>594617.1875</v>
      </c>
      <c r="W11" t="n">
        <v>5.378766</v>
      </c>
      <c r="X11" t="n">
        <v>131.057556</v>
      </c>
      <c r="Y11" t="n">
        <v>726.04</v>
      </c>
      <c r="Z11" t="n">
        <v>171.37</v>
      </c>
      <c r="AA11" t="n">
        <v>215.51</v>
      </c>
      <c r="AB11" t="n">
        <v>253.78</v>
      </c>
      <c r="AC11" t="n">
        <v>121.28</v>
      </c>
      <c r="AD11" t="n">
        <v>1005.24</v>
      </c>
      <c r="AE11" t="n">
        <v>-1</v>
      </c>
      <c r="AF11" t="n">
        <v>4832</v>
      </c>
      <c r="AG11" t="n">
        <v>110549</v>
      </c>
      <c r="AH11" t="n">
        <v/>
      </c>
    </row>
    <row r="12">
      <c r="A12" t="inlineStr">
        <is>
          <t>stratixiv_arch.timing.xml</t>
        </is>
      </c>
      <c r="B12" t="inlineStr">
        <is>
          <t>directrf_stratixiv_arch_timing.blif</t>
        </is>
      </c>
      <c r="C12" t="inlineStr">
        <is>
          <t>common</t>
        </is>
      </c>
      <c r="D12" t="inlineStr">
        <is>
          <t>success</t>
        </is>
      </c>
      <c r="E12" t="n">
        <v>20760100</v>
      </c>
      <c r="F12" t="n">
        <v>31910100</v>
      </c>
      <c r="G12" t="n">
        <v>8825063</v>
      </c>
      <c r="H12" t="n">
        <v>9666743</v>
      </c>
      <c r="I12" t="n">
        <v>10.872788</v>
      </c>
      <c r="J12" t="n">
        <v>30.4877</v>
      </c>
      <c r="K12" t="n">
        <v>10.3501</v>
      </c>
      <c r="L12" t="n">
        <v>10.7972</v>
      </c>
      <c r="M12" t="n">
        <v>-410855.03125</v>
      </c>
      <c r="N12" t="n">
        <v>-2537380</v>
      </c>
      <c r="O12" t="n">
        <v>-1731710</v>
      </c>
      <c r="P12" t="n">
        <v>-2147490</v>
      </c>
      <c r="Q12" t="n">
        <v>21378</v>
      </c>
      <c r="R12" t="n">
        <v>75.34427599999999</v>
      </c>
      <c r="S12" t="n">
        <v>0</v>
      </c>
      <c r="T12" t="n">
        <v>50.105442</v>
      </c>
      <c r="U12" t="n">
        <v>88.59116400000001</v>
      </c>
      <c r="V12" t="n">
        <v>26149618</v>
      </c>
      <c r="W12" t="n">
        <v>28.087999</v>
      </c>
      <c r="X12" t="n">
        <v>428</v>
      </c>
      <c r="Y12" t="n">
        <v>12888.79</v>
      </c>
      <c r="Z12" t="n">
        <v>745.46</v>
      </c>
      <c r="AA12" t="n">
        <v>3391.53</v>
      </c>
      <c r="AB12" t="n">
        <v>8514.43</v>
      </c>
      <c r="AC12" t="n">
        <v>460.42</v>
      </c>
      <c r="AD12" t="n">
        <v>13781.45</v>
      </c>
      <c r="AE12" t="n">
        <v>-1</v>
      </c>
      <c r="AF12" t="n">
        <v>58813</v>
      </c>
      <c r="AG12" t="n">
        <v>930989</v>
      </c>
      <c r="AH12" t="n">
        <v/>
      </c>
    </row>
    <row r="13">
      <c r="A13" t="inlineStr">
        <is>
          <t>stratixiv_arch.timing.xml</t>
        </is>
      </c>
      <c r="B13" t="inlineStr">
        <is>
          <t>gsm_switch_stratixiv_arch_timing.blif</t>
        </is>
      </c>
      <c r="C13" t="inlineStr">
        <is>
          <t>common</t>
        </is>
      </c>
      <c r="D13" t="inlineStr">
        <is>
          <t>success</t>
        </is>
      </c>
      <c r="E13" t="n">
        <v>10068900</v>
      </c>
      <c r="F13" t="n">
        <v>10343600</v>
      </c>
      <c r="G13" t="n">
        <v>4256633</v>
      </c>
      <c r="H13" t="n">
        <v>5026223</v>
      </c>
      <c r="I13" t="n">
        <v>11.801095</v>
      </c>
      <c r="J13" t="n">
        <v>18.6786</v>
      </c>
      <c r="K13" t="n">
        <v>9.53321</v>
      </c>
      <c r="L13" t="n">
        <v>9.78135</v>
      </c>
      <c r="M13" t="n">
        <v>-1142162</v>
      </c>
      <c r="N13" t="n">
        <v>-2228510</v>
      </c>
      <c r="O13" t="n">
        <v>-1236230</v>
      </c>
      <c r="P13" t="n">
        <v>-1564660</v>
      </c>
      <c r="Q13" t="n">
        <v>87</v>
      </c>
      <c r="R13" t="n">
        <v>13.965517</v>
      </c>
      <c r="S13" t="n">
        <v>0</v>
      </c>
      <c r="T13" t="n">
        <v>56.839565</v>
      </c>
      <c r="U13" t="n">
        <v>46.139313</v>
      </c>
      <c r="V13" t="n">
        <v>5018652.5</v>
      </c>
      <c r="W13" t="n">
        <v>10.240726</v>
      </c>
      <c r="X13" t="n">
        <v>259.000183</v>
      </c>
      <c r="Y13" t="n">
        <v>3276</v>
      </c>
      <c r="Z13" t="n">
        <v>516.9400000000001</v>
      </c>
      <c r="AA13" t="n">
        <v>631.3099999999999</v>
      </c>
      <c r="AB13" t="n">
        <v>1933.13</v>
      </c>
      <c r="AC13" t="n">
        <v>172.84</v>
      </c>
      <c r="AD13" t="n">
        <v>3759.12</v>
      </c>
      <c r="AE13" t="n">
        <v>-1</v>
      </c>
      <c r="AF13" t="n">
        <v>34048</v>
      </c>
      <c r="AG13" t="n">
        <v>490068</v>
      </c>
      <c r="AH13" t="n">
        <v/>
      </c>
    </row>
    <row r="14">
      <c r="A14" t="inlineStr">
        <is>
          <t>stratixiv_arch.timing.xml</t>
        </is>
      </c>
      <c r="B14" t="inlineStr">
        <is>
          <t>mes_noc_stratixiv_arch_timing.blif</t>
        </is>
      </c>
      <c r="C14" t="inlineStr">
        <is>
          <t>common</t>
        </is>
      </c>
      <c r="D14" t="inlineStr">
        <is>
          <t>success</t>
        </is>
      </c>
      <c r="E14" t="n">
        <v>7606560</v>
      </c>
      <c r="F14" t="n">
        <v>4774600</v>
      </c>
      <c r="G14" t="n">
        <v>3449775</v>
      </c>
      <c r="H14" t="n">
        <v>4336699</v>
      </c>
      <c r="I14" t="n">
        <v>13.119289</v>
      </c>
      <c r="J14" t="n">
        <v>11.8553</v>
      </c>
      <c r="K14" t="n">
        <v>9.05031</v>
      </c>
      <c r="L14" t="n">
        <v>9.45453</v>
      </c>
      <c r="M14" t="n">
        <v>-3100927.25</v>
      </c>
      <c r="N14" t="n">
        <v>-4040810</v>
      </c>
      <c r="O14" t="n">
        <v>-3177690</v>
      </c>
      <c r="P14" t="n">
        <v>-3444590</v>
      </c>
      <c r="Q14" t="n">
        <v>1751</v>
      </c>
      <c r="R14" t="n">
        <v>55.982868</v>
      </c>
      <c r="S14" t="n">
        <v>0</v>
      </c>
      <c r="T14" t="n">
        <v>89.652664</v>
      </c>
      <c r="U14" t="n">
        <v>54.363476</v>
      </c>
      <c r="V14" t="n">
        <v>776867.1875</v>
      </c>
      <c r="W14" t="n">
        <v>1.418759</v>
      </c>
      <c r="X14" t="n">
        <v>80.519234</v>
      </c>
      <c r="Y14" t="n">
        <v>4506.89</v>
      </c>
      <c r="Z14" t="n">
        <v>793.5599999999999</v>
      </c>
      <c r="AA14" t="n">
        <v>1381.75</v>
      </c>
      <c r="AB14" t="n">
        <v>2214.92</v>
      </c>
      <c r="AC14" t="n">
        <v>262.88</v>
      </c>
      <c r="AD14" t="n">
        <v>5014.57</v>
      </c>
      <c r="AE14" t="n">
        <v>-1</v>
      </c>
      <c r="AF14" t="n">
        <v>25271</v>
      </c>
      <c r="AG14" t="n">
        <v>547568</v>
      </c>
      <c r="AH14" t="n">
        <v/>
      </c>
    </row>
    <row r="15">
      <c r="A15" t="inlineStr">
        <is>
          <t>stratixiv_arch.timing.xml</t>
        </is>
      </c>
      <c r="B15" t="inlineStr">
        <is>
          <t>minres_stratixiv_arch_timing.blif</t>
        </is>
      </c>
      <c r="C15" t="inlineStr">
        <is>
          <t>common</t>
        </is>
      </c>
      <c r="D15" t="inlineStr">
        <is>
          <t>success</t>
        </is>
      </c>
      <c r="E15" t="n">
        <v>3322140</v>
      </c>
      <c r="F15" t="n">
        <v>4616920</v>
      </c>
      <c r="G15" t="n">
        <v>1951742</v>
      </c>
      <c r="H15" t="n">
        <v>2575346</v>
      </c>
      <c r="I15" t="n">
        <v>7.390932</v>
      </c>
      <c r="J15" t="n">
        <v>13.868</v>
      </c>
      <c r="K15" t="n">
        <v>8.358829999999999</v>
      </c>
      <c r="L15" t="n">
        <v>8.881919999999999</v>
      </c>
      <c r="M15" t="n">
        <v>-217550.46875</v>
      </c>
      <c r="N15" t="n">
        <v>-555939</v>
      </c>
      <c r="O15" t="n">
        <v>-350530</v>
      </c>
      <c r="P15" t="n">
        <v>-502766</v>
      </c>
      <c r="Q15" t="n">
        <v>1484</v>
      </c>
      <c r="R15" t="n">
        <v>54.264824</v>
      </c>
      <c r="S15" t="n">
        <v>0</v>
      </c>
      <c r="T15" t="n">
        <v>88.59446699999999</v>
      </c>
      <c r="U15" t="n">
        <v>54.296646</v>
      </c>
      <c r="V15" t="n">
        <v>1661011.375</v>
      </c>
      <c r="W15" t="n">
        <v>6.451031</v>
      </c>
      <c r="X15" t="n">
        <v>330.500519</v>
      </c>
      <c r="Y15" t="n">
        <v>1329.17</v>
      </c>
      <c r="Z15" t="n">
        <v>298.84</v>
      </c>
      <c r="AA15" t="n">
        <v>360.91</v>
      </c>
      <c r="AB15" t="n">
        <v>579.71</v>
      </c>
      <c r="AC15" t="n">
        <v>117.94</v>
      </c>
      <c r="AD15" t="n">
        <v>1623.52</v>
      </c>
      <c r="AE15" t="n">
        <v>-1</v>
      </c>
      <c r="AF15" t="n">
        <v>8629</v>
      </c>
      <c r="AG15" t="n">
        <v>257480</v>
      </c>
      <c r="AH15" t="n">
        <v/>
      </c>
    </row>
    <row r="16">
      <c r="A16" t="inlineStr">
        <is>
          <t>stratixiv_arch.timing.xml</t>
        </is>
      </c>
      <c r="B16" t="inlineStr">
        <is>
          <t>neuron_stratixiv_arch_timing.blif</t>
        </is>
      </c>
      <c r="C16" t="inlineStr">
        <is>
          <t>common</t>
        </is>
      </c>
      <c r="D16" t="inlineStr">
        <is>
          <t>success</t>
        </is>
      </c>
      <c r="E16" t="n">
        <v>982765</v>
      </c>
      <c r="F16" t="n">
        <v>825223</v>
      </c>
      <c r="G16" t="n">
        <v>535974</v>
      </c>
      <c r="H16" t="n">
        <v>697801</v>
      </c>
      <c r="I16" t="n">
        <v>7.515464</v>
      </c>
      <c r="J16" t="n">
        <v>9.91282</v>
      </c>
      <c r="K16" t="n">
        <v>8.352169999999999</v>
      </c>
      <c r="L16" t="n">
        <v>8.454269999999999</v>
      </c>
      <c r="M16" t="n">
        <v>-43374.511719</v>
      </c>
      <c r="N16" t="n">
        <v>-147299</v>
      </c>
      <c r="O16" t="n">
        <v>-80374.5</v>
      </c>
      <c r="P16" t="n">
        <v>-108908</v>
      </c>
      <c r="Q16" t="n">
        <v>377</v>
      </c>
      <c r="R16" t="n">
        <v>77.53846</v>
      </c>
      <c r="S16" t="n">
        <v>0</v>
      </c>
      <c r="T16" t="n">
        <v>86.808403</v>
      </c>
      <c r="U16" t="n">
        <v>52.212948</v>
      </c>
      <c r="V16" t="n">
        <v>138954.40625</v>
      </c>
      <c r="W16" t="n">
        <v>1.599475</v>
      </c>
      <c r="X16" t="n">
        <v>155.000198</v>
      </c>
      <c r="Y16" t="n">
        <v>359.28</v>
      </c>
      <c r="Z16" t="n">
        <v>72.14</v>
      </c>
      <c r="AA16" t="n">
        <v>169.95</v>
      </c>
      <c r="AB16" t="n">
        <v>82.02</v>
      </c>
      <c r="AC16" t="n">
        <v>34.94</v>
      </c>
      <c r="AD16" t="n">
        <v>475.2</v>
      </c>
      <c r="AE16" t="n">
        <v>-1</v>
      </c>
      <c r="AF16" t="n">
        <v>3602</v>
      </c>
      <c r="AG16" t="n">
        <v>86875</v>
      </c>
      <c r="AH16" t="n">
        <v/>
      </c>
    </row>
    <row r="17">
      <c r="A17" t="inlineStr">
        <is>
          <t>stratixiv_arch.timing.xml</t>
        </is>
      </c>
      <c r="B17" t="inlineStr">
        <is>
          <t>openCV_stratixiv_arch_timing.blif</t>
        </is>
      </c>
      <c r="C17" t="inlineStr">
        <is>
          <t>common</t>
        </is>
      </c>
      <c r="D17" t="inlineStr">
        <is>
          <t>success</t>
        </is>
      </c>
      <c r="E17" t="n">
        <v>3760040</v>
      </c>
      <c r="F17" t="n">
        <v>4077880</v>
      </c>
      <c r="G17" t="n">
        <v>2465759</v>
      </c>
      <c r="H17" t="n">
        <v>3100601</v>
      </c>
      <c r="I17" t="n">
        <v>17.145447</v>
      </c>
      <c r="J17" t="n">
        <v>16.9626</v>
      </c>
      <c r="K17" t="n">
        <v>10.9577</v>
      </c>
      <c r="L17" t="n">
        <v>11.1647</v>
      </c>
      <c r="M17" t="n">
        <v>-707942</v>
      </c>
      <c r="N17" t="n">
        <v>-856665</v>
      </c>
      <c r="O17" t="n">
        <v>-641400</v>
      </c>
      <c r="P17" t="n">
        <v>-824385</v>
      </c>
      <c r="Q17" t="n">
        <v>1662</v>
      </c>
      <c r="R17" t="n">
        <v>132.016251</v>
      </c>
      <c r="S17" t="n">
        <v>0</v>
      </c>
      <c r="T17" t="n">
        <v>79.213196</v>
      </c>
      <c r="U17" t="n">
        <v>59.403347</v>
      </c>
      <c r="V17" t="n">
        <v>728303.0625</v>
      </c>
      <c r="W17" t="n">
        <v>3.42647</v>
      </c>
      <c r="X17" t="n">
        <v>220</v>
      </c>
      <c r="Y17" t="n">
        <v>1385.96</v>
      </c>
      <c r="Z17" t="n">
        <v>239.61</v>
      </c>
      <c r="AA17" t="n">
        <v>623.76</v>
      </c>
      <c r="AB17" t="n">
        <v>426.43</v>
      </c>
      <c r="AC17" t="n">
        <v>160.26</v>
      </c>
      <c r="AD17" t="n">
        <v>1726.71</v>
      </c>
      <c r="AE17" t="n">
        <v>-1</v>
      </c>
      <c r="AF17" t="n">
        <v>8525</v>
      </c>
      <c r="AG17" t="n">
        <v>212552</v>
      </c>
      <c r="AH17" t="n">
        <v/>
      </c>
    </row>
    <row r="18">
      <c r="A18" t="inlineStr">
        <is>
          <t>stratixiv_arch.timing.xml</t>
        </is>
      </c>
      <c r="B18" t="inlineStr">
        <is>
          <t>segmentation_stratixiv_arch_timing.blif</t>
        </is>
      </c>
      <c r="C18" t="inlineStr">
        <is>
          <t>common</t>
        </is>
      </c>
      <c r="D18" t="inlineStr">
        <is>
          <t>success</t>
        </is>
      </c>
      <c r="E18" t="n">
        <v>1697550</v>
      </c>
      <c r="F18" t="n">
        <v>1721570</v>
      </c>
      <c r="G18" t="n">
        <v>1148726</v>
      </c>
      <c r="H18" t="n">
        <v>1510453</v>
      </c>
      <c r="I18" t="n">
        <v>1259.764526</v>
      </c>
      <c r="J18" t="n">
        <v>971.909</v>
      </c>
      <c r="K18" t="n">
        <v>902.3630000000001</v>
      </c>
      <c r="L18" t="n">
        <v>800.144</v>
      </c>
      <c r="M18" t="n">
        <v>-388662.4375</v>
      </c>
      <c r="N18" t="n">
        <v>-486656</v>
      </c>
      <c r="O18" t="n">
        <v>-422913</v>
      </c>
      <c r="P18" t="n">
        <v>-487420</v>
      </c>
      <c r="Q18" t="n">
        <v>1951</v>
      </c>
      <c r="R18" t="n">
        <v>77.6735</v>
      </c>
      <c r="S18" t="n">
        <v>0</v>
      </c>
      <c r="T18" t="n">
        <v>72.59401699999999</v>
      </c>
      <c r="U18" t="n">
        <v>62.83519</v>
      </c>
      <c r="V18" t="n">
        <v>380255.40625</v>
      </c>
      <c r="W18" t="n">
        <v>2.758832</v>
      </c>
      <c r="X18" t="n">
        <v>135.140198</v>
      </c>
      <c r="Y18" t="n">
        <v>772.83</v>
      </c>
      <c r="Z18" t="n">
        <v>156.13</v>
      </c>
      <c r="AA18" t="n">
        <v>183.96</v>
      </c>
      <c r="AB18" t="n">
        <v>384.86</v>
      </c>
      <c r="AC18" t="n">
        <v>98.97</v>
      </c>
      <c r="AD18" t="n">
        <v>969.66</v>
      </c>
      <c r="AE18" t="n">
        <v>-1</v>
      </c>
      <c r="AF18" t="n">
        <v>7380</v>
      </c>
      <c r="AG18" t="n">
        <v>137832</v>
      </c>
      <c r="AH18" t="n">
        <v/>
      </c>
    </row>
    <row r="19">
      <c r="A19" t="inlineStr">
        <is>
          <t>stratixiv_arch.timing.xml</t>
        </is>
      </c>
      <c r="B19" t="inlineStr">
        <is>
          <t>sparcT1_chip2_stratixiv_arch_timing.blif</t>
        </is>
      </c>
      <c r="C19" t="inlineStr">
        <is>
          <t>common</t>
        </is>
      </c>
      <c r="D19" t="inlineStr">
        <is>
          <t>success</t>
        </is>
      </c>
      <c r="E19" t="n">
        <v>11412100</v>
      </c>
      <c r="F19" t="n">
        <v>8251600</v>
      </c>
      <c r="G19" t="n">
        <v>4869049</v>
      </c>
      <c r="H19" t="n">
        <v>5851260</v>
      </c>
      <c r="I19" t="n">
        <v>21.084997</v>
      </c>
      <c r="J19" t="n">
        <v>28.2872</v>
      </c>
      <c r="K19" t="n">
        <v>19.126</v>
      </c>
      <c r="L19" t="n">
        <v>19.2888</v>
      </c>
      <c r="M19" t="n">
        <v>-4817509</v>
      </c>
      <c r="N19" t="n">
        <v>-6954920</v>
      </c>
      <c r="O19" t="n">
        <v>-4446740</v>
      </c>
      <c r="P19" t="n">
        <v>-4878850</v>
      </c>
      <c r="Q19" t="n">
        <v>231</v>
      </c>
      <c r="R19" t="n">
        <v>71.701302</v>
      </c>
      <c r="S19" t="n">
        <v>0</v>
      </c>
      <c r="T19" t="n">
        <v>84.15860000000001</v>
      </c>
      <c r="U19" t="n">
        <v>68.879631</v>
      </c>
      <c r="V19" t="n">
        <v>2310628.25</v>
      </c>
      <c r="W19" t="n">
        <v>3.038653</v>
      </c>
      <c r="X19" t="n">
        <v>466.000183</v>
      </c>
      <c r="Y19" t="n">
        <v>6975.54</v>
      </c>
      <c r="Z19" t="n">
        <v>811.76</v>
      </c>
      <c r="AA19" t="n">
        <v>2630.28</v>
      </c>
      <c r="AB19" t="n">
        <v>3316.56</v>
      </c>
      <c r="AC19" t="n">
        <v>270.42</v>
      </c>
      <c r="AD19" t="n">
        <v>7618.14</v>
      </c>
      <c r="AE19" t="n">
        <v>-1</v>
      </c>
      <c r="AF19" t="n">
        <v>40072</v>
      </c>
      <c r="AG19" t="n">
        <v>760412</v>
      </c>
      <c r="AH19" t="n">
        <v/>
      </c>
    </row>
    <row r="20">
      <c r="A20" t="inlineStr">
        <is>
          <t>stratixiv_arch.timing.xml</t>
        </is>
      </c>
      <c r="B20" t="inlineStr">
        <is>
          <t>sparcT1_core_stratixiv_arch_timing.blif</t>
        </is>
      </c>
      <c r="C20" t="inlineStr">
        <is>
          <t>common</t>
        </is>
      </c>
      <c r="D20" t="inlineStr">
        <is>
          <t>success</t>
        </is>
      </c>
      <c r="E20" t="n">
        <v>899756</v>
      </c>
      <c r="F20" t="n">
        <v>861008</v>
      </c>
      <c r="G20" t="n">
        <v>718549</v>
      </c>
      <c r="H20" t="n">
        <v>970560</v>
      </c>
      <c r="I20" t="n">
        <v>9.969393</v>
      </c>
      <c r="J20" t="n">
        <v>10.2573</v>
      </c>
      <c r="K20" t="n">
        <v>9.460850000000001</v>
      </c>
      <c r="L20" t="n">
        <v>9.5603</v>
      </c>
      <c r="M20" t="n">
        <v>-416219.03125</v>
      </c>
      <c r="N20" t="n">
        <v>-713493</v>
      </c>
      <c r="O20" t="n">
        <v>-581268</v>
      </c>
      <c r="P20" t="n">
        <v>-636937</v>
      </c>
      <c r="Q20" t="n">
        <v>31</v>
      </c>
      <c r="R20" t="n">
        <v>89.096771</v>
      </c>
      <c r="S20" t="n">
        <v>0</v>
      </c>
      <c r="T20" t="n">
        <v>83.032562</v>
      </c>
      <c r="U20" t="n">
        <v>53.789616</v>
      </c>
      <c r="V20" t="n">
        <v>171840.40625</v>
      </c>
      <c r="W20" t="n">
        <v>1.868338</v>
      </c>
      <c r="X20" t="n">
        <v>67.996353</v>
      </c>
      <c r="Y20" t="n">
        <v>478.16</v>
      </c>
      <c r="Z20" t="n">
        <v>91.94</v>
      </c>
      <c r="AA20" t="n">
        <v>242.54</v>
      </c>
      <c r="AB20" t="n">
        <v>126.21</v>
      </c>
      <c r="AC20" t="n">
        <v>53.11</v>
      </c>
      <c r="AD20" t="n">
        <v>583.09</v>
      </c>
      <c r="AE20" t="n">
        <v>-1</v>
      </c>
      <c r="AF20" t="n">
        <v>4383</v>
      </c>
      <c r="AG20" t="n">
        <v>91975</v>
      </c>
      <c r="AH20" t="n">
        <v/>
      </c>
    </row>
    <row r="21">
      <c r="A21" t="inlineStr">
        <is>
          <t>stratixiv_arch.timing.xml</t>
        </is>
      </c>
      <c r="B21" t="inlineStr">
        <is>
          <t>sparcT2_core_stratixiv_arch_timing.blif</t>
        </is>
      </c>
      <c r="C21" t="inlineStr">
        <is>
          <t>common</t>
        </is>
      </c>
      <c r="D21" t="inlineStr">
        <is>
          <t>success</t>
        </is>
      </c>
      <c r="E21" t="n">
        <v>3770200</v>
      </c>
      <c r="F21" t="n">
        <v>6638470</v>
      </c>
      <c r="G21" t="n">
        <v>3952965</v>
      </c>
      <c r="H21" t="n">
        <v>5031137</v>
      </c>
      <c r="I21" t="n">
        <v>12.925651</v>
      </c>
      <c r="J21" t="n">
        <v>19.6159</v>
      </c>
      <c r="K21" t="n">
        <v>11.5995</v>
      </c>
      <c r="L21" t="n">
        <v>11.7979</v>
      </c>
      <c r="M21" t="n">
        <v>-470858.34375</v>
      </c>
      <c r="N21" t="n">
        <v>-1109310</v>
      </c>
      <c r="O21" t="n">
        <v>-822161</v>
      </c>
      <c r="P21" t="n">
        <v>-1094610</v>
      </c>
      <c r="Q21" t="n">
        <v>929</v>
      </c>
      <c r="R21" t="n">
        <v>582.147461</v>
      </c>
      <c r="S21" t="n">
        <v>0</v>
      </c>
      <c r="T21" t="n">
        <v>95.53340900000001</v>
      </c>
      <c r="U21" t="n">
        <v>75.55959300000001</v>
      </c>
      <c r="V21" t="n">
        <v>3264886.5</v>
      </c>
      <c r="W21" t="n">
        <v>10.87498</v>
      </c>
      <c r="X21" t="n">
        <v>195.343079</v>
      </c>
      <c r="Y21" t="n">
        <v>6497.66</v>
      </c>
      <c r="Z21" t="n">
        <v>394.89</v>
      </c>
      <c r="AA21" t="n">
        <v>4904.67</v>
      </c>
      <c r="AB21" t="n">
        <v>1146.79</v>
      </c>
      <c r="AC21" t="n">
        <v>831.5</v>
      </c>
      <c r="AD21" t="n">
        <v>7450.88</v>
      </c>
      <c r="AE21" t="n">
        <v>-1</v>
      </c>
      <c r="AF21" t="n">
        <v>13649</v>
      </c>
      <c r="AG21" t="n">
        <v>300220</v>
      </c>
      <c r="AH21" t="n">
        <v/>
      </c>
    </row>
    <row r="22">
      <c r="A22" t="inlineStr">
        <is>
          <t>stratixiv_arch.timing.xml</t>
        </is>
      </c>
      <c r="B22" t="inlineStr">
        <is>
          <t>stap_qrd_stratixiv_arch_timing.blif</t>
        </is>
      </c>
      <c r="C22" t="inlineStr">
        <is>
          <t>common</t>
        </is>
      </c>
      <c r="D22" t="inlineStr">
        <is>
          <t>success</t>
        </is>
      </c>
      <c r="E22" t="n">
        <v>3213680</v>
      </c>
      <c r="F22" t="n">
        <v>2488830</v>
      </c>
      <c r="G22" t="n">
        <v>1598797</v>
      </c>
      <c r="H22" t="n">
        <v>1997219</v>
      </c>
      <c r="I22" t="n">
        <v>10.323868</v>
      </c>
      <c r="J22" t="n">
        <v>11.7772</v>
      </c>
      <c r="K22" t="n">
        <v>7.76216</v>
      </c>
      <c r="L22" t="n">
        <v>8.101139999999999</v>
      </c>
      <c r="M22" t="n">
        <v>-151970.765625</v>
      </c>
      <c r="N22" t="n">
        <v>-590168</v>
      </c>
      <c r="O22" t="n">
        <v>-458990</v>
      </c>
      <c r="P22" t="n">
        <v>-601487</v>
      </c>
      <c r="Q22" t="n">
        <v>756</v>
      </c>
      <c r="R22" t="n">
        <v>76.28042600000001</v>
      </c>
      <c r="S22" t="n">
        <v>0</v>
      </c>
      <c r="T22" t="n">
        <v>49.93491</v>
      </c>
      <c r="U22" t="n">
        <v>65.55255099999999</v>
      </c>
      <c r="V22" t="n">
        <v>1069221.125</v>
      </c>
      <c r="W22" t="n">
        <v>4.565867</v>
      </c>
      <c r="X22" t="n">
        <v>147.363739</v>
      </c>
      <c r="Y22" t="n">
        <v>1783.65</v>
      </c>
      <c r="Z22" t="n">
        <v>245.13</v>
      </c>
      <c r="AA22" t="n">
        <v>312.78</v>
      </c>
      <c r="AB22" t="n">
        <v>1124.38</v>
      </c>
      <c r="AC22" t="n">
        <v>96.09999999999999</v>
      </c>
      <c r="AD22" t="n">
        <v>2057.7</v>
      </c>
      <c r="AE22" t="n">
        <v>-1</v>
      </c>
      <c r="AF22" t="n">
        <v>19194</v>
      </c>
      <c r="AG22" t="n">
        <v>234177</v>
      </c>
      <c r="AH22" t="n">
        <v/>
      </c>
    </row>
    <row r="23">
      <c r="A23" t="inlineStr">
        <is>
          <t>stratixiv_arch.timing.xml</t>
        </is>
      </c>
      <c r="B23" t="inlineStr">
        <is>
          <t>stereo_vision_stratixiv_arch_timing.blif</t>
        </is>
      </c>
      <c r="C23" t="inlineStr">
        <is>
          <t>common</t>
        </is>
      </c>
      <c r="D23" t="inlineStr">
        <is>
          <t>success</t>
        </is>
      </c>
      <c r="E23" t="n">
        <v>689002</v>
      </c>
      <c r="F23" t="n">
        <v>700893</v>
      </c>
      <c r="G23" t="n">
        <v>493955</v>
      </c>
      <c r="H23" t="n">
        <v>563368</v>
      </c>
      <c r="I23" t="n">
        <v>9.65371</v>
      </c>
      <c r="J23" t="n">
        <v>8.787570000000001</v>
      </c>
      <c r="K23" t="n">
        <v>7.90981</v>
      </c>
      <c r="L23" t="n">
        <v>7.54629</v>
      </c>
      <c r="M23" t="n">
        <v>-61168.988281</v>
      </c>
      <c r="N23" t="n">
        <v>-71173.2</v>
      </c>
      <c r="O23" t="n">
        <v>-58376.5</v>
      </c>
      <c r="P23" t="n">
        <v>-68788.5</v>
      </c>
      <c r="Q23" t="n">
        <v>1327</v>
      </c>
      <c r="R23" t="n">
        <v>52.55991</v>
      </c>
      <c r="S23" t="n">
        <v>0</v>
      </c>
      <c r="T23" t="n">
        <v>81.429573</v>
      </c>
      <c r="U23" t="n">
        <v>44.975025</v>
      </c>
      <c r="V23" t="n">
        <v>162937.34375</v>
      </c>
      <c r="W23" t="n">
        <v>1.731718</v>
      </c>
      <c r="X23" t="n">
        <v>131.038834</v>
      </c>
      <c r="Y23" t="n">
        <v>234.89</v>
      </c>
      <c r="Z23" t="n">
        <v>62.41</v>
      </c>
      <c r="AA23" t="n">
        <v>72.73999999999999</v>
      </c>
      <c r="AB23" t="n">
        <v>61.81</v>
      </c>
      <c r="AC23" t="n">
        <v>26.73</v>
      </c>
      <c r="AD23" t="n">
        <v>341.64</v>
      </c>
      <c r="AE23" t="n">
        <v>-1</v>
      </c>
      <c r="AF23" t="n">
        <v>3583</v>
      </c>
      <c r="AG23" t="n">
        <v>94090</v>
      </c>
      <c r="AH23" t="n">
        <v/>
      </c>
    </row>
    <row r="24">
      <c r="A24" t="inlineStr">
        <is>
          <t>stratixiv_arch.timing.xml</t>
        </is>
      </c>
      <c r="B24" t="inlineStr">
        <is>
          <t>gaussianblur_stratixiv_arch_timing.blif</t>
        </is>
      </c>
      <c r="C24" t="inlineStr">
        <is>
          <t>common</t>
        </is>
      </c>
      <c r="D24" t="inlineStr">
        <is>
          <t>success</t>
        </is>
      </c>
      <c r="E24" t="n">
        <v>59077900</v>
      </c>
      <c r="F24" t="n">
        <v>42155000</v>
      </c>
      <c r="G24" t="n">
        <v>30540400</v>
      </c>
      <c r="H24" t="n">
        <v>23146006</v>
      </c>
      <c r="I24" t="n">
        <v>1221.680664</v>
      </c>
      <c r="J24" t="n">
        <v>978.972</v>
      </c>
      <c r="K24" t="n">
        <v>910.981</v>
      </c>
      <c r="L24" t="n">
        <v>808.261</v>
      </c>
      <c r="M24" t="n">
        <v>-58910884</v>
      </c>
      <c r="N24" t="n">
        <v>-91160900</v>
      </c>
      <c r="O24" t="n">
        <v>-78802700</v>
      </c>
      <c r="P24" t="n">
        <v>-99655600</v>
      </c>
      <c r="Q24" t="n">
        <v>727</v>
      </c>
      <c r="R24" t="n">
        <v>74.352135</v>
      </c>
      <c r="S24" t="n">
        <v>0</v>
      </c>
      <c r="T24" t="n">
        <v>93.65907300000001</v>
      </c>
      <c r="U24" t="n">
        <v>58.239151</v>
      </c>
      <c r="V24" t="n">
        <v>4370318.5</v>
      </c>
      <c r="W24" t="n">
        <v>2.35088</v>
      </c>
      <c r="X24" t="n">
        <v>133.989899</v>
      </c>
      <c r="Y24" t="n">
        <v>33595.8</v>
      </c>
      <c r="Z24" t="n">
        <v>2468.86</v>
      </c>
      <c r="AA24" t="n">
        <v>6451.12</v>
      </c>
      <c r="AB24" t="n">
        <v>24110.06</v>
      </c>
      <c r="AC24" t="n">
        <v>1249.52</v>
      </c>
      <c r="AD24" t="n">
        <v>35750.73</v>
      </c>
      <c r="AE24" t="n">
        <v>-1</v>
      </c>
      <c r="AF24" t="n">
        <v>108371</v>
      </c>
      <c r="AG24" t="n">
        <v>1859014</v>
      </c>
      <c r="AH24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stratixiv_arch.timing.xml</t>
        </is>
      </c>
      <c r="B2" t="inlineStr">
        <is>
          <t>LU230_stratixiv_arch_timing.blif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63994300</v>
      </c>
      <c r="G2" t="n">
        <v>15279694</v>
      </c>
      <c r="H2" t="n">
        <v>16160245</v>
      </c>
      <c r="I2" t="n">
        <v>-1</v>
      </c>
      <c r="J2" t="n">
        <v>64.99079999999999</v>
      </c>
      <c r="K2" t="n">
        <v>26.5788</v>
      </c>
      <c r="L2" t="n">
        <v>24.0673</v>
      </c>
      <c r="M2" t="n">
        <v>-1</v>
      </c>
      <c r="N2" t="n">
        <v>-4766050</v>
      </c>
      <c r="O2" t="n">
        <v>-3127390</v>
      </c>
      <c r="P2" t="n">
        <v>-5480430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569.55</v>
      </c>
      <c r="AD2" t="n">
        <v>5356.94</v>
      </c>
      <c r="AE2" t="n">
        <v>-1</v>
      </c>
      <c r="AF2" t="n">
        <v>16697</v>
      </c>
      <c r="AG2" t="n">
        <v>568001</v>
      </c>
      <c r="AH2" t="n">
        <v/>
      </c>
    </row>
    <row r="3">
      <c r="A3" t="inlineStr">
        <is>
          <t>stratixiv_arch.timing.xml</t>
        </is>
      </c>
      <c r="B3" t="inlineStr">
        <is>
          <t>LU_Network_stratixiv_arch_timing.blif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48895300</v>
      </c>
      <c r="G3" t="n">
        <v>5021229</v>
      </c>
      <c r="H3" t="n">
        <v>6083269</v>
      </c>
      <c r="I3" t="n">
        <v>-1</v>
      </c>
      <c r="J3" t="n">
        <v>25.1093</v>
      </c>
      <c r="K3" t="n">
        <v>8.670540000000001</v>
      </c>
      <c r="L3" t="n">
        <v>9.53715</v>
      </c>
      <c r="M3" t="n">
        <v>-1</v>
      </c>
      <c r="N3" t="n">
        <v>-3162640</v>
      </c>
      <c r="O3" t="n">
        <v>-632600</v>
      </c>
      <c r="P3" t="n">
        <v>-838320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296.16</v>
      </c>
      <c r="AD3" t="n">
        <v>5528.68</v>
      </c>
      <c r="AE3" t="n">
        <v>-1</v>
      </c>
      <c r="AF3" t="n">
        <v>31242</v>
      </c>
      <c r="AG3" t="n">
        <v>630079</v>
      </c>
      <c r="AH3" t="n">
        <v/>
      </c>
    </row>
    <row r="4">
      <c r="A4" t="inlineStr">
        <is>
          <t>stratixiv_arch.timing.xml</t>
        </is>
      </c>
      <c r="B4" t="inlineStr">
        <is>
          <t>SLAM_spheric_stratixiv_arch_timing.blif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5716870</v>
      </c>
      <c r="G4" t="n">
        <v>1227474</v>
      </c>
      <c r="H4" t="n">
        <v>1598636</v>
      </c>
      <c r="I4" t="n">
        <v>-1</v>
      </c>
      <c r="J4" t="n">
        <v>142.51</v>
      </c>
      <c r="K4" t="n">
        <v>89.3686</v>
      </c>
      <c r="L4" t="n">
        <v>79.5483</v>
      </c>
      <c r="M4" t="n">
        <v>-1</v>
      </c>
      <c r="N4" t="n">
        <v>-726032</v>
      </c>
      <c r="O4" t="n">
        <v>-408825</v>
      </c>
      <c r="P4" t="n">
        <v>-421989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98.98</v>
      </c>
      <c r="AD4" t="n">
        <v>732.11</v>
      </c>
      <c r="AE4" t="n">
        <v>-1</v>
      </c>
      <c r="AF4" t="n">
        <v>5345</v>
      </c>
      <c r="AG4" t="n">
        <v>111354</v>
      </c>
      <c r="AH4" t="n">
        <v/>
      </c>
    </row>
    <row r="5">
      <c r="A5" t="inlineStr">
        <is>
          <t>stratixiv_arch.timing.xml</t>
        </is>
      </c>
      <c r="B5" t="inlineStr">
        <is>
          <t>bitcoin_miner_stratixiv_arch_timing.blif</t>
        </is>
      </c>
      <c r="C5" t="inlineStr">
        <is>
          <t>common</t>
        </is>
      </c>
      <c r="D5" t="inlineStr">
        <is>
          <t>exited with return code -15</t>
        </is>
      </c>
      <c r="E5" t="n">
        <v>-1</v>
      </c>
      <c r="F5" t="n">
        <v>102847000</v>
      </c>
      <c r="G5" t="n">
        <v>10591943</v>
      </c>
      <c r="H5" t="n">
        <v>-1</v>
      </c>
      <c r="I5" t="n">
        <v>-1</v>
      </c>
      <c r="J5" t="n">
        <v>26.5792</v>
      </c>
      <c r="K5" t="n">
        <v>8.590299999999999</v>
      </c>
      <c r="L5" t="n">
        <v>-1</v>
      </c>
      <c r="M5" t="n">
        <v>-1</v>
      </c>
      <c r="N5" t="n">
        <v>-2649950</v>
      </c>
      <c r="O5" t="n">
        <v>-948121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29836</v>
      </c>
      <c r="AG5" t="n">
        <v>1087537</v>
      </c>
      <c r="AH5" t="n">
        <v/>
      </c>
    </row>
    <row r="6">
      <c r="A6" t="inlineStr">
        <is>
          <t>stratixiv_arch.timing.xml</t>
        </is>
      </c>
      <c r="B6" t="inlineStr">
        <is>
          <t>bitonic_mesh_stratixiv_arch_timing.blif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20647200</v>
      </c>
      <c r="G6" t="n">
        <v>3182016</v>
      </c>
      <c r="H6" t="n">
        <v>4258600</v>
      </c>
      <c r="I6" t="n">
        <v>-1</v>
      </c>
      <c r="J6" t="n">
        <v>56.2368</v>
      </c>
      <c r="K6" t="n">
        <v>13.5779</v>
      </c>
      <c r="L6" t="n">
        <v>13.8583</v>
      </c>
      <c r="M6" t="n">
        <v>-1</v>
      </c>
      <c r="N6" t="n">
        <v>-4067080</v>
      </c>
      <c r="O6" t="n">
        <v>-1698110</v>
      </c>
      <c r="P6" t="n">
        <v>-1900180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225.47</v>
      </c>
      <c r="AD6" t="n">
        <v>2127.73</v>
      </c>
      <c r="AE6" t="n">
        <v>-1</v>
      </c>
      <c r="AF6" t="n">
        <v>7303</v>
      </c>
      <c r="AG6" t="n">
        <v>190746</v>
      </c>
      <c r="AH6" t="n">
        <v/>
      </c>
    </row>
    <row r="7">
      <c r="A7" t="inlineStr">
        <is>
          <t>stratixiv_arch.timing.xml</t>
        </is>
      </c>
      <c r="B7" t="inlineStr">
        <is>
          <t>cholesky_bdti_stratixiv_arch_timing.blif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12852400</v>
      </c>
      <c r="G7" t="n">
        <v>2155643</v>
      </c>
      <c r="H7" t="n">
        <v>2777059</v>
      </c>
      <c r="I7" t="n">
        <v>-1</v>
      </c>
      <c r="J7" t="n">
        <v>21.9492</v>
      </c>
      <c r="K7" t="n">
        <v>9.080019999999999</v>
      </c>
      <c r="L7" t="n">
        <v>9.663959999999999</v>
      </c>
      <c r="M7" t="n">
        <v>-1</v>
      </c>
      <c r="N7" t="n">
        <v>-1144950</v>
      </c>
      <c r="O7" t="n">
        <v>-541245</v>
      </c>
      <c r="P7" t="n">
        <v>-759245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210.07</v>
      </c>
      <c r="AD7" t="n">
        <v>1544.72</v>
      </c>
      <c r="AE7" t="n">
        <v>-1</v>
      </c>
      <c r="AF7" t="n">
        <v>9665</v>
      </c>
      <c r="AG7" t="n">
        <v>255478</v>
      </c>
      <c r="AH7" t="n">
        <v/>
      </c>
    </row>
    <row r="8">
      <c r="A8" t="inlineStr">
        <is>
          <t>stratixiv_arch.timing.xml</t>
        </is>
      </c>
      <c r="B8" t="inlineStr">
        <is>
          <t>cholesky_mc_stratixiv_arch_timing.blif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3852080</v>
      </c>
      <c r="G8" t="n">
        <v>827272</v>
      </c>
      <c r="H8" t="n">
        <v>1143463</v>
      </c>
      <c r="I8" t="n">
        <v>-1</v>
      </c>
      <c r="J8" t="n">
        <v>14.0141</v>
      </c>
      <c r="K8" t="n">
        <v>6.82701</v>
      </c>
      <c r="L8" t="n">
        <v>7.4065</v>
      </c>
      <c r="M8" t="n">
        <v>-1</v>
      </c>
      <c r="N8" t="n">
        <v>-360075</v>
      </c>
      <c r="O8" t="n">
        <v>-228899</v>
      </c>
      <c r="P8" t="n">
        <v>-313800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64.5</v>
      </c>
      <c r="AD8" t="n">
        <v>521.59</v>
      </c>
      <c r="AE8" t="n">
        <v>-1</v>
      </c>
      <c r="AF8" t="n">
        <v>4733</v>
      </c>
      <c r="AG8" t="n">
        <v>108592</v>
      </c>
      <c r="AH8" t="n">
        <v/>
      </c>
    </row>
    <row r="9">
      <c r="A9" t="inlineStr">
        <is>
          <t>stratixiv_arch.timing.xml</t>
        </is>
      </c>
      <c r="B9" t="inlineStr">
        <is>
          <t>dart_stratixiv_arch_timing.blif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10215200</v>
      </c>
      <c r="G9" t="n">
        <v>1797332</v>
      </c>
      <c r="H9" t="n">
        <v>2136694</v>
      </c>
      <c r="I9" t="n">
        <v>-1</v>
      </c>
      <c r="J9" t="n">
        <v>35.6338</v>
      </c>
      <c r="K9" t="n">
        <v>13.1513</v>
      </c>
      <c r="L9" t="n">
        <v>13.8892</v>
      </c>
      <c r="M9" t="n">
        <v>-1</v>
      </c>
      <c r="N9" t="n">
        <v>-3403570</v>
      </c>
      <c r="O9" t="n">
        <v>-1597270</v>
      </c>
      <c r="P9" t="n">
        <v>-1774530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101.83</v>
      </c>
      <c r="AD9" t="n">
        <v>1232.76</v>
      </c>
      <c r="AE9" t="n">
        <v>-1</v>
      </c>
      <c r="AF9" t="n">
        <v>6942</v>
      </c>
      <c r="AG9" t="n">
        <v>202401</v>
      </c>
      <c r="AH9" t="n">
        <v/>
      </c>
    </row>
    <row r="10">
      <c r="A10" t="inlineStr">
        <is>
          <t>stratixiv_arch.timing.xml</t>
        </is>
      </c>
      <c r="B10" t="inlineStr">
        <is>
          <t>denoise_stratixiv_arch_timing.blif</t>
        </is>
      </c>
      <c r="C10" t="inlineStr">
        <is>
          <t>common</t>
        </is>
      </c>
      <c r="D10" t="inlineStr">
        <is>
          <t>success</t>
        </is>
      </c>
      <c r="E10" t="n">
        <v>-1</v>
      </c>
      <c r="F10" t="n">
        <v>23632100</v>
      </c>
      <c r="G10" t="n">
        <v>2329626</v>
      </c>
      <c r="H10" t="n">
        <v>2989139</v>
      </c>
      <c r="I10" t="n">
        <v>-1</v>
      </c>
      <c r="J10" t="n">
        <v>2191.24</v>
      </c>
      <c r="K10" t="n">
        <v>949.1799999999999</v>
      </c>
      <c r="L10" t="n">
        <v>859.872</v>
      </c>
      <c r="M10" t="n">
        <v>-1</v>
      </c>
      <c r="N10" t="n">
        <v>-2071070</v>
      </c>
      <c r="O10" t="n">
        <v>-946416</v>
      </c>
      <c r="P10" t="n">
        <v>-1083440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187.86</v>
      </c>
      <c r="AD10" t="n">
        <v>3230.59</v>
      </c>
      <c r="AE10" t="n">
        <v>-1</v>
      </c>
      <c r="AF10" t="n">
        <v>13983</v>
      </c>
      <c r="AG10" t="n">
        <v>274786</v>
      </c>
      <c r="AH10" t="n">
        <v/>
      </c>
    </row>
    <row r="11">
      <c r="A11" t="inlineStr">
        <is>
          <t>stratixiv_arch.timing.xml</t>
        </is>
      </c>
      <c r="B11" t="inlineStr">
        <is>
          <t>des90_stratixiv_arch_timing.blif</t>
        </is>
      </c>
      <c r="C11" t="inlineStr">
        <is>
          <t>common</t>
        </is>
      </c>
      <c r="D11" t="inlineStr">
        <is>
          <t>success</t>
        </is>
      </c>
      <c r="E11" t="n">
        <v>-1</v>
      </c>
      <c r="F11" t="n">
        <v>8922920</v>
      </c>
      <c r="G11" t="n">
        <v>1407861</v>
      </c>
      <c r="H11" t="n">
        <v>2014347</v>
      </c>
      <c r="I11" t="n">
        <v>-1</v>
      </c>
      <c r="J11" t="n">
        <v>41.0256</v>
      </c>
      <c r="K11" t="n">
        <v>12.5479</v>
      </c>
      <c r="L11" t="n">
        <v>13.1925</v>
      </c>
      <c r="M11" t="n">
        <v>-1</v>
      </c>
      <c r="N11" t="n">
        <v>-1903660</v>
      </c>
      <c r="O11" t="n">
        <v>-834062</v>
      </c>
      <c r="P11" t="n">
        <v>-916858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106.23</v>
      </c>
      <c r="AD11" t="n">
        <v>1008.61</v>
      </c>
      <c r="AE11" t="n">
        <v>-1</v>
      </c>
      <c r="AF11" t="n">
        <v>4253</v>
      </c>
      <c r="AG11" t="n">
        <v>110549</v>
      </c>
      <c r="AH11" t="n">
        <v/>
      </c>
    </row>
    <row r="12">
      <c r="A12" t="inlineStr">
        <is>
          <t>stratixiv_arch.timing.xml</t>
        </is>
      </c>
      <c r="B12" t="inlineStr">
        <is>
          <t>directrf_stratixiv_arch_timing.blif</t>
        </is>
      </c>
      <c r="C12" t="inlineStr">
        <is>
          <t>common</t>
        </is>
      </c>
      <c r="D12" t="inlineStr">
        <is>
          <t>exited with return code -15</t>
        </is>
      </c>
      <c r="E12" t="n">
        <v>-1</v>
      </c>
      <c r="F12" t="n">
        <v>96503100</v>
      </c>
      <c r="G12" t="n">
        <v>15427510</v>
      </c>
      <c r="H12" t="n">
        <v>16488849</v>
      </c>
      <c r="I12" t="n">
        <v>-1</v>
      </c>
      <c r="J12" t="n">
        <v>34.6787</v>
      </c>
      <c r="K12" t="n">
        <v>12.232</v>
      </c>
      <c r="L12" t="n">
        <v>12.4988</v>
      </c>
      <c r="M12" t="n">
        <v>-1</v>
      </c>
      <c r="N12" t="n">
        <v>-3512790</v>
      </c>
      <c r="O12" t="n">
        <v>-2152430</v>
      </c>
      <c r="P12" t="n">
        <v>-2983680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30037.96</v>
      </c>
      <c r="AD12" t="n">
        <v>43578.18</v>
      </c>
      <c r="AE12" t="n">
        <v>-1</v>
      </c>
      <c r="AF12" t="n">
        <v>57279</v>
      </c>
      <c r="AG12" t="n">
        <v>930989</v>
      </c>
      <c r="AH12" t="n">
        <v/>
      </c>
    </row>
    <row r="13">
      <c r="A13" t="inlineStr">
        <is>
          <t>stratixiv_arch.timing.xml</t>
        </is>
      </c>
      <c r="B13" t="inlineStr">
        <is>
          <t>gsm_switch_stratixiv_arch_timing.blif</t>
        </is>
      </c>
      <c r="C13" t="inlineStr">
        <is>
          <t>common</t>
        </is>
      </c>
      <c r="D13" t="inlineStr">
        <is>
          <t>success</t>
        </is>
      </c>
      <c r="E13" t="n">
        <v>-1</v>
      </c>
      <c r="F13" t="n">
        <v>30991700</v>
      </c>
      <c r="G13" t="n">
        <v>4864631</v>
      </c>
      <c r="H13" t="n">
        <v>5826904</v>
      </c>
      <c r="I13" t="n">
        <v>-1</v>
      </c>
      <c r="J13" t="n">
        <v>34.4745</v>
      </c>
      <c r="K13" t="n">
        <v>9.67536</v>
      </c>
      <c r="L13" t="n">
        <v>9.91405</v>
      </c>
      <c r="M13" t="n">
        <v>-1</v>
      </c>
      <c r="N13" t="n">
        <v>-4444950</v>
      </c>
      <c r="O13" t="n">
        <v>-1470310</v>
      </c>
      <c r="P13" t="n">
        <v>-1936430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598.8099999999999</v>
      </c>
      <c r="AD13" t="n">
        <v>3598.69</v>
      </c>
      <c r="AE13" t="n">
        <v>-1</v>
      </c>
      <c r="AF13" t="n">
        <v>21658</v>
      </c>
      <c r="AG13" t="n">
        <v>490068</v>
      </c>
      <c r="AH13" t="n">
        <v/>
      </c>
    </row>
    <row r="14">
      <c r="A14" t="inlineStr">
        <is>
          <t>stratixiv_arch.timing.xml</t>
        </is>
      </c>
      <c r="B14" t="inlineStr">
        <is>
          <t>mes_noc_stratixiv_arch_timing.blif</t>
        </is>
      </c>
      <c r="C14" t="inlineStr">
        <is>
          <t>common</t>
        </is>
      </c>
      <c r="D14" t="inlineStr">
        <is>
          <t>success</t>
        </is>
      </c>
      <c r="E14" t="n">
        <v>-1</v>
      </c>
      <c r="F14" t="n">
        <v>50697500</v>
      </c>
      <c r="G14" t="n">
        <v>3968059</v>
      </c>
      <c r="H14" t="n">
        <v>4955826</v>
      </c>
      <c r="I14" t="n">
        <v>-1</v>
      </c>
      <c r="J14" t="n">
        <v>45.7433</v>
      </c>
      <c r="K14" t="n">
        <v>11.7957</v>
      </c>
      <c r="L14" t="n">
        <v>11.985</v>
      </c>
      <c r="M14" t="n">
        <v>-1</v>
      </c>
      <c r="N14" t="n">
        <v>-8181230</v>
      </c>
      <c r="O14" t="n">
        <v>-3325900</v>
      </c>
      <c r="P14" t="n">
        <v>-3680340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297.52</v>
      </c>
      <c r="AD14" t="n">
        <v>5580.72</v>
      </c>
      <c r="AE14" t="n">
        <v>-1</v>
      </c>
      <c r="AF14" t="n">
        <v>23953</v>
      </c>
      <c r="AG14" t="n">
        <v>547568</v>
      </c>
      <c r="AH14" t="n">
        <v/>
      </c>
    </row>
    <row r="15">
      <c r="A15" t="inlineStr">
        <is>
          <t>stratixiv_arch.timing.xml</t>
        </is>
      </c>
      <c r="B15" t="inlineStr">
        <is>
          <t>minres_stratixiv_arch_timing.blif</t>
        </is>
      </c>
      <c r="C15" t="inlineStr">
        <is>
          <t>common</t>
        </is>
      </c>
      <c r="D15" t="inlineStr">
        <is>
          <t>success</t>
        </is>
      </c>
      <c r="E15" t="n">
        <v>-1</v>
      </c>
      <c r="F15" t="n">
        <v>13658800</v>
      </c>
      <c r="G15" t="n">
        <v>1975511</v>
      </c>
      <c r="H15" t="n">
        <v>2619875</v>
      </c>
      <c r="I15" t="n">
        <v>-1</v>
      </c>
      <c r="J15" t="n">
        <v>20.9039</v>
      </c>
      <c r="K15" t="n">
        <v>8.0746</v>
      </c>
      <c r="L15" t="n">
        <v>10.6055</v>
      </c>
      <c r="M15" t="n">
        <v>-1</v>
      </c>
      <c r="N15" t="n">
        <v>-794040</v>
      </c>
      <c r="O15" t="n">
        <v>-360415</v>
      </c>
      <c r="P15" t="n">
        <v>-533496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110.07</v>
      </c>
      <c r="AD15" t="n">
        <v>1475.74</v>
      </c>
      <c r="AE15" t="n">
        <v>-1</v>
      </c>
      <c r="AF15" t="n">
        <v>7903</v>
      </c>
      <c r="AG15" t="n">
        <v>257480</v>
      </c>
      <c r="AH15" t="n">
        <v/>
      </c>
    </row>
    <row r="16">
      <c r="A16" t="inlineStr">
        <is>
          <t>stratixiv_arch.timing.xml</t>
        </is>
      </c>
      <c r="B16" t="inlineStr">
        <is>
          <t>neuron_stratixiv_arch_timing.blif</t>
        </is>
      </c>
      <c r="C16" t="inlineStr">
        <is>
          <t>common</t>
        </is>
      </c>
      <c r="D16" t="inlineStr">
        <is>
          <t>success</t>
        </is>
      </c>
      <c r="E16" t="n">
        <v>-1</v>
      </c>
      <c r="F16" t="n">
        <v>2217510</v>
      </c>
      <c r="G16" t="n">
        <v>551409</v>
      </c>
      <c r="H16" t="n">
        <v>719716</v>
      </c>
      <c r="I16" t="n">
        <v>-1</v>
      </c>
      <c r="J16" t="n">
        <v>14.1841</v>
      </c>
      <c r="K16" t="n">
        <v>8.435040000000001</v>
      </c>
      <c r="L16" t="n">
        <v>8.69191</v>
      </c>
      <c r="M16" t="n">
        <v>-1</v>
      </c>
      <c r="N16" t="n">
        <v>-150400</v>
      </c>
      <c r="O16" t="n">
        <v>-85838.89999999999</v>
      </c>
      <c r="P16" t="n">
        <v>-114645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35.98</v>
      </c>
      <c r="AD16" t="n">
        <v>353.54</v>
      </c>
      <c r="AE16" t="n">
        <v>-1</v>
      </c>
      <c r="AF16" t="n">
        <v>3128</v>
      </c>
      <c r="AG16" t="n">
        <v>86875</v>
      </c>
      <c r="AH16" t="n">
        <v/>
      </c>
    </row>
    <row r="17">
      <c r="A17" t="inlineStr">
        <is>
          <t>stratixiv_arch.timing.xml</t>
        </is>
      </c>
      <c r="B17" t="inlineStr">
        <is>
          <t>openCV_stratixiv_arch_timing.blif</t>
        </is>
      </c>
      <c r="C17" t="inlineStr">
        <is>
          <t>common</t>
        </is>
      </c>
      <c r="D17" t="inlineStr">
        <is>
          <t>success</t>
        </is>
      </c>
      <c r="E17" t="n">
        <v>-1</v>
      </c>
      <c r="F17" t="n">
        <v>11894800</v>
      </c>
      <c r="G17" t="n">
        <v>2432259</v>
      </c>
      <c r="H17" t="n">
        <v>3087479</v>
      </c>
      <c r="I17" t="n">
        <v>-1</v>
      </c>
      <c r="J17" t="n">
        <v>28.6126</v>
      </c>
      <c r="K17" t="n">
        <v>10.6671</v>
      </c>
      <c r="L17" t="n">
        <v>11.5661</v>
      </c>
      <c r="M17" t="n">
        <v>-1</v>
      </c>
      <c r="N17" t="n">
        <v>-1177960</v>
      </c>
      <c r="O17" t="n">
        <v>-647398</v>
      </c>
      <c r="P17" t="n">
        <v>-859676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156.94</v>
      </c>
      <c r="AD17" t="n">
        <v>1397.69</v>
      </c>
      <c r="AE17" t="n">
        <v>-1</v>
      </c>
      <c r="AF17" t="n">
        <v>7149</v>
      </c>
      <c r="AG17" t="n">
        <v>212552</v>
      </c>
      <c r="AH17" t="n">
        <v/>
      </c>
    </row>
    <row r="18">
      <c r="A18" t="inlineStr">
        <is>
          <t>stratixiv_arch.timing.xml</t>
        </is>
      </c>
      <c r="B18" t="inlineStr">
        <is>
          <t>segmentation_stratixiv_arch_timing.blif</t>
        </is>
      </c>
      <c r="C18" t="inlineStr">
        <is>
          <t>common</t>
        </is>
      </c>
      <c r="D18" t="inlineStr">
        <is>
          <t>success</t>
        </is>
      </c>
      <c r="E18" t="n">
        <v>-1</v>
      </c>
      <c r="F18" t="n">
        <v>9037660</v>
      </c>
      <c r="G18" t="n">
        <v>1301841</v>
      </c>
      <c r="H18" t="n">
        <v>1719559</v>
      </c>
      <c r="I18" t="n">
        <v>-1</v>
      </c>
      <c r="J18" t="n">
        <v>2311.51</v>
      </c>
      <c r="K18" t="n">
        <v>939.487</v>
      </c>
      <c r="L18" t="n">
        <v>845.7190000000001</v>
      </c>
      <c r="M18" t="n">
        <v>-1</v>
      </c>
      <c r="N18" t="n">
        <v>-833945</v>
      </c>
      <c r="O18" t="n">
        <v>-444473</v>
      </c>
      <c r="P18" t="n">
        <v>-566237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106.81</v>
      </c>
      <c r="AD18" t="n">
        <v>1203.1</v>
      </c>
      <c r="AE18" t="n">
        <v>-1</v>
      </c>
      <c r="AF18" t="n">
        <v>6905</v>
      </c>
      <c r="AG18" t="n">
        <v>137832</v>
      </c>
      <c r="AH18" t="n">
        <v/>
      </c>
    </row>
    <row r="19">
      <c r="A19" t="inlineStr">
        <is>
          <t>stratixiv_arch.timing.xml</t>
        </is>
      </c>
      <c r="B19" t="inlineStr">
        <is>
          <t>sparcT1_chip2_stratixiv_arch_timing.blif</t>
        </is>
      </c>
      <c r="C19" t="inlineStr">
        <is>
          <t>common</t>
        </is>
      </c>
      <c r="D19" t="inlineStr">
        <is>
          <t>success</t>
        </is>
      </c>
      <c r="E19" t="n">
        <v>-1</v>
      </c>
      <c r="F19" t="n">
        <v>65716600</v>
      </c>
      <c r="G19" t="n">
        <v>6348468</v>
      </c>
      <c r="H19" t="n">
        <v>7552138</v>
      </c>
      <c r="I19" t="n">
        <v>-1</v>
      </c>
      <c r="J19" t="n">
        <v>102.741</v>
      </c>
      <c r="K19" t="n">
        <v>17.4026</v>
      </c>
      <c r="L19" t="n">
        <v>16.9979</v>
      </c>
      <c r="M19" t="n">
        <v>-1</v>
      </c>
      <c r="N19" t="n">
        <v>-10594900</v>
      </c>
      <c r="O19" t="n">
        <v>-4189240</v>
      </c>
      <c r="P19" t="n">
        <v>-4676760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491.05</v>
      </c>
      <c r="AD19" t="n">
        <v>7254.25</v>
      </c>
      <c r="AE19" t="n">
        <v>-1</v>
      </c>
      <c r="AF19" t="n">
        <v>33827</v>
      </c>
      <c r="AG19" t="n">
        <v>760412</v>
      </c>
      <c r="AH19" t="n">
        <v/>
      </c>
    </row>
    <row r="20">
      <c r="A20" t="inlineStr">
        <is>
          <t>stratixiv_arch.timing.xml</t>
        </is>
      </c>
      <c r="B20" t="inlineStr">
        <is>
          <t>sparcT1_core_stratixiv_arch_timing.blif</t>
        </is>
      </c>
      <c r="C20" t="inlineStr">
        <is>
          <t>common</t>
        </is>
      </c>
      <c r="D20" t="inlineStr">
        <is>
          <t>success</t>
        </is>
      </c>
      <c r="E20" t="n">
        <v>-1</v>
      </c>
      <c r="F20" t="n">
        <v>3833170</v>
      </c>
      <c r="G20" t="n">
        <v>887566</v>
      </c>
      <c r="H20" t="n">
        <v>1202257</v>
      </c>
      <c r="I20" t="n">
        <v>-1</v>
      </c>
      <c r="J20" t="n">
        <v>21.2933</v>
      </c>
      <c r="K20" t="n">
        <v>8.31386</v>
      </c>
      <c r="L20" t="n">
        <v>8.56054</v>
      </c>
      <c r="M20" t="n">
        <v>-1</v>
      </c>
      <c r="N20" t="n">
        <v>-1024930</v>
      </c>
      <c r="O20" t="n">
        <v>-590396</v>
      </c>
      <c r="P20" t="n">
        <v>-658305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63.29</v>
      </c>
      <c r="AD20" t="n">
        <v>559.84</v>
      </c>
      <c r="AE20" t="n">
        <v>-1</v>
      </c>
      <c r="AF20" t="n">
        <v>3983</v>
      </c>
      <c r="AG20" t="n">
        <v>91975</v>
      </c>
      <c r="AH20" t="n">
        <v/>
      </c>
    </row>
    <row r="21">
      <c r="A21" t="inlineStr">
        <is>
          <t>stratixiv_arch.timing.xml</t>
        </is>
      </c>
      <c r="B21" t="inlineStr">
        <is>
          <t>sparcT2_core_stratixiv_arch_timing.blif</t>
        </is>
      </c>
      <c r="C21" t="inlineStr">
        <is>
          <t>common</t>
        </is>
      </c>
      <c r="D21" t="inlineStr">
        <is>
          <t>success</t>
        </is>
      </c>
      <c r="E21" t="n">
        <v>-1</v>
      </c>
      <c r="F21" t="n">
        <v>20203100</v>
      </c>
      <c r="G21" t="n">
        <v>4024039</v>
      </c>
      <c r="H21" t="n">
        <v>5003587</v>
      </c>
      <c r="I21" t="n">
        <v>-1</v>
      </c>
      <c r="J21" t="n">
        <v>36.0289</v>
      </c>
      <c r="K21" t="n">
        <v>11.1645</v>
      </c>
      <c r="L21" t="n">
        <v>11.5654</v>
      </c>
      <c r="M21" t="n">
        <v>-1</v>
      </c>
      <c r="N21" t="n">
        <v>-1518730</v>
      </c>
      <c r="O21" t="n">
        <v>-800029</v>
      </c>
      <c r="P21" t="n">
        <v>-1058570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626.8099999999999</v>
      </c>
      <c r="AD21" t="n">
        <v>3883.56</v>
      </c>
      <c r="AE21" t="n">
        <v>-1</v>
      </c>
      <c r="AF21" t="n">
        <v>14136</v>
      </c>
      <c r="AG21" t="n">
        <v>300220</v>
      </c>
      <c r="AH21" t="n">
        <v/>
      </c>
    </row>
    <row r="22">
      <c r="A22" t="inlineStr">
        <is>
          <t>stratixiv_arch.timing.xml</t>
        </is>
      </c>
      <c r="B22" t="inlineStr">
        <is>
          <t>stap_qrd_stratixiv_arch_timing.blif</t>
        </is>
      </c>
      <c r="C22" t="inlineStr">
        <is>
          <t>common</t>
        </is>
      </c>
      <c r="D22" t="inlineStr">
        <is>
          <t>success</t>
        </is>
      </c>
      <c r="E22" t="n">
        <v>-1</v>
      </c>
      <c r="F22" t="n">
        <v>12786000</v>
      </c>
      <c r="G22" t="n">
        <v>2048079</v>
      </c>
      <c r="H22" t="n">
        <v>2443661</v>
      </c>
      <c r="I22" t="n">
        <v>-1</v>
      </c>
      <c r="J22" t="n">
        <v>18.0052</v>
      </c>
      <c r="K22" t="n">
        <v>7.24816</v>
      </c>
      <c r="L22" t="n">
        <v>7.82095</v>
      </c>
      <c r="M22" t="n">
        <v>-1</v>
      </c>
      <c r="N22" t="n">
        <v>-916041</v>
      </c>
      <c r="O22" t="n">
        <v>-414240</v>
      </c>
      <c r="P22" t="n">
        <v>-557885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98.62</v>
      </c>
      <c r="AD22" t="n">
        <v>1808.85</v>
      </c>
      <c r="AE22" t="n">
        <v>-1</v>
      </c>
      <c r="AF22" t="n">
        <v>15837</v>
      </c>
      <c r="AG22" t="n">
        <v>234177</v>
      </c>
      <c r="AH22" t="n">
        <v/>
      </c>
    </row>
    <row r="23">
      <c r="A23" t="inlineStr">
        <is>
          <t>stratixiv_arch.timing.xml</t>
        </is>
      </c>
      <c r="B23" t="inlineStr">
        <is>
          <t>stereo_vision_stratixiv_arch_timing.blif</t>
        </is>
      </c>
      <c r="C23" t="inlineStr">
        <is>
          <t>common</t>
        </is>
      </c>
      <c r="D23" t="inlineStr">
        <is>
          <t>success</t>
        </is>
      </c>
      <c r="E23" t="n">
        <v>-1</v>
      </c>
      <c r="F23" t="n">
        <v>2405090</v>
      </c>
      <c r="G23" t="n">
        <v>487669</v>
      </c>
      <c r="H23" t="n">
        <v>563134</v>
      </c>
      <c r="I23" t="n">
        <v>-1</v>
      </c>
      <c r="J23" t="n">
        <v>19.5477</v>
      </c>
      <c r="K23" t="n">
        <v>7.77414</v>
      </c>
      <c r="L23" t="n">
        <v>7.58173</v>
      </c>
      <c r="M23" t="n">
        <v>-1</v>
      </c>
      <c r="N23" t="n">
        <v>-137035</v>
      </c>
      <c r="O23" t="n">
        <v>-61068.6</v>
      </c>
      <c r="P23" t="n">
        <v>-74097.5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22.71</v>
      </c>
      <c r="AD23" t="n">
        <v>314.52</v>
      </c>
      <c r="AE23" t="n">
        <v>-1</v>
      </c>
      <c r="AF23" t="n">
        <v>3316</v>
      </c>
      <c r="AG23" t="n">
        <v>94090</v>
      </c>
      <c r="AH23" t="n">
        <v/>
      </c>
    </row>
    <row r="24">
      <c r="A24" t="inlineStr">
        <is>
          <t>stratixiv_arch.timing.xml</t>
        </is>
      </c>
      <c r="B24" t="inlineStr">
        <is>
          <t>gaussianblur_stratixiv_arch_timing.blif</t>
        </is>
      </c>
      <c r="C24" t="inlineStr">
        <is>
          <t>common</t>
        </is>
      </c>
      <c r="D24" t="inlineStr">
        <is>
          <t>success</t>
        </is>
      </c>
      <c r="E24" t="n">
        <v>-1</v>
      </c>
      <c r="F24" t="n">
        <v>409895000</v>
      </c>
      <c r="G24" t="n">
        <v>39854798</v>
      </c>
      <c r="H24" t="n">
        <v>29604313</v>
      </c>
      <c r="I24" t="n">
        <v>-1</v>
      </c>
      <c r="J24" t="n">
        <v>3134.92</v>
      </c>
      <c r="K24" t="n">
        <v>929.328</v>
      </c>
      <c r="L24" t="n">
        <v>834.875</v>
      </c>
      <c r="M24" t="n">
        <v>-1</v>
      </c>
      <c r="N24" t="n">
        <v>-275230000</v>
      </c>
      <c r="O24" t="n">
        <v>-98428200</v>
      </c>
      <c r="P24" t="n">
        <v>-130203000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2319.83</v>
      </c>
      <c r="AD24" t="n">
        <v>38769.89</v>
      </c>
      <c r="AE24" t="n">
        <v>-1</v>
      </c>
      <c r="AF24" t="n">
        <v>101607</v>
      </c>
      <c r="AG24" t="n">
        <v>1859014</v>
      </c>
      <c r="AH24" t="n"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k6FracN10LB_mem20K_complexDSP_customSB_22nm.xml</t>
        </is>
      </c>
      <c r="B2" t="inlineStr">
        <is>
          <t>attention_layer.v</t>
        </is>
      </c>
      <c r="C2" t="inlineStr">
        <is>
          <t>common</t>
        </is>
      </c>
      <c r="D2" t="inlineStr">
        <is>
          <t>success</t>
        </is>
      </c>
      <c r="E2" t="n">
        <v>481223</v>
      </c>
      <c r="F2" t="n">
        <v>585031</v>
      </c>
      <c r="G2" t="n">
        <v>314719</v>
      </c>
      <c r="H2" t="n">
        <v>476855</v>
      </c>
      <c r="I2" t="n">
        <v>14.930883</v>
      </c>
      <c r="J2" t="n">
        <v>6.67223</v>
      </c>
      <c r="K2" t="n">
        <v>5.82047</v>
      </c>
      <c r="L2" t="n">
        <v>9.64729</v>
      </c>
      <c r="M2" t="n">
        <v>-81328.367188</v>
      </c>
      <c r="N2" t="n">
        <v>-148047</v>
      </c>
      <c r="O2" t="n">
        <v>-115563</v>
      </c>
      <c r="P2" t="n">
        <v>-166381</v>
      </c>
      <c r="Q2" t="n">
        <v>12</v>
      </c>
      <c r="R2" t="n">
        <v>59.25</v>
      </c>
      <c r="S2" t="n">
        <v>0</v>
      </c>
      <c r="T2" t="n">
        <v>35.86132</v>
      </c>
      <c r="U2" t="n">
        <v>36.445881</v>
      </c>
      <c r="V2" t="n">
        <v>181571.953125</v>
      </c>
      <c r="W2" t="n">
        <v>4.977847</v>
      </c>
      <c r="X2" t="n">
        <v>175.000198</v>
      </c>
      <c r="Y2" t="n">
        <v>445.42</v>
      </c>
      <c r="Z2" t="n">
        <v>16.73</v>
      </c>
      <c r="AA2" t="n">
        <v>345.51</v>
      </c>
      <c r="AB2" t="n">
        <v>30.96</v>
      </c>
      <c r="AC2" t="n">
        <v>8.26</v>
      </c>
      <c r="AD2" t="n">
        <v>522.91</v>
      </c>
      <c r="AE2" t="n">
        <v>1094</v>
      </c>
      <c r="AF2" t="n">
        <v>-1</v>
      </c>
      <c r="AG2" t="n">
        <v>36476</v>
      </c>
      <c r="AH2" t="n">
        <v/>
      </c>
    </row>
    <row r="3">
      <c r="A3" t="inlineStr">
        <is>
          <t>k6FracN10LB_mem20K_complexDSP_customSB_22nm.xml</t>
        </is>
      </c>
      <c r="B3" t="inlineStr">
        <is>
          <t>bnn.v</t>
        </is>
      </c>
      <c r="C3" t="inlineStr">
        <is>
          <t>common</t>
        </is>
      </c>
      <c r="D3" t="inlineStr">
        <is>
          <t>success</t>
        </is>
      </c>
      <c r="E3" t="n">
        <v>916892</v>
      </c>
      <c r="F3" t="n">
        <v>2263730</v>
      </c>
      <c r="G3" t="n">
        <v>868449</v>
      </c>
      <c r="H3" t="n">
        <v>1181580</v>
      </c>
      <c r="I3" t="n">
        <v>12.337447</v>
      </c>
      <c r="J3" t="n">
        <v>16.1859</v>
      </c>
      <c r="K3" t="n">
        <v>7.6965</v>
      </c>
      <c r="L3" t="n">
        <v>8.0816</v>
      </c>
      <c r="M3" t="n">
        <v>-201148.890625</v>
      </c>
      <c r="N3" t="n">
        <v>-214089</v>
      </c>
      <c r="O3" t="n">
        <v>-166599</v>
      </c>
      <c r="P3" t="n">
        <v>-192744</v>
      </c>
      <c r="Q3" t="n">
        <v>11</v>
      </c>
      <c r="R3" t="n">
        <v>55.363636</v>
      </c>
      <c r="S3" t="n">
        <v>0</v>
      </c>
      <c r="T3" t="n">
        <v>76.017067</v>
      </c>
      <c r="U3" t="n">
        <v>76.774765</v>
      </c>
      <c r="V3" t="n">
        <v>2539537</v>
      </c>
      <c r="W3" t="n">
        <v>16.447672</v>
      </c>
      <c r="X3" t="n">
        <v>124</v>
      </c>
      <c r="Y3" t="n">
        <v>590.38</v>
      </c>
      <c r="Z3" t="n">
        <v>56.39</v>
      </c>
      <c r="AA3" t="n">
        <v>345</v>
      </c>
      <c r="AB3" t="n">
        <v>165.17</v>
      </c>
      <c r="AC3" t="n">
        <v>27.94</v>
      </c>
      <c r="AD3" t="n">
        <v>660.98</v>
      </c>
      <c r="AE3" t="n">
        <v>6080</v>
      </c>
      <c r="AF3" t="n">
        <v>-1</v>
      </c>
      <c r="AG3" t="n">
        <v>154401</v>
      </c>
      <c r="AH3" t="n">
        <v/>
      </c>
    </row>
    <row r="4">
      <c r="A4" t="inlineStr">
        <is>
          <t>k6FracN10LB_mem20K_complexDSP_customSB_22nm.xml</t>
        </is>
      </c>
      <c r="B4" t="inlineStr">
        <is>
          <t>bwave_like.fixed.large.v</t>
        </is>
      </c>
      <c r="C4" t="inlineStr">
        <is>
          <t>common</t>
        </is>
      </c>
      <c r="D4" t="inlineStr">
        <is>
          <t>success</t>
        </is>
      </c>
      <c r="E4" t="n">
        <v>3210320</v>
      </c>
      <c r="F4" t="n">
        <v>2272490</v>
      </c>
      <c r="G4" t="n">
        <v>1784387</v>
      </c>
      <c r="H4" t="n">
        <v>2150972</v>
      </c>
      <c r="I4" t="n">
        <v>11.776782</v>
      </c>
      <c r="J4" t="n">
        <v>16.4757</v>
      </c>
      <c r="K4" t="n">
        <v>9.90902</v>
      </c>
      <c r="L4" t="n">
        <v>11.0413</v>
      </c>
      <c r="M4" t="n">
        <v>-404848.71875</v>
      </c>
      <c r="N4" t="n">
        <v>-577696</v>
      </c>
      <c r="O4" t="n">
        <v>-558369</v>
      </c>
      <c r="P4" t="n">
        <v>-847170</v>
      </c>
      <c r="Q4" t="n">
        <v>130</v>
      </c>
      <c r="R4" t="n">
        <v>239.530762</v>
      </c>
      <c r="S4" t="n">
        <v>0</v>
      </c>
      <c r="T4" t="n">
        <v>59.088108</v>
      </c>
      <c r="U4" t="n">
        <v>65.81671900000001</v>
      </c>
      <c r="V4" t="n">
        <v>226997.8125</v>
      </c>
      <c r="W4" t="n">
        <v>5.177161</v>
      </c>
      <c r="X4" t="n">
        <v>195.000214</v>
      </c>
      <c r="Y4" t="n">
        <v>500.47</v>
      </c>
      <c r="Z4" t="n">
        <v>53.92</v>
      </c>
      <c r="AA4" t="n">
        <v>36.4</v>
      </c>
      <c r="AB4" t="n">
        <v>260.22</v>
      </c>
      <c r="AC4" t="n">
        <v>131.99</v>
      </c>
      <c r="AD4" t="n">
        <v>819.49</v>
      </c>
      <c r="AE4" t="n">
        <v>1854</v>
      </c>
      <c r="AF4" t="n">
        <v>-1</v>
      </c>
      <c r="AG4" t="n">
        <v>43846</v>
      </c>
      <c r="AH4" t="n">
        <v/>
      </c>
    </row>
    <row r="5">
      <c r="A5" t="inlineStr">
        <is>
          <t>k6FracN10LB_mem20K_complexDSP_customSB_22nm.xml</t>
        </is>
      </c>
      <c r="B5" t="inlineStr">
        <is>
          <t>bwave_like.fixed.small.v</t>
        </is>
      </c>
      <c r="C5" t="inlineStr">
        <is>
          <t>common</t>
        </is>
      </c>
      <c r="D5" t="inlineStr">
        <is>
          <t>success</t>
        </is>
      </c>
      <c r="E5" t="n">
        <v>555415</v>
      </c>
      <c r="F5" t="n">
        <v>436442</v>
      </c>
      <c r="G5" t="n">
        <v>314040</v>
      </c>
      <c r="H5" t="n">
        <v>417954</v>
      </c>
      <c r="I5" t="n">
        <v>11.905107</v>
      </c>
      <c r="J5" t="n">
        <v>10.5745</v>
      </c>
      <c r="K5" t="n">
        <v>8.88983</v>
      </c>
      <c r="L5" t="n">
        <v>9.487299999999999</v>
      </c>
      <c r="M5" t="n">
        <v>-95350.695312</v>
      </c>
      <c r="N5" t="n">
        <v>-130699</v>
      </c>
      <c r="O5" t="n">
        <v>-123787</v>
      </c>
      <c r="P5" t="n">
        <v>-171903</v>
      </c>
      <c r="Q5" t="n">
        <v>20</v>
      </c>
      <c r="R5" t="n">
        <v>182</v>
      </c>
      <c r="S5" t="n">
        <v>0</v>
      </c>
      <c r="T5" t="n">
        <v>54.554359</v>
      </c>
      <c r="U5" t="n">
        <v>56.863804</v>
      </c>
      <c r="V5" t="n">
        <v>65377.410156</v>
      </c>
      <c r="W5" t="n">
        <v>5.047669</v>
      </c>
      <c r="X5" t="n">
        <v>79.99990099999999</v>
      </c>
      <c r="Y5" t="n">
        <v>93</v>
      </c>
      <c r="Z5" t="n">
        <v>13.55</v>
      </c>
      <c r="AA5" t="n">
        <v>9.619999999999999</v>
      </c>
      <c r="AB5" t="n">
        <v>20.14</v>
      </c>
      <c r="AC5" t="n">
        <v>8.960000000000001</v>
      </c>
      <c r="AD5" t="n">
        <v>169.24</v>
      </c>
      <c r="AE5" t="n">
        <v>509</v>
      </c>
      <c r="AF5" t="n">
        <v>-1</v>
      </c>
      <c r="AG5" t="n">
        <v>12952</v>
      </c>
      <c r="AH5" t="n">
        <v/>
      </c>
    </row>
    <row r="6">
      <c r="A6" t="inlineStr">
        <is>
          <t>k6FracN10LB_mem20K_complexDSP_customSB_22nm.xml</t>
        </is>
      </c>
      <c r="B6" t="inlineStr">
        <is>
          <t>bwave_like.float.large.v</t>
        </is>
      </c>
      <c r="C6" t="inlineStr">
        <is>
          <t>common</t>
        </is>
      </c>
      <c r="D6" t="inlineStr">
        <is>
          <t>success</t>
        </is>
      </c>
      <c r="E6" t="n">
        <v>7466270</v>
      </c>
      <c r="F6" t="n">
        <v>5528580</v>
      </c>
      <c r="G6" t="n">
        <v>4353541</v>
      </c>
      <c r="H6" t="n">
        <v>5198008</v>
      </c>
      <c r="I6" t="n">
        <v>18.672674</v>
      </c>
      <c r="J6" t="n">
        <v>17.1279</v>
      </c>
      <c r="K6" t="n">
        <v>12.5131</v>
      </c>
      <c r="L6" t="n">
        <v>14.081</v>
      </c>
      <c r="M6" t="n">
        <v>-1720142.25</v>
      </c>
      <c r="N6" t="n">
        <v>-1721420</v>
      </c>
      <c r="O6" t="n">
        <v>-1583800</v>
      </c>
      <c r="P6" t="n">
        <v>-2605220</v>
      </c>
      <c r="Q6" t="n">
        <v>113</v>
      </c>
      <c r="R6" t="n">
        <v>216.95575</v>
      </c>
      <c r="S6" t="n">
        <v>0</v>
      </c>
      <c r="T6" t="n">
        <v>73.97776</v>
      </c>
      <c r="U6" t="n">
        <v>52.900009</v>
      </c>
      <c r="V6" t="n">
        <v>704048.4375</v>
      </c>
      <c r="W6" t="n">
        <v>3.022796</v>
      </c>
      <c r="X6" t="n">
        <v>272</v>
      </c>
      <c r="Y6" t="n">
        <v>1262.96</v>
      </c>
      <c r="Z6" t="n">
        <v>183.46</v>
      </c>
      <c r="AA6" t="n">
        <v>142.38</v>
      </c>
      <c r="AB6" t="n">
        <v>795.9400000000001</v>
      </c>
      <c r="AC6" t="n">
        <v>1583.61</v>
      </c>
      <c r="AD6" t="n">
        <v>3063.43</v>
      </c>
      <c r="AE6" t="n">
        <v>8775</v>
      </c>
      <c r="AF6" t="n">
        <v>-1</v>
      </c>
      <c r="AG6" t="n">
        <v>232913</v>
      </c>
      <c r="AH6" t="n">
        <v/>
      </c>
    </row>
    <row r="7">
      <c r="A7" t="inlineStr">
        <is>
          <t>k6FracN10LB_mem20K_complexDSP_customSB_22nm.xml</t>
        </is>
      </c>
      <c r="B7" t="inlineStr">
        <is>
          <t>bwave_like.float.small.v</t>
        </is>
      </c>
      <c r="C7" t="inlineStr">
        <is>
          <t>common</t>
        </is>
      </c>
      <c r="D7" t="inlineStr">
        <is>
          <t>success</t>
        </is>
      </c>
      <c r="E7" t="n">
        <v>1288360</v>
      </c>
      <c r="F7" t="n">
        <v>1001900</v>
      </c>
      <c r="G7" t="n">
        <v>792901</v>
      </c>
      <c r="H7" t="n">
        <v>1085426</v>
      </c>
      <c r="I7" t="n">
        <v>16.063595</v>
      </c>
      <c r="J7" t="n">
        <v>10.5272</v>
      </c>
      <c r="K7" t="n">
        <v>7.29534</v>
      </c>
      <c r="L7" t="n">
        <v>8.287330000000001</v>
      </c>
      <c r="M7" t="n">
        <v>-381807.53125</v>
      </c>
      <c r="N7" t="n">
        <v>-348687</v>
      </c>
      <c r="O7" t="n">
        <v>-330369</v>
      </c>
      <c r="P7" t="n">
        <v>-466973</v>
      </c>
      <c r="Q7" t="n">
        <v>17</v>
      </c>
      <c r="R7" t="n">
        <v>158.588242</v>
      </c>
      <c r="S7" t="n">
        <v>0</v>
      </c>
      <c r="T7" t="n">
        <v>73.618256</v>
      </c>
      <c r="U7" t="n">
        <v>49.238342</v>
      </c>
      <c r="V7" t="n">
        <v>183580.953125</v>
      </c>
      <c r="W7" t="n">
        <v>2.841986</v>
      </c>
      <c r="X7" t="n">
        <v>175.000198</v>
      </c>
      <c r="Y7" t="n">
        <v>198.3</v>
      </c>
      <c r="Z7" t="n">
        <v>40.02</v>
      </c>
      <c r="AA7" t="n">
        <v>39.98</v>
      </c>
      <c r="AB7" t="n">
        <v>68.3</v>
      </c>
      <c r="AC7" t="n">
        <v>30.08</v>
      </c>
      <c r="AD7" t="n">
        <v>301.07</v>
      </c>
      <c r="AE7" t="n">
        <v>2398</v>
      </c>
      <c r="AF7" t="n">
        <v>-1</v>
      </c>
      <c r="AG7" t="n">
        <v>64596</v>
      </c>
      <c r="AH7" t="n">
        <v/>
      </c>
    </row>
    <row r="8">
      <c r="A8" t="inlineStr">
        <is>
          <t>k6FracN10LB_mem20K_complexDSP_customSB_22nm.xml</t>
        </is>
      </c>
      <c r="B8" t="inlineStr">
        <is>
          <t>clstm_like.large.v</t>
        </is>
      </c>
      <c r="C8" t="inlineStr">
        <is>
          <t>common</t>
        </is>
      </c>
      <c r="D8" t="inlineStr">
        <is>
          <t>success</t>
        </is>
      </c>
      <c r="E8" t="n">
        <v>9701520</v>
      </c>
      <c r="F8" t="n">
        <v>10119100</v>
      </c>
      <c r="G8" t="n">
        <v>4221706</v>
      </c>
      <c r="H8" t="n">
        <v>4316761</v>
      </c>
      <c r="I8" t="n">
        <v>11.432335</v>
      </c>
      <c r="J8" t="n">
        <v>16.7829</v>
      </c>
      <c r="K8" t="n">
        <v>7.52722</v>
      </c>
      <c r="L8" t="n">
        <v>10.2973</v>
      </c>
      <c r="M8" t="n">
        <v>-1203853.125</v>
      </c>
      <c r="N8" t="n">
        <v>-2382380</v>
      </c>
      <c r="O8" t="n">
        <v>-1720990</v>
      </c>
      <c r="P8" t="n">
        <v>-2309060</v>
      </c>
      <c r="Q8" t="n">
        <v>230</v>
      </c>
      <c r="R8" t="n">
        <v>80.634781</v>
      </c>
      <c r="S8" t="n">
        <v>0</v>
      </c>
      <c r="T8" t="n">
        <v>69.39505</v>
      </c>
      <c r="U8" t="n">
        <v>64.663551</v>
      </c>
      <c r="V8" t="n">
        <v>12253460</v>
      </c>
      <c r="W8" t="n">
        <v>15.251093</v>
      </c>
      <c r="X8" t="n">
        <v>230.467804</v>
      </c>
      <c r="Y8" t="n">
        <v>4573.05</v>
      </c>
      <c r="Z8" t="n">
        <v>352.46</v>
      </c>
      <c r="AA8" t="n">
        <v>2190.11</v>
      </c>
      <c r="AB8" t="n">
        <v>1871.66</v>
      </c>
      <c r="AC8" t="n">
        <v>102.26</v>
      </c>
      <c r="AD8" t="n">
        <v>4918.06</v>
      </c>
      <c r="AE8" t="n">
        <v>33964</v>
      </c>
      <c r="AF8" t="n">
        <v>-1</v>
      </c>
      <c r="AG8" t="n">
        <v>803448</v>
      </c>
      <c r="AH8" t="n">
        <v/>
      </c>
    </row>
    <row r="9">
      <c r="A9" t="inlineStr">
        <is>
          <t>k6FracN10LB_mem20K_complexDSP_customSB_22nm.xml</t>
        </is>
      </c>
      <c r="B9" t="inlineStr">
        <is>
          <t>clstm_like.medium.v</t>
        </is>
      </c>
      <c r="C9" t="inlineStr">
        <is>
          <t>common</t>
        </is>
      </c>
      <c r="D9" t="inlineStr">
        <is>
          <t>success</t>
        </is>
      </c>
      <c r="E9" t="n">
        <v>6027810</v>
      </c>
      <c r="F9" t="n">
        <v>5604870</v>
      </c>
      <c r="G9" t="n">
        <v>2730812</v>
      </c>
      <c r="H9" t="n">
        <v>2932977</v>
      </c>
      <c r="I9" t="n">
        <v>13.433892</v>
      </c>
      <c r="J9" t="n">
        <v>15.0842</v>
      </c>
      <c r="K9" t="n">
        <v>6.45719</v>
      </c>
      <c r="L9" t="n">
        <v>7.98824</v>
      </c>
      <c r="M9" t="n">
        <v>-747859.6875</v>
      </c>
      <c r="N9" t="n">
        <v>-1586180</v>
      </c>
      <c r="O9" t="n">
        <v>-1027620</v>
      </c>
      <c r="P9" t="n">
        <v>-1409240</v>
      </c>
      <c r="Q9" t="n">
        <v>136</v>
      </c>
      <c r="R9" t="n">
        <v>62.367645</v>
      </c>
      <c r="S9" t="n">
        <v>0</v>
      </c>
      <c r="T9" t="n">
        <v>69.830353</v>
      </c>
      <c r="U9" t="n">
        <v>62.301449</v>
      </c>
      <c r="V9" t="n">
        <v>5899985</v>
      </c>
      <c r="W9" t="n">
        <v>10.950761</v>
      </c>
      <c r="X9" t="n">
        <v>245.057968</v>
      </c>
      <c r="Y9" t="n">
        <v>1910.89</v>
      </c>
      <c r="Z9" t="n">
        <v>210.74</v>
      </c>
      <c r="AA9" t="n">
        <v>535.85</v>
      </c>
      <c r="AB9" t="n">
        <v>1008.46</v>
      </c>
      <c r="AC9" t="n">
        <v>77.06</v>
      </c>
      <c r="AD9" t="n">
        <v>2206.66</v>
      </c>
      <c r="AE9" t="n">
        <v>21414</v>
      </c>
      <c r="AF9" t="n">
        <v>-1</v>
      </c>
      <c r="AG9" t="n">
        <v>538774</v>
      </c>
      <c r="AH9" t="n">
        <v/>
      </c>
    </row>
    <row r="10">
      <c r="A10" t="inlineStr">
        <is>
          <t>k6FracN10LB_mem20K_complexDSP_customSB_22nm.xml</t>
        </is>
      </c>
      <c r="B10" t="inlineStr">
        <is>
          <t>clstm_like.small.v</t>
        </is>
      </c>
      <c r="C10" t="inlineStr">
        <is>
          <t>common</t>
        </is>
      </c>
      <c r="D10" t="inlineStr">
        <is>
          <t>success</t>
        </is>
      </c>
      <c r="E10" t="n">
        <v>2250800</v>
      </c>
      <c r="F10" t="n">
        <v>1699990</v>
      </c>
      <c r="G10" t="n">
        <v>1045929</v>
      </c>
      <c r="H10" t="n">
        <v>1244887</v>
      </c>
      <c r="I10" t="n">
        <v>13.418633</v>
      </c>
      <c r="J10" t="n">
        <v>10.7731</v>
      </c>
      <c r="K10" t="n">
        <v>5.87168</v>
      </c>
      <c r="L10" t="n">
        <v>6.20162</v>
      </c>
      <c r="M10" t="n">
        <v>-351931.65625</v>
      </c>
      <c r="N10" t="n">
        <v>-580183</v>
      </c>
      <c r="O10" t="n">
        <v>-415049</v>
      </c>
      <c r="P10" t="n">
        <v>-521474</v>
      </c>
      <c r="Q10" t="n">
        <v>114</v>
      </c>
      <c r="R10" t="n">
        <v>101.543861</v>
      </c>
      <c r="S10" t="n">
        <v>0</v>
      </c>
      <c r="T10" t="n">
        <v>74.76091</v>
      </c>
      <c r="U10" t="n">
        <v>61.424854</v>
      </c>
      <c r="V10" t="n">
        <v>1288482.5</v>
      </c>
      <c r="W10" t="n">
        <v>4.70093</v>
      </c>
      <c r="X10" t="n">
        <v>153.256653</v>
      </c>
      <c r="Y10" t="n">
        <v>781.2</v>
      </c>
      <c r="Z10" t="n">
        <v>98.81</v>
      </c>
      <c r="AA10" t="n">
        <v>315.35</v>
      </c>
      <c r="AB10" t="n">
        <v>311.16</v>
      </c>
      <c r="AC10" t="n">
        <v>36.26</v>
      </c>
      <c r="AD10" t="n">
        <v>904.95</v>
      </c>
      <c r="AE10" t="n">
        <v>9557</v>
      </c>
      <c r="AF10" t="n">
        <v>-1</v>
      </c>
      <c r="AG10" t="n">
        <v>274091</v>
      </c>
      <c r="AH10" t="n">
        <v/>
      </c>
    </row>
    <row r="11">
      <c r="A11" t="inlineStr">
        <is>
          <t>k6FracN10LB_mem20K_complexDSP_customSB_22nm.xml</t>
        </is>
      </c>
      <c r="B11" t="inlineStr">
        <is>
          <t>conv_layer.v</t>
        </is>
      </c>
      <c r="C11" t="inlineStr">
        <is>
          <t>common</t>
        </is>
      </c>
      <c r="D11" t="inlineStr">
        <is>
          <t>success</t>
        </is>
      </c>
      <c r="E11" t="n">
        <v>194923</v>
      </c>
      <c r="F11" t="n">
        <v>205342</v>
      </c>
      <c r="G11" t="n">
        <v>149498</v>
      </c>
      <c r="H11" t="n">
        <v>221876</v>
      </c>
      <c r="I11" t="n">
        <v>13.298093</v>
      </c>
      <c r="J11" t="n">
        <v>5.69133</v>
      </c>
      <c r="K11" t="n">
        <v>5.01798</v>
      </c>
      <c r="L11" t="n">
        <v>5.44074</v>
      </c>
      <c r="M11" t="n">
        <v>-60632.707031</v>
      </c>
      <c r="N11" t="n">
        <v>-59672</v>
      </c>
      <c r="O11" t="n">
        <v>-57511.9</v>
      </c>
      <c r="P11" t="n">
        <v>-56825.7</v>
      </c>
      <c r="Q11" t="n">
        <v>3</v>
      </c>
      <c r="R11" t="n">
        <v>73</v>
      </c>
      <c r="S11" t="n">
        <v>0</v>
      </c>
      <c r="T11" t="n">
        <v>72.61698199999999</v>
      </c>
      <c r="U11" t="n">
        <v>65.416695</v>
      </c>
      <c r="V11" t="n">
        <v>72705.40625</v>
      </c>
      <c r="W11" t="n">
        <v>2.591624</v>
      </c>
      <c r="X11" t="n">
        <v>45.149948</v>
      </c>
      <c r="Y11" t="n">
        <v>52.94</v>
      </c>
      <c r="Z11" t="n">
        <v>12.51</v>
      </c>
      <c r="AA11" t="n">
        <v>11.88</v>
      </c>
      <c r="AB11" t="n">
        <v>9.26</v>
      </c>
      <c r="AC11" t="n">
        <v>4.68</v>
      </c>
      <c r="AD11" t="n">
        <v>86.33</v>
      </c>
      <c r="AE11" t="n">
        <v>894</v>
      </c>
      <c r="AF11" t="n">
        <v>-1</v>
      </c>
      <c r="AG11" t="n">
        <v>28054</v>
      </c>
      <c r="AH11" t="n">
        <v/>
      </c>
    </row>
    <row r="12">
      <c r="A12" t="inlineStr">
        <is>
          <t>k6FracN10LB_mem20K_complexDSP_customSB_22nm.xml</t>
        </is>
      </c>
      <c r="B12" t="inlineStr">
        <is>
          <t>conv_layer_hls.v</t>
        </is>
      </c>
      <c r="C12" t="inlineStr">
        <is>
          <t>common</t>
        </is>
      </c>
      <c r="D12" t="inlineStr">
        <is>
          <t>success</t>
        </is>
      </c>
      <c r="E12" t="n">
        <v>67232.60000000001</v>
      </c>
      <c r="F12" t="n">
        <v>70128.2</v>
      </c>
      <c r="G12" t="n">
        <v>60898</v>
      </c>
      <c r="H12" t="n">
        <v>85395</v>
      </c>
      <c r="I12" t="n">
        <v>8.868243</v>
      </c>
      <c r="J12" t="n">
        <v>7.56133</v>
      </c>
      <c r="K12" t="n">
        <v>6.20956</v>
      </c>
      <c r="L12" t="n">
        <v>6.73739</v>
      </c>
      <c r="M12" t="n">
        <v>-22069.835938</v>
      </c>
      <c r="N12" t="n">
        <v>-21063.5</v>
      </c>
      <c r="O12" t="n">
        <v>-19166.3</v>
      </c>
      <c r="P12" t="n">
        <v>-21297.9</v>
      </c>
      <c r="Q12" t="n">
        <v>2</v>
      </c>
      <c r="R12" t="n">
        <v>1024.5</v>
      </c>
      <c r="S12" t="n">
        <v>0</v>
      </c>
      <c r="T12" t="n">
        <v>6.78066</v>
      </c>
      <c r="U12" t="n">
        <v>39.586956</v>
      </c>
      <c r="V12" t="n">
        <v>16396.851562</v>
      </c>
      <c r="W12" t="n">
        <v>1.140175</v>
      </c>
      <c r="X12" t="n">
        <v>79.99934399999999</v>
      </c>
      <c r="Y12" t="n">
        <v>103.59</v>
      </c>
      <c r="Z12" t="n">
        <v>9.16</v>
      </c>
      <c r="AA12" t="n">
        <v>30.66</v>
      </c>
      <c r="AB12" t="n">
        <v>15.97</v>
      </c>
      <c r="AC12" t="n">
        <v>2.72</v>
      </c>
      <c r="AD12" t="n">
        <v>172.1</v>
      </c>
      <c r="AE12" t="n">
        <v>1795</v>
      </c>
      <c r="AF12" t="n">
        <v>-1</v>
      </c>
      <c r="AG12" t="n">
        <v>14381</v>
      </c>
      <c r="AH12" t="n">
        <v/>
      </c>
    </row>
    <row r="13">
      <c r="A13" t="inlineStr">
        <is>
          <t>k6FracN10LB_mem20K_complexDSP_customSB_22nm.xml</t>
        </is>
      </c>
      <c r="B13" t="inlineStr">
        <is>
          <t>dla_like.large.v</t>
        </is>
      </c>
      <c r="C13" t="inlineStr">
        <is>
          <t>common</t>
        </is>
      </c>
      <c r="D13" t="inlineStr">
        <is>
          <t>success</t>
        </is>
      </c>
      <c r="E13" t="n">
        <v>13801000</v>
      </c>
      <c r="F13" t="n">
        <v>14035700</v>
      </c>
      <c r="G13" t="n">
        <v>5893300</v>
      </c>
      <c r="H13" t="n">
        <v>7450508</v>
      </c>
      <c r="I13" t="n">
        <v>15.381566</v>
      </c>
      <c r="J13" t="n">
        <v>15.4375</v>
      </c>
      <c r="K13" t="n">
        <v>7.12539</v>
      </c>
      <c r="L13" t="n">
        <v>8.406140000000001</v>
      </c>
      <c r="M13" t="n">
        <v>-2167234.75</v>
      </c>
      <c r="N13" t="n">
        <v>-2211330</v>
      </c>
      <c r="O13" t="n">
        <v>-1444390</v>
      </c>
      <c r="P13" t="n">
        <v>-1943330</v>
      </c>
      <c r="Q13" t="n">
        <v>1202</v>
      </c>
      <c r="R13" t="n">
        <v>65.898506</v>
      </c>
      <c r="S13" t="n">
        <v>0</v>
      </c>
      <c r="T13" t="n">
        <v>78.94296300000001</v>
      </c>
      <c r="U13" t="n">
        <v>71.350464</v>
      </c>
      <c r="V13" t="n">
        <v>7894096.5</v>
      </c>
      <c r="W13" t="n">
        <v>8.159779</v>
      </c>
      <c r="X13" t="n">
        <v>239</v>
      </c>
      <c r="Y13" t="n">
        <v>12413.56</v>
      </c>
      <c r="Z13" t="n">
        <v>419.21</v>
      </c>
      <c r="AA13" t="n">
        <v>6645.24</v>
      </c>
      <c r="AB13" t="n">
        <v>4964.33</v>
      </c>
      <c r="AC13" t="n">
        <v>161.29</v>
      </c>
      <c r="AD13" t="n">
        <v>13113.18</v>
      </c>
      <c r="AE13" t="n">
        <v>29232</v>
      </c>
      <c r="AF13" t="n">
        <v>-1</v>
      </c>
      <c r="AG13" t="n">
        <v>967440</v>
      </c>
      <c r="AH13" t="n">
        <v/>
      </c>
    </row>
    <row r="14">
      <c r="A14" t="inlineStr">
        <is>
          <t>k6FracN10LB_mem20K_complexDSP_customSB_22nm.xml</t>
        </is>
      </c>
      <c r="B14" t="inlineStr">
        <is>
          <t>dla_like.medium.v</t>
        </is>
      </c>
      <c r="C14" t="inlineStr">
        <is>
          <t>common</t>
        </is>
      </c>
      <c r="D14" t="inlineStr">
        <is>
          <t>success</t>
        </is>
      </c>
      <c r="E14" t="n">
        <v>2613910</v>
      </c>
      <c r="F14" t="n">
        <v>3243150</v>
      </c>
      <c r="G14" t="n">
        <v>1648477</v>
      </c>
      <c r="H14" t="n">
        <v>2261080</v>
      </c>
      <c r="I14" t="n">
        <v>12.489174</v>
      </c>
      <c r="J14" t="n">
        <v>10.8698</v>
      </c>
      <c r="K14" t="n">
        <v>6.43086</v>
      </c>
      <c r="L14" t="n">
        <v>6.81741</v>
      </c>
      <c r="M14" t="n">
        <v>-607861.4375</v>
      </c>
      <c r="N14" t="n">
        <v>-535946</v>
      </c>
      <c r="O14" t="n">
        <v>-443199</v>
      </c>
      <c r="P14" t="n">
        <v>-523885</v>
      </c>
      <c r="Q14" t="n">
        <v>295</v>
      </c>
      <c r="R14" t="n">
        <v>93.566101</v>
      </c>
      <c r="S14" t="n">
        <v>0</v>
      </c>
      <c r="T14" t="n">
        <v>78.358543</v>
      </c>
      <c r="U14" t="n">
        <v>71.42008199999999</v>
      </c>
      <c r="V14" t="n">
        <v>1805253.125</v>
      </c>
      <c r="W14" t="n">
        <v>5.419537</v>
      </c>
      <c r="X14" t="n">
        <v>116.810577</v>
      </c>
      <c r="Y14" t="n">
        <v>4057.16</v>
      </c>
      <c r="Z14" t="n">
        <v>151.05</v>
      </c>
      <c r="AA14" t="n">
        <v>3247.83</v>
      </c>
      <c r="AB14" t="n">
        <v>500.64</v>
      </c>
      <c r="AC14" t="n">
        <v>53.59</v>
      </c>
      <c r="AD14" t="n">
        <v>4316.06</v>
      </c>
      <c r="AE14" t="n">
        <v>10051</v>
      </c>
      <c r="AF14" t="n">
        <v>-1</v>
      </c>
      <c r="AG14" t="n">
        <v>333101</v>
      </c>
      <c r="AH14" t="n">
        <v/>
      </c>
    </row>
    <row r="15">
      <c r="A15" t="inlineStr">
        <is>
          <t>k6FracN10LB_mem20K_complexDSP_customSB_22nm.xml</t>
        </is>
      </c>
      <c r="B15" t="inlineStr">
        <is>
          <t>dla_like.small.v</t>
        </is>
      </c>
      <c r="C15" t="inlineStr">
        <is>
          <t>common</t>
        </is>
      </c>
      <c r="D15" t="inlineStr">
        <is>
          <t>success</t>
        </is>
      </c>
      <c r="E15" t="n">
        <v>624329</v>
      </c>
      <c r="F15" t="n">
        <v>921416</v>
      </c>
      <c r="G15" t="n">
        <v>544805</v>
      </c>
      <c r="H15" t="n">
        <v>819489</v>
      </c>
      <c r="I15" t="n">
        <v>13.108618</v>
      </c>
      <c r="J15" t="n">
        <v>8.16947</v>
      </c>
      <c r="K15" t="n">
        <v>6.16431</v>
      </c>
      <c r="L15" t="n">
        <v>5.84051</v>
      </c>
      <c r="M15" t="n">
        <v>-277797.59375</v>
      </c>
      <c r="N15" t="n">
        <v>-198871</v>
      </c>
      <c r="O15" t="n">
        <v>-173333</v>
      </c>
      <c r="P15" t="n">
        <v>-183037</v>
      </c>
      <c r="Q15" t="n">
        <v>162</v>
      </c>
      <c r="R15" t="n">
        <v>53.469135</v>
      </c>
      <c r="S15" t="n">
        <v>0</v>
      </c>
      <c r="T15" t="n">
        <v>77.789986</v>
      </c>
      <c r="U15" t="n">
        <v>69.694931</v>
      </c>
      <c r="V15" t="n">
        <v>488212.21875</v>
      </c>
      <c r="W15" t="n">
        <v>3.497874</v>
      </c>
      <c r="X15" t="n">
        <v>111.000198</v>
      </c>
      <c r="Y15" t="n">
        <v>1928.9</v>
      </c>
      <c r="Z15" t="n">
        <v>57.81</v>
      </c>
      <c r="AA15" t="n">
        <v>1729.44</v>
      </c>
      <c r="AB15" t="n">
        <v>117.98</v>
      </c>
      <c r="AC15" t="n">
        <v>19.7</v>
      </c>
      <c r="AD15" t="n">
        <v>1988.51</v>
      </c>
      <c r="AE15" t="n">
        <v>4085</v>
      </c>
      <c r="AF15" t="n">
        <v>-1</v>
      </c>
      <c r="AG15" t="n">
        <v>139574</v>
      </c>
      <c r="AH15" t="n">
        <v/>
      </c>
    </row>
    <row r="16">
      <c r="A16" t="inlineStr">
        <is>
          <t>k6FracN10LB_mem20K_complexDSP_customSB_22nm.xml</t>
        </is>
      </c>
      <c r="B16" t="inlineStr">
        <is>
          <t>dnnweaver.v</t>
        </is>
      </c>
      <c r="C16" t="inlineStr">
        <is>
          <t>common</t>
        </is>
      </c>
      <c r="D16" t="inlineStr">
        <is>
          <t>success</t>
        </is>
      </c>
      <c r="E16" t="n">
        <v>4985830</v>
      </c>
      <c r="F16" t="n">
        <v>3487450</v>
      </c>
      <c r="G16" t="n">
        <v>2062554</v>
      </c>
      <c r="H16" t="n">
        <v>2818230</v>
      </c>
      <c r="I16" t="n">
        <v>17.377541</v>
      </c>
      <c r="J16" t="n">
        <v>14.6642</v>
      </c>
      <c r="K16" t="n">
        <v>12.148</v>
      </c>
      <c r="L16" t="n">
        <v>14.0489</v>
      </c>
      <c r="M16" t="n">
        <v>-1700434.125</v>
      </c>
      <c r="N16" t="n">
        <v>-1662790</v>
      </c>
      <c r="O16" t="n">
        <v>-1336560</v>
      </c>
      <c r="P16" t="n">
        <v>-1803810</v>
      </c>
      <c r="Q16" t="n">
        <v>45</v>
      </c>
      <c r="R16" t="n">
        <v>21.111111</v>
      </c>
      <c r="S16" t="n">
        <v>0</v>
      </c>
      <c r="T16" t="n">
        <v>45.305748</v>
      </c>
      <c r="U16" t="n">
        <v>68.14660600000001</v>
      </c>
      <c r="V16" t="n">
        <v>1002524.5625</v>
      </c>
      <c r="W16" t="n">
        <v>7.789684</v>
      </c>
      <c r="X16" t="n">
        <v>278.879242</v>
      </c>
      <c r="Y16" t="n">
        <v>903.65</v>
      </c>
      <c r="Z16" t="n">
        <v>97.67</v>
      </c>
      <c r="AA16" t="n">
        <v>184.06</v>
      </c>
      <c r="AB16" t="n">
        <v>468.09</v>
      </c>
      <c r="AC16" t="n">
        <v>62.29</v>
      </c>
      <c r="AD16" t="n">
        <v>1158.38</v>
      </c>
      <c r="AE16" t="n">
        <v>7070</v>
      </c>
      <c r="AF16" t="n">
        <v>-1</v>
      </c>
      <c r="AG16" t="n">
        <v>128699</v>
      </c>
      <c r="AH16" t="n">
        <v/>
      </c>
    </row>
    <row r="17">
      <c r="A17" t="inlineStr">
        <is>
          <t>k6FracN10LB_mem20K_complexDSP_customSB_22nm.xml</t>
        </is>
      </c>
      <c r="B17" t="inlineStr">
        <is>
          <t>eltwise_layer.v</t>
        </is>
      </c>
      <c r="C17" t="inlineStr">
        <is>
          <t>common</t>
        </is>
      </c>
      <c r="D17" t="inlineStr">
        <is>
          <t>success</t>
        </is>
      </c>
      <c r="E17" t="n">
        <v>149698</v>
      </c>
      <c r="F17" t="n">
        <v>152282</v>
      </c>
      <c r="G17" t="n">
        <v>119586</v>
      </c>
      <c r="H17" t="n">
        <v>181566</v>
      </c>
      <c r="I17" t="n">
        <v>13.099749</v>
      </c>
      <c r="J17" t="n">
        <v>5.72067</v>
      </c>
      <c r="K17" t="n">
        <v>4.83641</v>
      </c>
      <c r="L17" t="n">
        <v>5.41473</v>
      </c>
      <c r="M17" t="n">
        <v>-21154.388672</v>
      </c>
      <c r="N17" t="n">
        <v>-26997.8</v>
      </c>
      <c r="O17" t="n">
        <v>-25683</v>
      </c>
      <c r="P17" t="n">
        <v>-27373.6</v>
      </c>
      <c r="Q17" t="n">
        <v>5</v>
      </c>
      <c r="R17" t="n">
        <v>49</v>
      </c>
      <c r="S17" t="n">
        <v>0</v>
      </c>
      <c r="T17" t="n">
        <v>54.488777</v>
      </c>
      <c r="U17" t="n">
        <v>56.562859</v>
      </c>
      <c r="V17" t="n">
        <v>33212.507812</v>
      </c>
      <c r="W17" t="n">
        <v>2.707689</v>
      </c>
      <c r="X17" t="n">
        <v>47.531235</v>
      </c>
      <c r="Y17" t="n">
        <v>36.12</v>
      </c>
      <c r="Z17" t="n">
        <v>7.31</v>
      </c>
      <c r="AA17" t="n">
        <v>5.73</v>
      </c>
      <c r="AB17" t="n">
        <v>5.31</v>
      </c>
      <c r="AC17" t="n">
        <v>3.18</v>
      </c>
      <c r="AD17" t="n">
        <v>66.31</v>
      </c>
      <c r="AE17" t="n">
        <v>434</v>
      </c>
      <c r="AF17" t="n">
        <v>-1</v>
      </c>
      <c r="AG17" t="n">
        <v>12266</v>
      </c>
      <c r="AH17" t="n">
        <v/>
      </c>
    </row>
    <row r="18">
      <c r="A18" t="inlineStr">
        <is>
          <t>k6FracN10LB_mem20K_complexDSP_customSB_22nm.xml</t>
        </is>
      </c>
      <c r="B18" t="inlineStr">
        <is>
          <t>gemm_layer.v</t>
        </is>
      </c>
      <c r="C18" t="inlineStr">
        <is>
          <t>common</t>
        </is>
      </c>
      <c r="D18" t="inlineStr">
        <is>
          <t>success</t>
        </is>
      </c>
      <c r="E18" t="n">
        <v>812354</v>
      </c>
      <c r="F18" t="n">
        <v>1102520</v>
      </c>
      <c r="G18" t="n">
        <v>647093</v>
      </c>
      <c r="H18" t="n">
        <v>797747</v>
      </c>
      <c r="I18" t="n">
        <v>12.160886</v>
      </c>
      <c r="J18" t="n">
        <v>6.47018</v>
      </c>
      <c r="K18" t="n">
        <v>5.97668</v>
      </c>
      <c r="L18" t="n">
        <v>6.81531</v>
      </c>
      <c r="M18" t="n">
        <v>-84462.414062</v>
      </c>
      <c r="N18" t="n">
        <v>-151134</v>
      </c>
      <c r="O18" t="n">
        <v>-125991</v>
      </c>
      <c r="P18" t="n">
        <v>-149450</v>
      </c>
      <c r="Q18" t="n">
        <v>69</v>
      </c>
      <c r="R18" t="n">
        <v>76.08696</v>
      </c>
      <c r="S18" t="n">
        <v>0</v>
      </c>
      <c r="T18" t="n">
        <v>34.621731</v>
      </c>
      <c r="U18" t="n">
        <v>77.240852</v>
      </c>
      <c r="V18" t="n">
        <v>158400.09375</v>
      </c>
      <c r="W18" t="n">
        <v>2.954234</v>
      </c>
      <c r="X18" t="n">
        <v>158.439316</v>
      </c>
      <c r="Y18" t="n">
        <v>133.64</v>
      </c>
      <c r="Z18" t="n">
        <v>13.4</v>
      </c>
      <c r="AA18" t="n">
        <v>18.36</v>
      </c>
      <c r="AB18" t="n">
        <v>40.65</v>
      </c>
      <c r="AC18" t="n">
        <v>8.42</v>
      </c>
      <c r="AD18" t="n">
        <v>211.4</v>
      </c>
      <c r="AE18" t="n">
        <v>2151</v>
      </c>
      <c r="AF18" t="n">
        <v>-1</v>
      </c>
      <c r="AG18" t="n">
        <v>53618</v>
      </c>
      <c r="AH18" t="n">
        <v/>
      </c>
    </row>
    <row r="19">
      <c r="A19" t="inlineStr">
        <is>
          <t>k6FracN10LB_mem20K_complexDSP_customSB_22nm.xml</t>
        </is>
      </c>
      <c r="B19" t="inlineStr">
        <is>
          <t>lenet.v</t>
        </is>
      </c>
      <c r="C19" t="inlineStr">
        <is>
          <t>common</t>
        </is>
      </c>
      <c r="D19" t="inlineStr">
        <is>
          <t>success</t>
        </is>
      </c>
      <c r="E19" t="n">
        <v>86869.2</v>
      </c>
      <c r="F19" t="n">
        <v>146608</v>
      </c>
      <c r="G19" t="n">
        <v>109380</v>
      </c>
      <c r="H19" t="n">
        <v>190599</v>
      </c>
      <c r="I19" t="n">
        <v>19.017973</v>
      </c>
      <c r="J19" t="n">
        <v>10.8236</v>
      </c>
      <c r="K19" t="n">
        <v>9.779920000000001</v>
      </c>
      <c r="L19" t="n">
        <v>9.156790000000001</v>
      </c>
      <c r="M19" t="n">
        <v>-28335.09375</v>
      </c>
      <c r="N19" t="n">
        <v>-19224</v>
      </c>
      <c r="O19" t="n">
        <v>-18047.9</v>
      </c>
      <c r="P19" t="n">
        <v>-18027.2</v>
      </c>
      <c r="Q19" t="n">
        <v>10</v>
      </c>
      <c r="R19" t="n">
        <v>15.5</v>
      </c>
      <c r="S19" t="n">
        <v>0</v>
      </c>
      <c r="T19" t="n">
        <v>59.922779</v>
      </c>
      <c r="U19" t="n">
        <v>58.944256</v>
      </c>
      <c r="V19" t="n">
        <v>42948.589844</v>
      </c>
      <c r="W19" t="n">
        <v>1.867492</v>
      </c>
      <c r="X19" t="n">
        <v>22.253414</v>
      </c>
      <c r="Y19" t="n">
        <v>66.83</v>
      </c>
      <c r="Z19" t="n">
        <v>12.53</v>
      </c>
      <c r="AA19" t="n">
        <v>23.48</v>
      </c>
      <c r="AB19" t="n">
        <v>12.26</v>
      </c>
      <c r="AC19" t="n">
        <v>5.68</v>
      </c>
      <c r="AD19" t="n">
        <v>101.45</v>
      </c>
      <c r="AE19" t="n">
        <v>1218</v>
      </c>
      <c r="AF19" t="n">
        <v>-1</v>
      </c>
      <c r="AG19" t="n">
        <v>22998</v>
      </c>
      <c r="AH19" t="n">
        <v/>
      </c>
    </row>
    <row r="20">
      <c r="A20" t="inlineStr">
        <is>
          <t>k6FracN10LB_mem20K_complexDSP_customSB_22nm.xml</t>
        </is>
      </c>
      <c r="B20" t="inlineStr">
        <is>
          <t>lstm.v</t>
        </is>
      </c>
      <c r="C20" t="inlineStr">
        <is>
          <t>common</t>
        </is>
      </c>
      <c r="D20" t="inlineStr">
        <is>
          <t>success</t>
        </is>
      </c>
      <c r="E20" t="n">
        <v>2337790</v>
      </c>
      <c r="F20" t="n">
        <v>2007610</v>
      </c>
      <c r="G20" t="n">
        <v>1301588</v>
      </c>
      <c r="H20" t="n">
        <v>1788648</v>
      </c>
      <c r="I20" t="n">
        <v>14.545471</v>
      </c>
      <c r="J20" t="n">
        <v>15.108</v>
      </c>
      <c r="K20" t="n">
        <v>7.7186</v>
      </c>
      <c r="L20" t="n">
        <v>7.97467</v>
      </c>
      <c r="M20" t="n">
        <v>-319431.625</v>
      </c>
      <c r="N20" t="n">
        <v>-490484</v>
      </c>
      <c r="O20" t="n">
        <v>-426494</v>
      </c>
      <c r="P20" t="n">
        <v>-602212</v>
      </c>
      <c r="Q20" t="n">
        <v>101</v>
      </c>
      <c r="R20" t="n">
        <v>64.43564600000001</v>
      </c>
      <c r="S20" t="n">
        <v>0</v>
      </c>
      <c r="T20" t="n">
        <v>53.862854</v>
      </c>
      <c r="U20" t="n">
        <v>38.88863</v>
      </c>
      <c r="V20" t="n">
        <v>412381.65625</v>
      </c>
      <c r="W20" t="n">
        <v>2.408349</v>
      </c>
      <c r="X20" t="n">
        <v>165.000214</v>
      </c>
      <c r="Y20" t="n">
        <v>2031.32</v>
      </c>
      <c r="Z20" t="n">
        <v>69.98999999999999</v>
      </c>
      <c r="AA20" t="n">
        <v>1688.34</v>
      </c>
      <c r="AB20" t="n">
        <v>139.83</v>
      </c>
      <c r="AC20" t="n">
        <v>35.22</v>
      </c>
      <c r="AD20" t="n">
        <v>2247.32</v>
      </c>
      <c r="AE20" t="n">
        <v>4539</v>
      </c>
      <c r="AF20" t="n">
        <v>-1</v>
      </c>
      <c r="AG20" t="n">
        <v>171230</v>
      </c>
      <c r="AH20" t="n">
        <v/>
      </c>
    </row>
    <row r="21">
      <c r="A21" t="inlineStr">
        <is>
          <t>k6FracN10LB_mem20K_complexDSP_customSB_22nm.xml</t>
        </is>
      </c>
      <c r="B21" t="inlineStr">
        <is>
          <t>reduction_layer.v</t>
        </is>
      </c>
      <c r="C21" t="inlineStr">
        <is>
          <t>common</t>
        </is>
      </c>
      <c r="D21" t="inlineStr">
        <is>
          <t>success</t>
        </is>
      </c>
      <c r="E21" t="n">
        <v>101197</v>
      </c>
      <c r="F21" t="n">
        <v>115514</v>
      </c>
      <c r="G21" t="n">
        <v>92423</v>
      </c>
      <c r="H21" t="n">
        <v>154079</v>
      </c>
      <c r="I21" t="n">
        <v>12.108259</v>
      </c>
      <c r="J21" t="n">
        <v>7.41551</v>
      </c>
      <c r="K21" t="n">
        <v>6.0915</v>
      </c>
      <c r="L21" t="n">
        <v>6.44392</v>
      </c>
      <c r="M21" t="n">
        <v>-38702.015625</v>
      </c>
      <c r="N21" t="n">
        <v>-59792.7</v>
      </c>
      <c r="O21" t="n">
        <v>-49670.7</v>
      </c>
      <c r="P21" t="n">
        <v>-58798.3</v>
      </c>
      <c r="Q21" t="n">
        <v>2</v>
      </c>
      <c r="R21" t="n">
        <v>12.5</v>
      </c>
      <c r="S21" t="n">
        <v>0</v>
      </c>
      <c r="T21" t="n">
        <v>71.197845</v>
      </c>
      <c r="U21" t="n">
        <v>61.54174</v>
      </c>
      <c r="V21" t="n">
        <v>53270.34375</v>
      </c>
      <c r="W21" t="n">
        <v>3.784749</v>
      </c>
      <c r="X21" t="n">
        <v>62.0868</v>
      </c>
      <c r="Y21" t="n">
        <v>44.46</v>
      </c>
      <c r="Z21" t="n">
        <v>6.64</v>
      </c>
      <c r="AA21" t="n">
        <v>13.97</v>
      </c>
      <c r="AB21" t="n">
        <v>6.55</v>
      </c>
      <c r="AC21" t="n">
        <v>4.16</v>
      </c>
      <c r="AD21" t="n">
        <v>75.73</v>
      </c>
      <c r="AE21" t="n">
        <v>637</v>
      </c>
      <c r="AF21" t="n">
        <v>-1</v>
      </c>
      <c r="AG21" t="n">
        <v>14075</v>
      </c>
      <c r="AH21" t="n">
        <v/>
      </c>
    </row>
    <row r="22">
      <c r="A22" t="inlineStr">
        <is>
          <t>k6FracN10LB_mem20K_complexDSP_customSB_22nm.xml</t>
        </is>
      </c>
      <c r="B22" t="inlineStr">
        <is>
          <t>robot_rl.v</t>
        </is>
      </c>
      <c r="C22" t="inlineStr">
        <is>
          <t>common</t>
        </is>
      </c>
      <c r="D22" t="inlineStr">
        <is>
          <t>success</t>
        </is>
      </c>
      <c r="E22" t="n">
        <v>142145</v>
      </c>
      <c r="F22" t="n">
        <v>146853</v>
      </c>
      <c r="G22" t="n">
        <v>105136</v>
      </c>
      <c r="H22" t="n">
        <v>172555</v>
      </c>
      <c r="I22" t="n">
        <v>15.177841</v>
      </c>
      <c r="J22" t="n">
        <v>6.77438</v>
      </c>
      <c r="K22" t="n">
        <v>6.04568</v>
      </c>
      <c r="L22" t="n">
        <v>6.39472</v>
      </c>
      <c r="M22" t="n">
        <v>-48021.347656</v>
      </c>
      <c r="N22" t="n">
        <v>-47983.1</v>
      </c>
      <c r="O22" t="n">
        <v>-44381</v>
      </c>
      <c r="P22" t="n">
        <v>-48759.4</v>
      </c>
      <c r="Q22" t="n">
        <v>6</v>
      </c>
      <c r="R22" t="n">
        <v>15</v>
      </c>
      <c r="S22" t="n">
        <v>0</v>
      </c>
      <c r="T22" t="n">
        <v>58.060108</v>
      </c>
      <c r="U22" t="n">
        <v>56.180119</v>
      </c>
      <c r="V22" t="n">
        <v>43142.941406</v>
      </c>
      <c r="W22" t="n">
        <v>1.877004</v>
      </c>
      <c r="X22" t="n">
        <v>41</v>
      </c>
      <c r="Y22" t="n">
        <v>60.46</v>
      </c>
      <c r="Z22" t="n">
        <v>11</v>
      </c>
      <c r="AA22" t="n">
        <v>20.27</v>
      </c>
      <c r="AB22" t="n">
        <v>11.57</v>
      </c>
      <c r="AC22" t="n">
        <v>4.5</v>
      </c>
      <c r="AD22" t="n">
        <v>92.84</v>
      </c>
      <c r="AE22" t="n">
        <v>974</v>
      </c>
      <c r="AF22" t="n">
        <v>-1</v>
      </c>
      <c r="AG22" t="n">
        <v>22985</v>
      </c>
      <c r="AH22" t="n">
        <v/>
      </c>
    </row>
    <row r="23">
      <c r="A23" t="inlineStr">
        <is>
          <t>k6FracN10LB_mem20K_complexDSP_customSB_22nm.xml</t>
        </is>
      </c>
      <c r="B23" t="inlineStr">
        <is>
          <t>softmax.v</t>
        </is>
      </c>
      <c r="C23" t="inlineStr">
        <is>
          <t>common</t>
        </is>
      </c>
      <c r="D23" t="inlineStr">
        <is>
          <t>success</t>
        </is>
      </c>
      <c r="E23" t="n">
        <v>82655.5</v>
      </c>
      <c r="F23" t="n">
        <v>111757</v>
      </c>
      <c r="G23" t="n">
        <v>84879</v>
      </c>
      <c r="H23" t="n">
        <v>131760</v>
      </c>
      <c r="I23" t="n">
        <v>15.566805</v>
      </c>
      <c r="J23" t="n">
        <v>11.58</v>
      </c>
      <c r="K23" t="n">
        <v>10.6466</v>
      </c>
      <c r="L23" t="n">
        <v>9.438750000000001</v>
      </c>
      <c r="M23" t="n">
        <v>-16483.837891</v>
      </c>
      <c r="N23" t="n">
        <v>-16295.7</v>
      </c>
      <c r="O23" t="n">
        <v>-14951.9</v>
      </c>
      <c r="P23" t="n">
        <v>-16196.3</v>
      </c>
      <c r="Q23" t="n">
        <v>6</v>
      </c>
      <c r="R23" t="n">
        <v>57.166668</v>
      </c>
      <c r="S23" t="n">
        <v>0</v>
      </c>
      <c r="T23" t="n">
        <v>45.380436</v>
      </c>
      <c r="U23" t="n">
        <v>37.908607</v>
      </c>
      <c r="V23" t="n">
        <v>9188.859375</v>
      </c>
      <c r="W23" t="n">
        <v>0.776152</v>
      </c>
      <c r="X23" t="n">
        <v>33.405327</v>
      </c>
      <c r="Y23" t="n">
        <v>39.94</v>
      </c>
      <c r="Z23" t="n">
        <v>6.18</v>
      </c>
      <c r="AA23" t="n">
        <v>11.39</v>
      </c>
      <c r="AB23" t="n">
        <v>5.27</v>
      </c>
      <c r="AC23" t="n">
        <v>2.65</v>
      </c>
      <c r="AD23" t="n">
        <v>69.14</v>
      </c>
      <c r="AE23" t="n">
        <v>515</v>
      </c>
      <c r="AF23" t="n">
        <v>-1</v>
      </c>
      <c r="AG23" t="n">
        <v>11839</v>
      </c>
      <c r="AH23" t="n">
        <v/>
      </c>
    </row>
    <row r="24">
      <c r="A24" t="inlineStr">
        <is>
          <t>k6FracN10LB_mem20K_complexDSP_customSB_22nm.xml</t>
        </is>
      </c>
      <c r="B24" t="inlineStr">
        <is>
          <t>spmv.v</t>
        </is>
      </c>
      <c r="C24" t="inlineStr">
        <is>
          <t>common</t>
        </is>
      </c>
      <c r="D24" t="inlineStr">
        <is>
          <t>success</t>
        </is>
      </c>
      <c r="E24" t="n">
        <v>153917</v>
      </c>
      <c r="F24" t="n">
        <v>247903</v>
      </c>
      <c r="G24" t="n">
        <v>141805</v>
      </c>
      <c r="H24" t="n">
        <v>198678</v>
      </c>
      <c r="I24" t="n">
        <v>7.946098</v>
      </c>
      <c r="J24" t="n">
        <v>7.9955</v>
      </c>
      <c r="K24" t="n">
        <v>6.23798</v>
      </c>
      <c r="L24" t="n">
        <v>7.42974</v>
      </c>
      <c r="M24" t="n">
        <v>-32293.802734</v>
      </c>
      <c r="N24" t="n">
        <v>-44836.9</v>
      </c>
      <c r="O24" t="n">
        <v>-41238.4</v>
      </c>
      <c r="P24" t="n">
        <v>-48837.9</v>
      </c>
      <c r="Q24" t="n">
        <v>0</v>
      </c>
      <c r="R24" t="n">
        <v>0</v>
      </c>
      <c r="S24" t="n">
        <v>0</v>
      </c>
      <c r="T24" t="n">
        <v>43.301888</v>
      </c>
      <c r="U24" t="n">
        <v>39.733723</v>
      </c>
      <c r="V24" t="n">
        <v>60733.316406</v>
      </c>
      <c r="W24" t="n">
        <v>4.21145</v>
      </c>
      <c r="X24" t="n">
        <v>115.521782</v>
      </c>
      <c r="Y24" t="n">
        <v>41.07</v>
      </c>
      <c r="Z24" t="n">
        <v>6.99</v>
      </c>
      <c r="AA24" t="n">
        <v>10.49</v>
      </c>
      <c r="AB24" t="n">
        <v>6.38</v>
      </c>
      <c r="AC24" t="n">
        <v>3.04</v>
      </c>
      <c r="AD24" t="n">
        <v>71.34999999999999</v>
      </c>
      <c r="AE24" t="n">
        <v>697</v>
      </c>
      <c r="AF24" t="n">
        <v>-1</v>
      </c>
      <c r="AG24" t="n">
        <v>14421</v>
      </c>
      <c r="AH24" t="n">
        <v/>
      </c>
    </row>
    <row r="25">
      <c r="A25" t="inlineStr">
        <is>
          <t>k6FracN10LB_mem20K_complexDSP_customSB_22nm.xml</t>
        </is>
      </c>
      <c r="B25" t="inlineStr">
        <is>
          <t>tdarknet_like.large.v</t>
        </is>
      </c>
      <c r="C25" t="inlineStr">
        <is>
          <t>common</t>
        </is>
      </c>
      <c r="D25" t="inlineStr">
        <is>
          <t>success</t>
        </is>
      </c>
      <c r="E25" t="n">
        <v>8050190</v>
      </c>
      <c r="F25" t="n">
        <v>5408180</v>
      </c>
      <c r="G25" t="n">
        <v>2536278</v>
      </c>
      <c r="H25" t="n">
        <v>3848330</v>
      </c>
      <c r="I25" t="n">
        <v>16.085606</v>
      </c>
      <c r="J25" t="n">
        <v>17.9918</v>
      </c>
      <c r="K25" t="n">
        <v>10.7136</v>
      </c>
      <c r="L25" t="n">
        <v>11.9039</v>
      </c>
      <c r="M25" t="n">
        <v>-3953045.75</v>
      </c>
      <c r="N25" t="n">
        <v>-4554240</v>
      </c>
      <c r="O25" t="n">
        <v>-3148080</v>
      </c>
      <c r="P25" t="n">
        <v>-4108100</v>
      </c>
      <c r="Q25" t="n">
        <v>268</v>
      </c>
      <c r="R25" t="n">
        <v>26.130596</v>
      </c>
      <c r="S25" t="n">
        <v>0</v>
      </c>
      <c r="T25" t="n">
        <v>81.400368</v>
      </c>
      <c r="U25" t="n">
        <v>72.102295</v>
      </c>
      <c r="V25" t="n">
        <v>2194422.75</v>
      </c>
      <c r="W25" t="n">
        <v>7.868812</v>
      </c>
      <c r="X25" t="n">
        <v>377.81427</v>
      </c>
      <c r="Y25" t="n">
        <v>5128.7</v>
      </c>
      <c r="Z25" t="n">
        <v>226.85</v>
      </c>
      <c r="AA25" t="n">
        <v>3746.29</v>
      </c>
      <c r="AB25" t="n">
        <v>731.78</v>
      </c>
      <c r="AC25" t="n">
        <v>86.08</v>
      </c>
      <c r="AD25" t="n">
        <v>5713.71</v>
      </c>
      <c r="AE25" t="n">
        <v>11384</v>
      </c>
      <c r="AF25" t="n">
        <v>-1</v>
      </c>
      <c r="AG25" t="n">
        <v>278876</v>
      </c>
      <c r="AH25" t="n">
        <v/>
      </c>
    </row>
    <row r="26">
      <c r="A26" t="inlineStr">
        <is>
          <t>k6FracN10LB_mem20K_complexDSP_customSB_22nm.xml</t>
        </is>
      </c>
      <c r="B26" t="inlineStr">
        <is>
          <t>tdarknet_like.small.v</t>
        </is>
      </c>
      <c r="C26" t="inlineStr">
        <is>
          <t>common</t>
        </is>
      </c>
      <c r="D26" t="inlineStr">
        <is>
          <t>success</t>
        </is>
      </c>
      <c r="E26" t="n">
        <v>12901600</v>
      </c>
      <c r="F26" t="n">
        <v>9487400</v>
      </c>
      <c r="G26" t="n">
        <v>3276971</v>
      </c>
      <c r="H26" t="n">
        <v>3940259</v>
      </c>
      <c r="I26" t="n">
        <v>14.49841</v>
      </c>
      <c r="J26" t="n">
        <v>17.7008</v>
      </c>
      <c r="K26" t="n">
        <v>12.3892</v>
      </c>
      <c r="L26" t="n">
        <v>19.6643</v>
      </c>
      <c r="M26" t="n">
        <v>-1067592.25</v>
      </c>
      <c r="N26" t="n">
        <v>-3287320</v>
      </c>
      <c r="O26" t="n">
        <v>-1642810</v>
      </c>
      <c r="P26" t="n">
        <v>-2931400</v>
      </c>
      <c r="Q26" t="n">
        <v>61</v>
      </c>
      <c r="R26" t="n">
        <v>19.278688</v>
      </c>
      <c r="S26" t="n">
        <v>0</v>
      </c>
      <c r="T26" t="n">
        <v>55.749451</v>
      </c>
      <c r="U26" t="n">
        <v>76.166939</v>
      </c>
      <c r="V26" t="n">
        <v>4414979.5</v>
      </c>
      <c r="W26" t="n">
        <v>34.699409</v>
      </c>
      <c r="X26" t="n">
        <v>645.151001</v>
      </c>
      <c r="Y26" t="n">
        <v>2623.55</v>
      </c>
      <c r="Z26" t="n">
        <v>96.26000000000001</v>
      </c>
      <c r="AA26" t="n">
        <v>982.97</v>
      </c>
      <c r="AB26" t="n">
        <v>545.62</v>
      </c>
      <c r="AC26" t="n">
        <v>75.95</v>
      </c>
      <c r="AD26" t="n">
        <v>3872.2</v>
      </c>
      <c r="AE26" t="n">
        <v>5040</v>
      </c>
      <c r="AF26" t="n">
        <v>-1</v>
      </c>
      <c r="AG26" t="n">
        <v>127235</v>
      </c>
      <c r="AH26" t="n">
        <v/>
      </c>
    </row>
    <row r="27">
      <c r="A27" t="inlineStr">
        <is>
          <t>k6FracN10LB_mem20K_complexDSP_customSB_22nm.xml</t>
        </is>
      </c>
      <c r="B27" t="inlineStr">
        <is>
          <t>tpu_like.large.os.v</t>
        </is>
      </c>
      <c r="C27" t="inlineStr">
        <is>
          <t>common</t>
        </is>
      </c>
      <c r="D27" t="inlineStr">
        <is>
          <t>success</t>
        </is>
      </c>
      <c r="E27" t="n">
        <v>3137030</v>
      </c>
      <c r="F27" t="n">
        <v>2419810</v>
      </c>
      <c r="G27" t="n">
        <v>1438731</v>
      </c>
      <c r="H27" t="n">
        <v>1526837</v>
      </c>
      <c r="I27" t="n">
        <v>9.385425</v>
      </c>
      <c r="J27" t="n">
        <v>10.1473</v>
      </c>
      <c r="K27" t="n">
        <v>9.105689999999999</v>
      </c>
      <c r="L27" t="n">
        <v>9.76484</v>
      </c>
      <c r="M27" t="n">
        <v>-251208.515625</v>
      </c>
      <c r="N27" t="n">
        <v>-431678</v>
      </c>
      <c r="O27" t="n">
        <v>-396927</v>
      </c>
      <c r="P27" t="n">
        <v>-442077</v>
      </c>
      <c r="Q27" t="n">
        <v>267</v>
      </c>
      <c r="R27" t="n">
        <v>303.640442</v>
      </c>
      <c r="S27" t="n">
        <v>0</v>
      </c>
      <c r="T27" t="n">
        <v>41.771217</v>
      </c>
      <c r="U27" t="n">
        <v>75.629456</v>
      </c>
      <c r="V27" t="n">
        <v>354880.46875</v>
      </c>
      <c r="W27" t="n">
        <v>5.909553</v>
      </c>
      <c r="X27" t="n">
        <v>367</v>
      </c>
      <c r="Y27" t="n">
        <v>921.24</v>
      </c>
      <c r="Z27" t="n">
        <v>42.99</v>
      </c>
      <c r="AA27" t="n">
        <v>33.54</v>
      </c>
      <c r="AB27" t="n">
        <v>473.75</v>
      </c>
      <c r="AC27" t="n">
        <v>18.93</v>
      </c>
      <c r="AD27" t="n">
        <v>1375.37</v>
      </c>
      <c r="AE27" t="n">
        <v>1772</v>
      </c>
      <c r="AF27" t="n">
        <v>-1</v>
      </c>
      <c r="AG27" t="n">
        <v>60052</v>
      </c>
      <c r="AH27" t="n">
        <v/>
      </c>
    </row>
    <row r="28">
      <c r="A28" t="inlineStr">
        <is>
          <t>k6FracN10LB_mem20K_complexDSP_customSB_22nm.xml</t>
        </is>
      </c>
      <c r="B28" t="inlineStr">
        <is>
          <t>tpu_like.large.ws.v</t>
        </is>
      </c>
      <c r="C28" t="inlineStr">
        <is>
          <t>common</t>
        </is>
      </c>
      <c r="D28" t="inlineStr">
        <is>
          <t>success</t>
        </is>
      </c>
      <c r="E28" t="n">
        <v>2069530</v>
      </c>
      <c r="F28" t="n">
        <v>1498570</v>
      </c>
      <c r="G28" t="n">
        <v>826082</v>
      </c>
      <c r="H28" t="n">
        <v>1001564</v>
      </c>
      <c r="I28" t="n">
        <v>19.700935</v>
      </c>
      <c r="J28" t="n">
        <v>13.0665</v>
      </c>
      <c r="K28" t="n">
        <v>10.1871</v>
      </c>
      <c r="L28" t="n">
        <v>10.7358</v>
      </c>
      <c r="M28" t="n">
        <v>-201388.28125</v>
      </c>
      <c r="N28" t="n">
        <v>-336123</v>
      </c>
      <c r="O28" t="n">
        <v>-263116</v>
      </c>
      <c r="P28" t="n">
        <v>-311891</v>
      </c>
      <c r="Q28" t="n">
        <v>309</v>
      </c>
      <c r="R28" t="n">
        <v>401.265381</v>
      </c>
      <c r="S28" t="n">
        <v>0</v>
      </c>
      <c r="T28" t="n">
        <v>44.093021</v>
      </c>
      <c r="U28" t="n">
        <v>57.817577</v>
      </c>
      <c r="V28" t="n">
        <v>212576.359375</v>
      </c>
      <c r="W28" t="n">
        <v>3.714422</v>
      </c>
      <c r="X28" t="n">
        <v>467.000183</v>
      </c>
      <c r="Y28" t="n">
        <v>1444.1</v>
      </c>
      <c r="Z28" t="n">
        <v>40.59</v>
      </c>
      <c r="AA28" t="n">
        <v>206.94</v>
      </c>
      <c r="AB28" t="n">
        <v>786.35</v>
      </c>
      <c r="AC28" t="n">
        <v>29.49</v>
      </c>
      <c r="AD28" t="n">
        <v>1920.38</v>
      </c>
      <c r="AE28" t="n">
        <v>1952</v>
      </c>
      <c r="AF28" t="n">
        <v>-1</v>
      </c>
      <c r="AG28" t="n">
        <v>57230</v>
      </c>
      <c r="AH28" t="n">
        <v/>
      </c>
    </row>
    <row r="29">
      <c r="A29" t="inlineStr">
        <is>
          <t>k6FracN10LB_mem20K_complexDSP_customSB_22nm.xml</t>
        </is>
      </c>
      <c r="B29" t="inlineStr">
        <is>
          <t>tpu_like.small.os.v</t>
        </is>
      </c>
      <c r="C29" t="inlineStr">
        <is>
          <t>common</t>
        </is>
      </c>
      <c r="D29" t="inlineStr">
        <is>
          <t>success</t>
        </is>
      </c>
      <c r="E29" t="n">
        <v>420860</v>
      </c>
      <c r="F29" t="n">
        <v>432457</v>
      </c>
      <c r="G29" t="n">
        <v>316412</v>
      </c>
      <c r="H29" t="n">
        <v>352201</v>
      </c>
      <c r="I29" t="n">
        <v>11.905107</v>
      </c>
      <c r="J29" t="n">
        <v>8.00643</v>
      </c>
      <c r="K29" t="n">
        <v>5.31979</v>
      </c>
      <c r="L29" t="n">
        <v>6.22062</v>
      </c>
      <c r="M29" t="n">
        <v>-51726.632812</v>
      </c>
      <c r="N29" t="n">
        <v>-84946.39999999999</v>
      </c>
      <c r="O29" t="n">
        <v>-82245.8</v>
      </c>
      <c r="P29" t="n">
        <v>-91665.2</v>
      </c>
      <c r="Q29" t="n">
        <v>36</v>
      </c>
      <c r="R29" t="n">
        <v>232.083328</v>
      </c>
      <c r="S29" t="n">
        <v>0</v>
      </c>
      <c r="T29" t="n">
        <v>35.532646</v>
      </c>
      <c r="U29" t="n">
        <v>72.610634</v>
      </c>
      <c r="V29" t="n">
        <v>67578.109375</v>
      </c>
      <c r="W29" t="n">
        <v>3.673921</v>
      </c>
      <c r="X29" t="n">
        <v>155.000198</v>
      </c>
      <c r="Y29" t="n">
        <v>96</v>
      </c>
      <c r="Z29" t="n">
        <v>11.18</v>
      </c>
      <c r="AA29" t="n">
        <v>11.08</v>
      </c>
      <c r="AB29" t="n">
        <v>24.04</v>
      </c>
      <c r="AC29" t="n">
        <v>4.7</v>
      </c>
      <c r="AD29" t="n">
        <v>167.64</v>
      </c>
      <c r="AE29" t="n">
        <v>514</v>
      </c>
      <c r="AF29" t="n">
        <v>-1</v>
      </c>
      <c r="AG29" t="n">
        <v>18394</v>
      </c>
      <c r="AH29" t="n">
        <v/>
      </c>
    </row>
    <row r="30">
      <c r="A30" t="inlineStr">
        <is>
          <t>k6FracN10LB_mem20K_complexDSP_customSB_22nm.xml</t>
        </is>
      </c>
      <c r="B30" t="inlineStr">
        <is>
          <t>tpu_like.small.ws.v</t>
        </is>
      </c>
      <c r="C30" t="inlineStr">
        <is>
          <t>common</t>
        </is>
      </c>
      <c r="D30" t="inlineStr">
        <is>
          <t>success</t>
        </is>
      </c>
      <c r="E30" t="n">
        <v>319975</v>
      </c>
      <c r="F30" t="n">
        <v>380781</v>
      </c>
      <c r="G30" t="n">
        <v>181973</v>
      </c>
      <c r="H30" t="n">
        <v>244903</v>
      </c>
      <c r="I30" t="n">
        <v>14.830582</v>
      </c>
      <c r="J30" t="n">
        <v>13.4881</v>
      </c>
      <c r="K30" t="n">
        <v>8.726660000000001</v>
      </c>
      <c r="L30" t="n">
        <v>9.202159999999999</v>
      </c>
      <c r="M30" t="n">
        <v>-61720.792969</v>
      </c>
      <c r="N30" t="n">
        <v>-85815.3</v>
      </c>
      <c r="O30" t="n">
        <v>-73489.5</v>
      </c>
      <c r="P30" t="n">
        <v>-81125.8</v>
      </c>
      <c r="Q30" t="n">
        <v>73</v>
      </c>
      <c r="R30" t="n">
        <v>609.246582</v>
      </c>
      <c r="S30" t="n">
        <v>0</v>
      </c>
      <c r="T30" t="n">
        <v>40.331165</v>
      </c>
      <c r="U30" t="n">
        <v>58.772449</v>
      </c>
      <c r="V30" t="n">
        <v>56508.835938</v>
      </c>
      <c r="W30" t="n">
        <v>2.788081</v>
      </c>
      <c r="X30" t="n">
        <v>175</v>
      </c>
      <c r="Y30" t="n">
        <v>202.87</v>
      </c>
      <c r="Z30" t="n">
        <v>16.37</v>
      </c>
      <c r="AA30" t="n">
        <v>91.48</v>
      </c>
      <c r="AB30" t="n">
        <v>24.6</v>
      </c>
      <c r="AC30" t="n">
        <v>6.35</v>
      </c>
      <c r="AD30" t="n">
        <v>276.26</v>
      </c>
      <c r="AE30" t="n">
        <v>722</v>
      </c>
      <c r="AF30" t="n">
        <v>-1</v>
      </c>
      <c r="AG30" t="n">
        <v>20268</v>
      </c>
      <c r="AH30" t="n"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k6FracN10LB_mem20K_complexDSP_customSB_22nm.xml</t>
        </is>
      </c>
      <c r="B2" t="inlineStr">
        <is>
          <t>attention_layer.v</t>
        </is>
      </c>
      <c r="C2" t="inlineStr">
        <is>
          <t>common</t>
        </is>
      </c>
      <c r="D2" t="inlineStr">
        <is>
          <t>exited with return code 1</t>
        </is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950.05</v>
      </c>
      <c r="AE2" t="n">
        <v>-1</v>
      </c>
      <c r="AF2" t="n">
        <v>-1</v>
      </c>
      <c r="AG2" t="n">
        <v>36476</v>
      </c>
      <c r="AH2" t="n">
        <v/>
      </c>
    </row>
    <row r="3">
      <c r="A3" t="inlineStr">
        <is>
          <t>k6FracN10LB_mem20K_complexDSP_customSB_22nm.xml</t>
        </is>
      </c>
      <c r="B3" t="inlineStr">
        <is>
          <t>bnn.v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4650360</v>
      </c>
      <c r="G3" t="n">
        <v>888870</v>
      </c>
      <c r="H3" t="n">
        <v>1193240</v>
      </c>
      <c r="I3" t="n">
        <v>-1</v>
      </c>
      <c r="J3" t="n">
        <v>20.0158</v>
      </c>
      <c r="K3" t="n">
        <v>8.4689</v>
      </c>
      <c r="L3" t="n">
        <v>8.735060000000001</v>
      </c>
      <c r="M3" t="n">
        <v>-1</v>
      </c>
      <c r="N3" t="n">
        <v>-259676</v>
      </c>
      <c r="O3" t="n">
        <v>-163089</v>
      </c>
      <c r="P3" t="n">
        <v>-185286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25.57</v>
      </c>
      <c r="AD3" t="n">
        <v>504.48</v>
      </c>
      <c r="AE3" t="n">
        <v>6196</v>
      </c>
      <c r="AF3" t="n">
        <v>-1</v>
      </c>
      <c r="AG3" t="n">
        <v>154401</v>
      </c>
      <c r="AH3" t="n">
        <v/>
      </c>
    </row>
    <row r="4">
      <c r="A4" t="inlineStr">
        <is>
          <t>k6FracN10LB_mem20K_complexDSP_customSB_22nm.xml</t>
        </is>
      </c>
      <c r="B4" t="inlineStr">
        <is>
          <t>bwave_like.fixed.large.v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4108190</v>
      </c>
      <c r="G4" t="n">
        <v>1773560</v>
      </c>
      <c r="H4" t="n">
        <v>2112082</v>
      </c>
      <c r="I4" t="n">
        <v>-1</v>
      </c>
      <c r="J4" t="n">
        <v>34.3987</v>
      </c>
      <c r="K4" t="n">
        <v>9.68946</v>
      </c>
      <c r="L4" t="n">
        <v>11.1675</v>
      </c>
      <c r="M4" t="n">
        <v>-1</v>
      </c>
      <c r="N4" t="n">
        <v>-829383</v>
      </c>
      <c r="O4" t="n">
        <v>-575580</v>
      </c>
      <c r="P4" t="n">
        <v>-899845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402.05</v>
      </c>
      <c r="AD4" t="n">
        <v>897.28</v>
      </c>
      <c r="AE4" t="n">
        <v>1322</v>
      </c>
      <c r="AF4" t="n">
        <v>-1</v>
      </c>
      <c r="AG4" t="n">
        <v>43846</v>
      </c>
      <c r="AH4" t="n">
        <v/>
      </c>
    </row>
    <row r="5">
      <c r="A5" t="inlineStr">
        <is>
          <t>k6FracN10LB_mem20K_complexDSP_customSB_22nm.xml</t>
        </is>
      </c>
      <c r="B5" t="inlineStr">
        <is>
          <t>bwave_like.fixed.small.v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843198</v>
      </c>
      <c r="G5" t="n">
        <v>334450</v>
      </c>
      <c r="H5" t="n">
        <v>436221</v>
      </c>
      <c r="I5" t="n">
        <v>-1</v>
      </c>
      <c r="J5" t="n">
        <v>17.5076</v>
      </c>
      <c r="K5" t="n">
        <v>8.77271</v>
      </c>
      <c r="L5" t="n">
        <v>9.547230000000001</v>
      </c>
      <c r="M5" t="n">
        <v>-1</v>
      </c>
      <c r="N5" t="n">
        <v>-189029</v>
      </c>
      <c r="O5" t="n">
        <v>-130153</v>
      </c>
      <c r="P5" t="n">
        <v>-183420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9.09</v>
      </c>
      <c r="AD5" t="n">
        <v>157.99</v>
      </c>
      <c r="AE5" t="n">
        <v>392</v>
      </c>
      <c r="AF5" t="n">
        <v>-1</v>
      </c>
      <c r="AG5" t="n">
        <v>12952</v>
      </c>
      <c r="AH5" t="n">
        <v/>
      </c>
    </row>
    <row r="6">
      <c r="A6" t="inlineStr">
        <is>
          <t>k6FracN10LB_mem20K_complexDSP_customSB_22nm.xml</t>
        </is>
      </c>
      <c r="B6" t="inlineStr">
        <is>
          <t>bwave_like.float.large.v</t>
        </is>
      </c>
      <c r="C6" t="inlineStr">
        <is>
          <t>common</t>
        </is>
      </c>
      <c r="D6" t="inlineStr">
        <is>
          <t>exited with return code 2</t>
        </is>
      </c>
      <c r="E6" t="n">
        <v>-1</v>
      </c>
      <c r="F6" t="n">
        <v>14474400</v>
      </c>
      <c r="G6" t="n">
        <v>4940641</v>
      </c>
      <c r="H6" t="n">
        <v>-1</v>
      </c>
      <c r="I6" t="n">
        <v>-1</v>
      </c>
      <c r="J6" t="n">
        <v>33.7306</v>
      </c>
      <c r="K6" t="n">
        <v>9.19018</v>
      </c>
      <c r="L6" t="n">
        <v>-1</v>
      </c>
      <c r="M6" t="n">
        <v>-1</v>
      </c>
      <c r="N6" t="n">
        <v>-2140980</v>
      </c>
      <c r="O6" t="n">
        <v>-1639160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35476.95</v>
      </c>
      <c r="AD6" t="n">
        <v>36635.18</v>
      </c>
      <c r="AE6" t="n">
        <v>7136</v>
      </c>
      <c r="AF6" t="n">
        <v>-1</v>
      </c>
      <c r="AG6" t="n">
        <v>232913</v>
      </c>
      <c r="AH6" t="n">
        <v/>
      </c>
    </row>
    <row r="7">
      <c r="A7" t="inlineStr">
        <is>
          <t>k6FracN10LB_mem20K_complexDSP_customSB_22nm.xml</t>
        </is>
      </c>
      <c r="B7" t="inlineStr">
        <is>
          <t>bwave_like.float.small.v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2361680</v>
      </c>
      <c r="G7" t="n">
        <v>845299</v>
      </c>
      <c r="H7" t="n">
        <v>1129823</v>
      </c>
      <c r="I7" t="n">
        <v>-1</v>
      </c>
      <c r="J7" t="n">
        <v>16.4702</v>
      </c>
      <c r="K7" t="n">
        <v>6.98095</v>
      </c>
      <c r="L7" t="n">
        <v>8.07733</v>
      </c>
      <c r="M7" t="n">
        <v>-1</v>
      </c>
      <c r="N7" t="n">
        <v>-443461</v>
      </c>
      <c r="O7" t="n">
        <v>-334700</v>
      </c>
      <c r="P7" t="n">
        <v>-496318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39.16</v>
      </c>
      <c r="AD7" t="n">
        <v>308.36</v>
      </c>
      <c r="AE7" t="n">
        <v>1992</v>
      </c>
      <c r="AF7" t="n">
        <v>-1</v>
      </c>
      <c r="AG7" t="n">
        <v>64596</v>
      </c>
      <c r="AH7" t="n">
        <v/>
      </c>
    </row>
    <row r="8">
      <c r="A8" t="inlineStr">
        <is>
          <t>k6FracN10LB_mem20K_complexDSP_customSB_22nm.xml</t>
        </is>
      </c>
      <c r="B8" t="inlineStr">
        <is>
          <t>clstm_like.large.v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25084600</v>
      </c>
      <c r="G8" t="n">
        <v>4115322</v>
      </c>
      <c r="H8" t="n">
        <v>4458126</v>
      </c>
      <c r="I8" t="n">
        <v>-1</v>
      </c>
      <c r="J8" t="n">
        <v>28.6605</v>
      </c>
      <c r="K8" t="n">
        <v>8.516159999999999</v>
      </c>
      <c r="L8" t="n">
        <v>9.21561</v>
      </c>
      <c r="M8" t="n">
        <v>-1</v>
      </c>
      <c r="N8" t="n">
        <v>-2506640</v>
      </c>
      <c r="O8" t="n">
        <v>-1546470</v>
      </c>
      <c r="P8" t="n">
        <v>-2107910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131.42</v>
      </c>
      <c r="AD8" t="n">
        <v>2902.43</v>
      </c>
      <c r="AE8" t="n">
        <v>22840</v>
      </c>
      <c r="AF8" t="n">
        <v>-1</v>
      </c>
      <c r="AG8" t="n">
        <v>803448</v>
      </c>
      <c r="AH8" t="n">
        <v/>
      </c>
    </row>
    <row r="9">
      <c r="A9" t="inlineStr">
        <is>
          <t>k6FracN10LB_mem20K_complexDSP_customSB_22nm.xml</t>
        </is>
      </c>
      <c r="B9" t="inlineStr">
        <is>
          <t>clstm_like.medium.v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15288700</v>
      </c>
      <c r="G9" t="n">
        <v>2567691</v>
      </c>
      <c r="H9" t="n">
        <v>2901802</v>
      </c>
      <c r="I9" t="n">
        <v>-1</v>
      </c>
      <c r="J9" t="n">
        <v>33.5186</v>
      </c>
      <c r="K9" t="n">
        <v>7.26456</v>
      </c>
      <c r="L9" t="n">
        <v>8.69061</v>
      </c>
      <c r="M9" t="n">
        <v>-1</v>
      </c>
      <c r="N9" t="n">
        <v>-1569890</v>
      </c>
      <c r="O9" t="n">
        <v>-890804</v>
      </c>
      <c r="P9" t="n">
        <v>-1266800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69.81</v>
      </c>
      <c r="AD9" t="n">
        <v>1628.07</v>
      </c>
      <c r="AE9" t="n">
        <v>15288</v>
      </c>
      <c r="AF9" t="n">
        <v>-1</v>
      </c>
      <c r="AG9" t="n">
        <v>538774</v>
      </c>
      <c r="AH9" t="n">
        <v/>
      </c>
    </row>
    <row r="10">
      <c r="A10" t="inlineStr">
        <is>
          <t>k6FracN10LB_mem20K_complexDSP_customSB_22nm.xml</t>
        </is>
      </c>
      <c r="B10" t="inlineStr">
        <is>
          <t>clstm_like.small.v</t>
        </is>
      </c>
      <c r="C10" t="inlineStr">
        <is>
          <t>common</t>
        </is>
      </c>
      <c r="D10" t="inlineStr">
        <is>
          <t>success</t>
        </is>
      </c>
      <c r="E10" t="n">
        <v>-1</v>
      </c>
      <c r="F10" t="n">
        <v>5403570</v>
      </c>
      <c r="G10" t="n">
        <v>1009421</v>
      </c>
      <c r="H10" t="n">
        <v>1237480</v>
      </c>
      <c r="I10" t="n">
        <v>-1</v>
      </c>
      <c r="J10" t="n">
        <v>17.7016</v>
      </c>
      <c r="K10" t="n">
        <v>6.67437</v>
      </c>
      <c r="L10" t="n">
        <v>7.09996</v>
      </c>
      <c r="M10" t="n">
        <v>-1</v>
      </c>
      <c r="N10" t="n">
        <v>-551668</v>
      </c>
      <c r="O10" t="n">
        <v>-474711</v>
      </c>
      <c r="P10" t="n">
        <v>-595652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30.26</v>
      </c>
      <c r="AD10" t="n">
        <v>721.4400000000001</v>
      </c>
      <c r="AE10" t="n">
        <v>7731</v>
      </c>
      <c r="AF10" t="n">
        <v>-1</v>
      </c>
      <c r="AG10" t="n">
        <v>274091</v>
      </c>
      <c r="AH10" t="n">
        <v/>
      </c>
    </row>
    <row r="11">
      <c r="A11" t="inlineStr">
        <is>
          <t>k6FracN10LB_mem20K_complexDSP_customSB_22nm.xml</t>
        </is>
      </c>
      <c r="B11" t="inlineStr">
        <is>
          <t>conv_layer.v</t>
        </is>
      </c>
      <c r="C11" t="inlineStr">
        <is>
          <t>common</t>
        </is>
      </c>
      <c r="D11" t="inlineStr">
        <is>
          <t>success</t>
        </is>
      </c>
      <c r="E11" t="n">
        <v>-1</v>
      </c>
      <c r="F11" t="n">
        <v>570911</v>
      </c>
      <c r="G11" t="n">
        <v>155324</v>
      </c>
      <c r="H11" t="n">
        <v>228843</v>
      </c>
      <c r="I11" t="n">
        <v>-1</v>
      </c>
      <c r="J11" t="n">
        <v>7.83108</v>
      </c>
      <c r="K11" t="n">
        <v>5.30455</v>
      </c>
      <c r="L11" t="n">
        <v>5.75364</v>
      </c>
      <c r="M11" t="n">
        <v>-1</v>
      </c>
      <c r="N11" t="n">
        <v>-83804.39999999999</v>
      </c>
      <c r="O11" t="n">
        <v>-66455.7</v>
      </c>
      <c r="P11" t="n">
        <v>-68286.2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5.06</v>
      </c>
      <c r="AD11" t="n">
        <v>87.28</v>
      </c>
      <c r="AE11" t="n">
        <v>818</v>
      </c>
      <c r="AF11" t="n">
        <v>-1</v>
      </c>
      <c r="AG11" t="n">
        <v>28054</v>
      </c>
      <c r="AH11" t="n">
        <v/>
      </c>
    </row>
    <row r="12">
      <c r="A12" t="inlineStr">
        <is>
          <t>k6FracN10LB_mem20K_complexDSP_customSB_22nm.xml</t>
        </is>
      </c>
      <c r="B12" t="inlineStr">
        <is>
          <t>conv_layer_hls.v</t>
        </is>
      </c>
      <c r="C12" t="inlineStr">
        <is>
          <t>common</t>
        </is>
      </c>
      <c r="D12" t="inlineStr">
        <is>
          <t>success</t>
        </is>
      </c>
      <c r="E12" t="n">
        <v>-1</v>
      </c>
      <c r="F12" t="n">
        <v>397025</v>
      </c>
      <c r="G12" t="n">
        <v>73865</v>
      </c>
      <c r="H12" t="n">
        <v>98786</v>
      </c>
      <c r="I12" t="n">
        <v>-1</v>
      </c>
      <c r="J12" t="n">
        <v>11.8094</v>
      </c>
      <c r="K12" t="n">
        <v>5.56346</v>
      </c>
      <c r="L12" t="n">
        <v>6.44005</v>
      </c>
      <c r="M12" t="n">
        <v>-1</v>
      </c>
      <c r="N12" t="n">
        <v>-34202.1</v>
      </c>
      <c r="O12" t="n">
        <v>-19838.5</v>
      </c>
      <c r="P12" t="n">
        <v>-22285.2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2.83</v>
      </c>
      <c r="AD12" t="n">
        <v>180.34</v>
      </c>
      <c r="AE12" t="n">
        <v>1737</v>
      </c>
      <c r="AF12" t="n">
        <v>-1</v>
      </c>
      <c r="AG12" t="n">
        <v>14381</v>
      </c>
      <c r="AH12" t="n">
        <v/>
      </c>
    </row>
    <row r="13">
      <c r="A13" t="inlineStr">
        <is>
          <t>k6FracN10LB_mem20K_complexDSP_customSB_22nm.xml</t>
        </is>
      </c>
      <c r="B13" t="inlineStr">
        <is>
          <t>dla_like.large.v</t>
        </is>
      </c>
      <c r="C13" t="inlineStr">
        <is>
          <t>common</t>
        </is>
      </c>
      <c r="D13" t="inlineStr">
        <is>
          <t>success</t>
        </is>
      </c>
      <c r="E13" t="n">
        <v>-1</v>
      </c>
      <c r="F13" t="n">
        <v>50986800</v>
      </c>
      <c r="G13" t="n">
        <v>7699808</v>
      </c>
      <c r="H13" t="n">
        <v>9164908</v>
      </c>
      <c r="I13" t="n">
        <v>-1</v>
      </c>
      <c r="J13" t="n">
        <v>44.8717</v>
      </c>
      <c r="K13" t="n">
        <v>7.81426</v>
      </c>
      <c r="L13" t="n">
        <v>8.931139999999999</v>
      </c>
      <c r="M13" t="n">
        <v>-1</v>
      </c>
      <c r="N13" t="n">
        <v>-3827010</v>
      </c>
      <c r="O13" t="n">
        <v>-1498430</v>
      </c>
      <c r="P13" t="n">
        <v>-2057400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2094.72</v>
      </c>
      <c r="AD13" t="n">
        <v>12843.66</v>
      </c>
      <c r="AE13" t="n">
        <v>25061</v>
      </c>
      <c r="AF13" t="n">
        <v>-1</v>
      </c>
      <c r="AG13" t="n">
        <v>967440</v>
      </c>
      <c r="AH13" t="n">
        <v/>
      </c>
    </row>
    <row r="14">
      <c r="A14" t="inlineStr">
        <is>
          <t>k6FracN10LB_mem20K_complexDSP_customSB_22nm.xml</t>
        </is>
      </c>
      <c r="B14" t="inlineStr">
        <is>
          <t>dla_like.medium.v</t>
        </is>
      </c>
      <c r="C14" t="inlineStr">
        <is>
          <t>common</t>
        </is>
      </c>
      <c r="D14" t="inlineStr">
        <is>
          <t>success</t>
        </is>
      </c>
      <c r="E14" t="n">
        <v>-1</v>
      </c>
      <c r="F14" t="n">
        <v>12907400</v>
      </c>
      <c r="G14" t="n">
        <v>2084926</v>
      </c>
      <c r="H14" t="n">
        <v>2693376</v>
      </c>
      <c r="I14" t="n">
        <v>-1</v>
      </c>
      <c r="J14" t="n">
        <v>32.0364</v>
      </c>
      <c r="K14" t="n">
        <v>7.47622</v>
      </c>
      <c r="L14" t="n">
        <v>8.18402</v>
      </c>
      <c r="M14" t="n">
        <v>-1</v>
      </c>
      <c r="N14" t="n">
        <v>-964470</v>
      </c>
      <c r="O14" t="n">
        <v>-451126</v>
      </c>
      <c r="P14" t="n">
        <v>-556999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76.79000000000001</v>
      </c>
      <c r="AD14" t="n">
        <v>4338.06</v>
      </c>
      <c r="AE14" t="n">
        <v>8988</v>
      </c>
      <c r="AF14" t="n">
        <v>-1</v>
      </c>
      <c r="AG14" t="n">
        <v>333101</v>
      </c>
      <c r="AH14" t="n">
        <v/>
      </c>
    </row>
    <row r="15">
      <c r="A15" t="inlineStr">
        <is>
          <t>k6FracN10LB_mem20K_complexDSP_customSB_22nm.xml</t>
        </is>
      </c>
      <c r="B15" t="inlineStr">
        <is>
          <t>dla_like.small.v</t>
        </is>
      </c>
      <c r="C15" t="inlineStr">
        <is>
          <t>common</t>
        </is>
      </c>
      <c r="D15" t="inlineStr">
        <is>
          <t>success</t>
        </is>
      </c>
      <c r="E15" t="n">
        <v>-1</v>
      </c>
      <c r="F15" t="n">
        <v>3060700</v>
      </c>
      <c r="G15" t="n">
        <v>576655</v>
      </c>
      <c r="H15" t="n">
        <v>854503</v>
      </c>
      <c r="I15" t="n">
        <v>-1</v>
      </c>
      <c r="J15" t="n">
        <v>17.2735</v>
      </c>
      <c r="K15" t="n">
        <v>6.10895</v>
      </c>
      <c r="L15" t="n">
        <v>6.09662</v>
      </c>
      <c r="M15" t="n">
        <v>-1</v>
      </c>
      <c r="N15" t="n">
        <v>-285874</v>
      </c>
      <c r="O15" t="n">
        <v>-176207</v>
      </c>
      <c r="P15" t="n">
        <v>-193202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18.53</v>
      </c>
      <c r="AD15" t="n">
        <v>1857.59</v>
      </c>
      <c r="AE15" t="n">
        <v>3858</v>
      </c>
      <c r="AF15" t="n">
        <v>-1</v>
      </c>
      <c r="AG15" t="n">
        <v>139574</v>
      </c>
      <c r="AH15" t="n">
        <v/>
      </c>
    </row>
    <row r="16">
      <c r="A16" t="inlineStr">
        <is>
          <t>k6FracN10LB_mem20K_complexDSP_customSB_22nm.xml</t>
        </is>
      </c>
      <c r="B16" t="inlineStr">
        <is>
          <t>dnnweaver.v</t>
        </is>
      </c>
      <c r="C16" t="inlineStr">
        <is>
          <t>common</t>
        </is>
      </c>
      <c r="D16" t="inlineStr">
        <is>
          <t>success</t>
        </is>
      </c>
      <c r="E16" t="n">
        <v>-1</v>
      </c>
      <c r="F16" t="n">
        <v>10426300</v>
      </c>
      <c r="G16" t="n">
        <v>1912566</v>
      </c>
      <c r="H16" t="n">
        <v>2667161</v>
      </c>
      <c r="I16" t="n">
        <v>-1</v>
      </c>
      <c r="J16" t="n">
        <v>42.2734</v>
      </c>
      <c r="K16" t="n">
        <v>9.87715</v>
      </c>
      <c r="L16" t="n">
        <v>10.5473</v>
      </c>
      <c r="M16" t="n">
        <v>-1</v>
      </c>
      <c r="N16" t="n">
        <v>-2049630</v>
      </c>
      <c r="O16" t="n">
        <v>-1379650</v>
      </c>
      <c r="P16" t="n">
        <v>-1774960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81.69</v>
      </c>
      <c r="AD16" t="n">
        <v>1182.11</v>
      </c>
      <c r="AE16" t="n">
        <v>5969</v>
      </c>
      <c r="AF16" t="n">
        <v>-1</v>
      </c>
      <c r="AG16" t="n">
        <v>128699</v>
      </c>
      <c r="AH16" t="n">
        <v/>
      </c>
    </row>
    <row r="17">
      <c r="A17" t="inlineStr">
        <is>
          <t>k6FracN10LB_mem20K_complexDSP_customSB_22nm.xml</t>
        </is>
      </c>
      <c r="B17" t="inlineStr">
        <is>
          <t>eltwise_layer.v</t>
        </is>
      </c>
      <c r="C17" t="inlineStr">
        <is>
          <t>common</t>
        </is>
      </c>
      <c r="D17" t="inlineStr">
        <is>
          <t>success</t>
        </is>
      </c>
      <c r="E17" t="n">
        <v>-1</v>
      </c>
      <c r="F17" t="n">
        <v>352107</v>
      </c>
      <c r="G17" t="n">
        <v>132791</v>
      </c>
      <c r="H17" t="n">
        <v>194629</v>
      </c>
      <c r="I17" t="n">
        <v>-1</v>
      </c>
      <c r="J17" t="n">
        <v>7.75541</v>
      </c>
      <c r="K17" t="n">
        <v>4.52351</v>
      </c>
      <c r="L17" t="n">
        <v>4.7647</v>
      </c>
      <c r="M17" t="n">
        <v>-1</v>
      </c>
      <c r="N17" t="n">
        <v>-34112.8</v>
      </c>
      <c r="O17" t="n">
        <v>-26610.5</v>
      </c>
      <c r="P17" t="n">
        <v>-28589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3.54</v>
      </c>
      <c r="AD17" t="n">
        <v>57.85</v>
      </c>
      <c r="AE17" t="n">
        <v>356</v>
      </c>
      <c r="AF17" t="n">
        <v>-1</v>
      </c>
      <c r="AG17" t="n">
        <v>12266</v>
      </c>
      <c r="AH17" t="n">
        <v/>
      </c>
    </row>
    <row r="18">
      <c r="A18" t="inlineStr">
        <is>
          <t>k6FracN10LB_mem20K_complexDSP_customSB_22nm.xml</t>
        </is>
      </c>
      <c r="B18" t="inlineStr">
        <is>
          <t>gemm_layer.v</t>
        </is>
      </c>
      <c r="C18" t="inlineStr">
        <is>
          <t>common</t>
        </is>
      </c>
      <c r="D18" t="inlineStr">
        <is>
          <t>success</t>
        </is>
      </c>
      <c r="E18" t="n">
        <v>-1</v>
      </c>
      <c r="F18" t="n">
        <v>1637190</v>
      </c>
      <c r="G18" t="n">
        <v>666642</v>
      </c>
      <c r="H18" t="n">
        <v>796865</v>
      </c>
      <c r="I18" t="n">
        <v>-1</v>
      </c>
      <c r="J18" t="n">
        <v>10.1007</v>
      </c>
      <c r="K18" t="n">
        <v>5.16931</v>
      </c>
      <c r="L18" t="n">
        <v>5.80004</v>
      </c>
      <c r="M18" t="n">
        <v>-1</v>
      </c>
      <c r="N18" t="n">
        <v>-159835</v>
      </c>
      <c r="O18" t="n">
        <v>-127863</v>
      </c>
      <c r="P18" t="n">
        <v>-146276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9.09</v>
      </c>
      <c r="AD18" t="n">
        <v>191.5</v>
      </c>
      <c r="AE18" t="n">
        <v>2056</v>
      </c>
      <c r="AF18" t="n">
        <v>-1</v>
      </c>
      <c r="AG18" t="n">
        <v>53618</v>
      </c>
      <c r="AH18" t="n">
        <v/>
      </c>
    </row>
    <row r="19">
      <c r="A19" t="inlineStr">
        <is>
          <t>k6FracN10LB_mem20K_complexDSP_customSB_22nm.xml</t>
        </is>
      </c>
      <c r="B19" t="inlineStr">
        <is>
          <t>lenet.v</t>
        </is>
      </c>
      <c r="C19" t="inlineStr">
        <is>
          <t>common</t>
        </is>
      </c>
      <c r="D19" t="inlineStr">
        <is>
          <t>success</t>
        </is>
      </c>
      <c r="E19" t="n">
        <v>-1</v>
      </c>
      <c r="F19" t="n">
        <v>569976</v>
      </c>
      <c r="G19" t="n">
        <v>125836</v>
      </c>
      <c r="H19" t="n">
        <v>214645</v>
      </c>
      <c r="I19" t="n">
        <v>-1</v>
      </c>
      <c r="J19" t="n">
        <v>18.0614</v>
      </c>
      <c r="K19" t="n">
        <v>9.68601</v>
      </c>
      <c r="L19" t="n">
        <v>9.80682</v>
      </c>
      <c r="M19" t="n">
        <v>-1</v>
      </c>
      <c r="N19" t="n">
        <v>-26559.7</v>
      </c>
      <c r="O19" t="n">
        <v>-18786.3</v>
      </c>
      <c r="P19" t="n">
        <v>-19588.9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5.7</v>
      </c>
      <c r="AD19" t="n">
        <v>93.48</v>
      </c>
      <c r="AE19" t="n">
        <v>1198</v>
      </c>
      <c r="AF19" t="n">
        <v>-1</v>
      </c>
      <c r="AG19" t="n">
        <v>22998</v>
      </c>
      <c r="AH19" t="n">
        <v/>
      </c>
    </row>
    <row r="20">
      <c r="A20" t="inlineStr">
        <is>
          <t>k6FracN10LB_mem20K_complexDSP_customSB_22nm.xml</t>
        </is>
      </c>
      <c r="B20" t="inlineStr">
        <is>
          <t>lstm.v</t>
        </is>
      </c>
      <c r="C20" t="inlineStr">
        <is>
          <t>common</t>
        </is>
      </c>
      <c r="D20" t="inlineStr">
        <is>
          <t>success</t>
        </is>
      </c>
      <c r="E20" t="n">
        <v>-1</v>
      </c>
      <c r="F20" t="n">
        <v>6825970</v>
      </c>
      <c r="G20" t="n">
        <v>1340928</v>
      </c>
      <c r="H20" t="n">
        <v>1825675</v>
      </c>
      <c r="I20" t="n">
        <v>-1</v>
      </c>
      <c r="J20" t="n">
        <v>17.0346</v>
      </c>
      <c r="K20" t="n">
        <v>7.86853</v>
      </c>
      <c r="L20" t="n">
        <v>8.005000000000001</v>
      </c>
      <c r="M20" t="n">
        <v>-1</v>
      </c>
      <c r="N20" t="n">
        <v>-568234</v>
      </c>
      <c r="O20" t="n">
        <v>-409031</v>
      </c>
      <c r="P20" t="n">
        <v>-578215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37.94</v>
      </c>
      <c r="AD20" t="n">
        <v>3028.77</v>
      </c>
      <c r="AE20" t="n">
        <v>4273</v>
      </c>
      <c r="AF20" t="n">
        <v>-1</v>
      </c>
      <c r="AG20" t="n">
        <v>171230</v>
      </c>
      <c r="AH20" t="n">
        <v/>
      </c>
    </row>
    <row r="21">
      <c r="A21" t="inlineStr">
        <is>
          <t>k6FracN10LB_mem20K_complexDSP_customSB_22nm.xml</t>
        </is>
      </c>
      <c r="B21" t="inlineStr">
        <is>
          <t>reduction_layer.v</t>
        </is>
      </c>
      <c r="C21" t="inlineStr">
        <is>
          <t>common</t>
        </is>
      </c>
      <c r="D21" t="inlineStr">
        <is>
          <t>success</t>
        </is>
      </c>
      <c r="E21" t="n">
        <v>-1</v>
      </c>
      <c r="F21" t="n">
        <v>402595</v>
      </c>
      <c r="G21" t="n">
        <v>97360</v>
      </c>
      <c r="H21" t="n">
        <v>163725</v>
      </c>
      <c r="I21" t="n">
        <v>-1</v>
      </c>
      <c r="J21" t="n">
        <v>12.4746</v>
      </c>
      <c r="K21" t="n">
        <v>6.05889</v>
      </c>
      <c r="L21" t="n">
        <v>6.03361</v>
      </c>
      <c r="M21" t="n">
        <v>-1</v>
      </c>
      <c r="N21" t="n">
        <v>-67269</v>
      </c>
      <c r="O21" t="n">
        <v>-50967.4</v>
      </c>
      <c r="P21" t="n">
        <v>-56219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4.31</v>
      </c>
      <c r="AD21" t="n">
        <v>71.75</v>
      </c>
      <c r="AE21" t="n">
        <v>631</v>
      </c>
      <c r="AF21" t="n">
        <v>-1</v>
      </c>
      <c r="AG21" t="n">
        <v>14075</v>
      </c>
      <c r="AH21" t="n">
        <v/>
      </c>
    </row>
    <row r="22">
      <c r="A22" t="inlineStr">
        <is>
          <t>k6FracN10LB_mem20K_complexDSP_customSB_22nm.xml</t>
        </is>
      </c>
      <c r="B22" t="inlineStr">
        <is>
          <t>robot_rl.v</t>
        </is>
      </c>
      <c r="C22" t="inlineStr">
        <is>
          <t>common</t>
        </is>
      </c>
      <c r="D22" t="inlineStr">
        <is>
          <t>success</t>
        </is>
      </c>
      <c r="E22" t="n">
        <v>-1</v>
      </c>
      <c r="F22" t="n">
        <v>523170</v>
      </c>
      <c r="G22" t="n">
        <v>110593</v>
      </c>
      <c r="H22" t="n">
        <v>179904</v>
      </c>
      <c r="I22" t="n">
        <v>-1</v>
      </c>
      <c r="J22" t="n">
        <v>10.722</v>
      </c>
      <c r="K22" t="n">
        <v>6.35858</v>
      </c>
      <c r="L22" t="n">
        <v>6.63094</v>
      </c>
      <c r="M22" t="n">
        <v>-1</v>
      </c>
      <c r="N22" t="n">
        <v>-64080.2</v>
      </c>
      <c r="O22" t="n">
        <v>-43723.3</v>
      </c>
      <c r="P22" t="n">
        <v>-49136.9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4.71</v>
      </c>
      <c r="AD22" t="n">
        <v>93.3</v>
      </c>
      <c r="AE22" t="n">
        <v>890</v>
      </c>
      <c r="AF22" t="n">
        <v>-1</v>
      </c>
      <c r="AG22" t="n">
        <v>22985</v>
      </c>
      <c r="AH22" t="n">
        <v/>
      </c>
    </row>
    <row r="23">
      <c r="A23" t="inlineStr">
        <is>
          <t>k6FracN10LB_mem20K_complexDSP_customSB_22nm.xml</t>
        </is>
      </c>
      <c r="B23" t="inlineStr">
        <is>
          <t>softmax.v</t>
        </is>
      </c>
      <c r="C23" t="inlineStr">
        <is>
          <t>common</t>
        </is>
      </c>
      <c r="D23" t="inlineStr">
        <is>
          <t>success</t>
        </is>
      </c>
      <c r="E23" t="n">
        <v>-1</v>
      </c>
      <c r="F23" t="n">
        <v>269657</v>
      </c>
      <c r="G23" t="n">
        <v>88438</v>
      </c>
      <c r="H23" t="n">
        <v>137880</v>
      </c>
      <c r="I23" t="n">
        <v>-1</v>
      </c>
      <c r="J23" t="n">
        <v>15.1845</v>
      </c>
      <c r="K23" t="n">
        <v>9.372479999999999</v>
      </c>
      <c r="L23" t="n">
        <v>8.48864</v>
      </c>
      <c r="M23" t="n">
        <v>-1</v>
      </c>
      <c r="N23" t="n">
        <v>-18248.2</v>
      </c>
      <c r="O23" t="n">
        <v>-14954.3</v>
      </c>
      <c r="P23" t="n">
        <v>-16562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2.76</v>
      </c>
      <c r="AD23" t="n">
        <v>64.93000000000001</v>
      </c>
      <c r="AE23" t="n">
        <v>499</v>
      </c>
      <c r="AF23" t="n">
        <v>-1</v>
      </c>
      <c r="AG23" t="n">
        <v>11839</v>
      </c>
      <c r="AH23" t="n">
        <v/>
      </c>
    </row>
    <row r="24">
      <c r="A24" t="inlineStr">
        <is>
          <t>k6FracN10LB_mem20K_complexDSP_customSB_22nm.xml</t>
        </is>
      </c>
      <c r="B24" t="inlineStr">
        <is>
          <t>spmv.v</t>
        </is>
      </c>
      <c r="C24" t="inlineStr">
        <is>
          <t>common</t>
        </is>
      </c>
      <c r="D24" t="inlineStr">
        <is>
          <t>success</t>
        </is>
      </c>
      <c r="E24" t="n">
        <v>-1</v>
      </c>
      <c r="F24" t="n">
        <v>388650</v>
      </c>
      <c r="G24" t="n">
        <v>161912</v>
      </c>
      <c r="H24" t="n">
        <v>221301</v>
      </c>
      <c r="I24" t="n">
        <v>-1</v>
      </c>
      <c r="J24" t="n">
        <v>10.6003</v>
      </c>
      <c r="K24" t="n">
        <v>5.68748</v>
      </c>
      <c r="L24" t="n">
        <v>6.25612</v>
      </c>
      <c r="M24" t="n">
        <v>-1</v>
      </c>
      <c r="N24" t="n">
        <v>-55061.4</v>
      </c>
      <c r="O24" t="n">
        <v>-42990.3</v>
      </c>
      <c r="P24" t="n">
        <v>-50538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2.92</v>
      </c>
      <c r="AD24" t="n">
        <v>69.8</v>
      </c>
      <c r="AE24" t="n">
        <v>650</v>
      </c>
      <c r="AF24" t="n">
        <v>-1</v>
      </c>
      <c r="AG24" t="n">
        <v>14421</v>
      </c>
      <c r="AH24" t="n">
        <v/>
      </c>
    </row>
    <row r="25">
      <c r="A25" t="inlineStr">
        <is>
          <t>k6FracN10LB_mem20K_complexDSP_customSB_22nm.xml</t>
        </is>
      </c>
      <c r="B25" t="inlineStr">
        <is>
          <t>tdarknet_like.large.v</t>
        </is>
      </c>
      <c r="C25" t="inlineStr">
        <is>
          <t>common</t>
        </is>
      </c>
      <c r="D25" t="inlineStr">
        <is>
          <t>success</t>
        </is>
      </c>
      <c r="E25" t="n">
        <v>-1</v>
      </c>
      <c r="F25" t="n">
        <v>21634800</v>
      </c>
      <c r="G25" t="n">
        <v>2585389</v>
      </c>
      <c r="H25" t="n">
        <v>3829118</v>
      </c>
      <c r="I25" t="n">
        <v>-1</v>
      </c>
      <c r="J25" t="n">
        <v>41.4949</v>
      </c>
      <c r="K25" t="n">
        <v>9.420019999999999</v>
      </c>
      <c r="L25" t="n">
        <v>11.6966</v>
      </c>
      <c r="M25" t="n">
        <v>-1</v>
      </c>
      <c r="N25" t="n">
        <v>-6903290</v>
      </c>
      <c r="O25" t="n">
        <v>-2863970</v>
      </c>
      <c r="P25" t="n">
        <v>-3860760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79.84999999999999</v>
      </c>
      <c r="AD25" t="n">
        <v>5222.15</v>
      </c>
      <c r="AE25" t="n">
        <v>9683</v>
      </c>
      <c r="AF25" t="n">
        <v>-1</v>
      </c>
      <c r="AG25" t="n">
        <v>278876</v>
      </c>
      <c r="AH25" t="n">
        <v/>
      </c>
    </row>
    <row r="26">
      <c r="A26" t="inlineStr">
        <is>
          <t>k6FracN10LB_mem20K_complexDSP_customSB_22nm.xml</t>
        </is>
      </c>
      <c r="B26" t="inlineStr">
        <is>
          <t>tdarknet_like.small.v</t>
        </is>
      </c>
      <c r="C26" t="inlineStr">
        <is>
          <t>common</t>
        </is>
      </c>
      <c r="D26" t="inlineStr">
        <is>
          <t>success</t>
        </is>
      </c>
      <c r="E26" t="n">
        <v>-1</v>
      </c>
      <c r="F26" t="n">
        <v>19549500</v>
      </c>
      <c r="G26" t="n">
        <v>3361516</v>
      </c>
      <c r="H26" t="n">
        <v>3989604</v>
      </c>
      <c r="I26" t="n">
        <v>-1</v>
      </c>
      <c r="J26" t="n">
        <v>43.687</v>
      </c>
      <c r="K26" t="n">
        <v>14.0636</v>
      </c>
      <c r="L26" t="n">
        <v>18.293</v>
      </c>
      <c r="M26" t="n">
        <v>-1</v>
      </c>
      <c r="N26" t="n">
        <v>-4070490</v>
      </c>
      <c r="O26" t="n">
        <v>-1738350</v>
      </c>
      <c r="P26" t="n">
        <v>-3046410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75.23999999999999</v>
      </c>
      <c r="AD26" t="n">
        <v>3720.78</v>
      </c>
      <c r="AE26" t="n">
        <v>4033</v>
      </c>
      <c r="AF26" t="n">
        <v>-1</v>
      </c>
      <c r="AG26" t="n">
        <v>127235</v>
      </c>
      <c r="AH26" t="n">
        <v/>
      </c>
    </row>
    <row r="27">
      <c r="A27" t="inlineStr">
        <is>
          <t>k6FracN10LB_mem20K_complexDSP_customSB_22nm.xml</t>
        </is>
      </c>
      <c r="B27" t="inlineStr">
        <is>
          <t>tpu_like.large.os.v</t>
        </is>
      </c>
      <c r="C27" t="inlineStr">
        <is>
          <t>common</t>
        </is>
      </c>
      <c r="D27" t="inlineStr">
        <is>
          <t>success</t>
        </is>
      </c>
      <c r="E27" t="n">
        <v>-1</v>
      </c>
      <c r="F27" t="n">
        <v>3457190</v>
      </c>
      <c r="G27" t="n">
        <v>2006141</v>
      </c>
      <c r="H27" t="n">
        <v>2077923</v>
      </c>
      <c r="I27" t="n">
        <v>-1</v>
      </c>
      <c r="J27" t="n">
        <v>20.1584</v>
      </c>
      <c r="K27" t="n">
        <v>7.6782</v>
      </c>
      <c r="L27" t="n">
        <v>8.94022</v>
      </c>
      <c r="M27" t="n">
        <v>-1</v>
      </c>
      <c r="N27" t="n">
        <v>-573751</v>
      </c>
      <c r="O27" t="n">
        <v>-351563</v>
      </c>
      <c r="P27" t="n">
        <v>-394570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57.16</v>
      </c>
      <c r="AD27" t="n">
        <v>1375.02</v>
      </c>
      <c r="AE27" t="n">
        <v>1526</v>
      </c>
      <c r="AF27" t="n">
        <v>-1</v>
      </c>
      <c r="AG27" t="n">
        <v>60052</v>
      </c>
      <c r="AH27" t="n">
        <v/>
      </c>
    </row>
    <row r="28">
      <c r="A28" t="inlineStr">
        <is>
          <t>k6FracN10LB_mem20K_complexDSP_customSB_22nm.xml</t>
        </is>
      </c>
      <c r="B28" t="inlineStr">
        <is>
          <t>tpu_like.large.ws.v</t>
        </is>
      </c>
      <c r="C28" t="inlineStr">
        <is>
          <t>common</t>
        </is>
      </c>
      <c r="D28" t="inlineStr">
        <is>
          <t>success</t>
        </is>
      </c>
      <c r="E28" t="n">
        <v>-1</v>
      </c>
      <c r="F28" t="n">
        <v>4077680</v>
      </c>
      <c r="G28" t="n">
        <v>847840</v>
      </c>
      <c r="H28" t="n">
        <v>1028945</v>
      </c>
      <c r="I28" t="n">
        <v>-1</v>
      </c>
      <c r="J28" t="n">
        <v>30.1209</v>
      </c>
      <c r="K28" t="n">
        <v>8.822789999999999</v>
      </c>
      <c r="L28" t="n">
        <v>10.2523</v>
      </c>
      <c r="M28" t="n">
        <v>-1</v>
      </c>
      <c r="N28" t="n">
        <v>-473382</v>
      </c>
      <c r="O28" t="n">
        <v>-261759</v>
      </c>
      <c r="P28" t="n">
        <v>-301603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22.88</v>
      </c>
      <c r="AD28" t="n">
        <v>1284.66</v>
      </c>
      <c r="AE28" t="n">
        <v>1888</v>
      </c>
      <c r="AF28" t="n">
        <v>-1</v>
      </c>
      <c r="AG28" t="n">
        <v>57230</v>
      </c>
      <c r="AH28" t="n">
        <v/>
      </c>
    </row>
    <row r="29">
      <c r="A29" t="inlineStr">
        <is>
          <t>k6FracN10LB_mem20K_complexDSP_customSB_22nm.xml</t>
        </is>
      </c>
      <c r="B29" t="inlineStr">
        <is>
          <t>tpu_like.small.os.v</t>
        </is>
      </c>
      <c r="C29" t="inlineStr">
        <is>
          <t>common</t>
        </is>
      </c>
      <c r="D29" t="inlineStr">
        <is>
          <t>success</t>
        </is>
      </c>
      <c r="E29" t="n">
        <v>-1</v>
      </c>
      <c r="F29" t="n">
        <v>581895</v>
      </c>
      <c r="G29" t="n">
        <v>355248</v>
      </c>
      <c r="H29" t="n">
        <v>385442</v>
      </c>
      <c r="I29" t="n">
        <v>-1</v>
      </c>
      <c r="J29" t="n">
        <v>11.8662</v>
      </c>
      <c r="K29" t="n">
        <v>5.85294</v>
      </c>
      <c r="L29" t="n">
        <v>6.38077</v>
      </c>
      <c r="M29" t="n">
        <v>-1</v>
      </c>
      <c r="N29" t="n">
        <v>-110126</v>
      </c>
      <c r="O29" t="n">
        <v>-86770.39999999999</v>
      </c>
      <c r="P29" t="n">
        <v>-91558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4.86</v>
      </c>
      <c r="AD29" t="n">
        <v>158.63</v>
      </c>
      <c r="AE29" t="n">
        <v>493</v>
      </c>
      <c r="AF29" t="n">
        <v>-1</v>
      </c>
      <c r="AG29" t="n">
        <v>18394</v>
      </c>
      <c r="AH29" t="n">
        <v/>
      </c>
    </row>
    <row r="30">
      <c r="A30" t="inlineStr">
        <is>
          <t>k6FracN10LB_mem20K_complexDSP_customSB_22nm.xml</t>
        </is>
      </c>
      <c r="B30" t="inlineStr">
        <is>
          <t>tpu_like.small.ws.v</t>
        </is>
      </c>
      <c r="C30" t="inlineStr">
        <is>
          <t>common</t>
        </is>
      </c>
      <c r="D30" t="inlineStr">
        <is>
          <t>success</t>
        </is>
      </c>
      <c r="E30" t="n">
        <v>-1</v>
      </c>
      <c r="F30" t="n">
        <v>698641</v>
      </c>
      <c r="G30" t="n">
        <v>225409</v>
      </c>
      <c r="H30" t="n">
        <v>293764</v>
      </c>
      <c r="I30" t="n">
        <v>-1</v>
      </c>
      <c r="J30" t="n">
        <v>17.0546</v>
      </c>
      <c r="K30" t="n">
        <v>9.689360000000001</v>
      </c>
      <c r="L30" t="n">
        <v>10.5074</v>
      </c>
      <c r="M30" t="n">
        <v>-1</v>
      </c>
      <c r="N30" t="n">
        <v>-109149</v>
      </c>
      <c r="O30" t="n">
        <v>-78100</v>
      </c>
      <c r="P30" t="n">
        <v>-88575.10000000001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6.07</v>
      </c>
      <c r="AD30" t="n">
        <v>203.04</v>
      </c>
      <c r="AE30" t="n">
        <v>681</v>
      </c>
      <c r="AF30" t="n">
        <v>-1</v>
      </c>
      <c r="AG30" t="n">
        <v>20268</v>
      </c>
      <c r="AH30" t="n"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stratix10_arch.timing.xml</t>
        </is>
      </c>
      <c r="B2" t="inlineStr">
        <is>
          <t>ASU_LRN_stratix10_arch_timing.blif</t>
        </is>
      </c>
      <c r="C2" t="inlineStr">
        <is>
          <t>common</t>
        </is>
      </c>
      <c r="D2" t="inlineStr">
        <is>
          <t>success</t>
        </is>
      </c>
      <c r="E2" t="n">
        <v>9770390</v>
      </c>
      <c r="F2" t="n">
        <v>25618900</v>
      </c>
      <c r="G2" t="n">
        <v>8835369</v>
      </c>
      <c r="H2" t="n">
        <v>8389268</v>
      </c>
      <c r="I2" t="n">
        <v>9.138997</v>
      </c>
      <c r="J2" t="n">
        <v>14.593</v>
      </c>
      <c r="K2" t="n">
        <v>5.426</v>
      </c>
      <c r="L2" t="n">
        <v>8.295</v>
      </c>
      <c r="M2" t="n">
        <v>-601616.5</v>
      </c>
      <c r="N2" t="n">
        <v>-866351</v>
      </c>
      <c r="O2" t="n">
        <v>-497127</v>
      </c>
      <c r="P2" t="n">
        <v>-809574</v>
      </c>
      <c r="Q2" t="n">
        <v>15501</v>
      </c>
      <c r="R2" t="n">
        <v>34.842205</v>
      </c>
      <c r="S2" t="n">
        <v>0</v>
      </c>
      <c r="T2" t="n">
        <v>73.232834</v>
      </c>
      <c r="U2" t="n">
        <v>62.060108</v>
      </c>
      <c r="V2" t="n">
        <v>20459560</v>
      </c>
      <c r="W2" t="n">
        <v>21.415169</v>
      </c>
      <c r="X2" t="n">
        <v>195.216217</v>
      </c>
      <c r="Y2" t="n">
        <v>7548.8</v>
      </c>
      <c r="Z2" t="n">
        <v>1132.56</v>
      </c>
      <c r="AA2" t="n">
        <v>989.75</v>
      </c>
      <c r="AB2" t="n">
        <v>5004.48</v>
      </c>
      <c r="AC2" t="n">
        <v>405.54</v>
      </c>
      <c r="AD2" t="n">
        <v>8434.360000000001</v>
      </c>
      <c r="AE2" t="n">
        <v>-1</v>
      </c>
      <c r="AF2" t="n">
        <v>53078</v>
      </c>
      <c r="AG2" t="n">
        <v>955377</v>
      </c>
      <c r="AH2" t="n">
        <v/>
      </c>
    </row>
    <row r="3">
      <c r="A3" t="inlineStr">
        <is>
          <t>stratix10_arch.timing.xml</t>
        </is>
      </c>
      <c r="B3" t="inlineStr">
        <is>
          <t>ChainNN_LRN_LG_stratix10_arch_timing.blif</t>
        </is>
      </c>
      <c r="C3" t="inlineStr">
        <is>
          <t>common</t>
        </is>
      </c>
      <c r="D3" t="inlineStr">
        <is>
          <t>success</t>
        </is>
      </c>
      <c r="E3" t="n">
        <v>10776100</v>
      </c>
      <c r="F3" t="n">
        <v>37604600</v>
      </c>
      <c r="G3" t="n">
        <v>7558053</v>
      </c>
      <c r="H3" t="n">
        <v>7391283</v>
      </c>
      <c r="I3" t="n">
        <v>9.2943</v>
      </c>
      <c r="J3" t="n">
        <v>21.899</v>
      </c>
      <c r="K3" t="n">
        <v>6.618</v>
      </c>
      <c r="L3" t="n">
        <v>6.9585</v>
      </c>
      <c r="M3" t="n">
        <v>-949309.875</v>
      </c>
      <c r="N3" t="n">
        <v>-1788190</v>
      </c>
      <c r="O3" t="n">
        <v>-922066</v>
      </c>
      <c r="P3" t="n">
        <v>-1666900</v>
      </c>
      <c r="Q3" t="n">
        <v>9468</v>
      </c>
      <c r="R3" t="n">
        <v>22.015631</v>
      </c>
      <c r="S3" t="n">
        <v>0</v>
      </c>
      <c r="T3" t="n">
        <v>77.881332</v>
      </c>
      <c r="U3" t="n">
        <v>64.428146</v>
      </c>
      <c r="V3" t="n">
        <v>32764048</v>
      </c>
      <c r="W3" t="n">
        <v>34.928535</v>
      </c>
      <c r="X3" t="n">
        <v>329</v>
      </c>
      <c r="Y3" t="n">
        <v>6407.02</v>
      </c>
      <c r="Z3" t="n">
        <v>895.47</v>
      </c>
      <c r="AA3" t="n">
        <v>723.25</v>
      </c>
      <c r="AB3" t="n">
        <v>4218.41</v>
      </c>
      <c r="AC3" t="n">
        <v>605.42</v>
      </c>
      <c r="AD3" t="n">
        <v>7638.07</v>
      </c>
      <c r="AE3" t="n">
        <v>-1</v>
      </c>
      <c r="AF3" t="n">
        <v>45122</v>
      </c>
      <c r="AG3" t="n">
        <v>938031</v>
      </c>
      <c r="AH3" t="n">
        <v/>
      </c>
    </row>
    <row r="4">
      <c r="A4" t="inlineStr">
        <is>
          <t>stratix10_arch.timing.xml</t>
        </is>
      </c>
      <c r="B4" t="inlineStr">
        <is>
          <t>ChainNN_ELT_LG_stratix10_arch_timing.blif</t>
        </is>
      </c>
      <c r="C4" t="inlineStr">
        <is>
          <t>common</t>
        </is>
      </c>
      <c r="D4" t="inlineStr">
        <is>
          <t>success</t>
        </is>
      </c>
      <c r="E4" t="n">
        <v>11702400</v>
      </c>
      <c r="F4" t="n">
        <v>84112600</v>
      </c>
      <c r="G4" t="n">
        <v>7471051</v>
      </c>
      <c r="H4" t="n">
        <v>7238421</v>
      </c>
      <c r="I4" t="n">
        <v>7.36592</v>
      </c>
      <c r="J4" t="n">
        <v>29.56</v>
      </c>
      <c r="K4" t="n">
        <v>7.3135</v>
      </c>
      <c r="L4" t="n">
        <v>8.102</v>
      </c>
      <c r="M4" t="n">
        <v>-866564.5</v>
      </c>
      <c r="N4" t="n">
        <v>-4125800</v>
      </c>
      <c r="O4" t="n">
        <v>-958548</v>
      </c>
      <c r="P4" t="n">
        <v>-1737050</v>
      </c>
      <c r="Q4" t="n">
        <v>5572</v>
      </c>
      <c r="R4" t="n">
        <v>34.883167</v>
      </c>
      <c r="S4" t="n">
        <v>0</v>
      </c>
      <c r="T4" t="n">
        <v>79.480118</v>
      </c>
      <c r="U4" t="n">
        <v>80.34674099999999</v>
      </c>
      <c r="V4" t="n">
        <v>66674268</v>
      </c>
      <c r="W4" t="n">
        <v>71.108902</v>
      </c>
      <c r="X4" t="n">
        <v>570.000183</v>
      </c>
      <c r="Y4" t="n">
        <v>6786.89</v>
      </c>
      <c r="Z4" t="n">
        <v>902.3099999999999</v>
      </c>
      <c r="AA4" t="n">
        <v>727.65</v>
      </c>
      <c r="AB4" t="n">
        <v>4522.15</v>
      </c>
      <c r="AC4" t="n">
        <v>430.77</v>
      </c>
      <c r="AD4" t="n">
        <v>7840.38</v>
      </c>
      <c r="AE4" t="n">
        <v>-1</v>
      </c>
      <c r="AF4" t="n">
        <v>46005</v>
      </c>
      <c r="AG4" t="n">
        <v>937636</v>
      </c>
      <c r="AH4" t="n">
        <v/>
      </c>
    </row>
    <row r="5">
      <c r="A5" t="inlineStr">
        <is>
          <t>stratix10_arch.timing.xml</t>
        </is>
      </c>
      <c r="B5" t="inlineStr">
        <is>
          <t>ChainNN_BSC_LG_stratix10_arch_timing.blif</t>
        </is>
      </c>
      <c r="C5" t="inlineStr">
        <is>
          <t>common</t>
        </is>
      </c>
      <c r="D5" t="inlineStr">
        <is>
          <t>success</t>
        </is>
      </c>
      <c r="E5" t="n">
        <v>10608000</v>
      </c>
      <c r="F5" t="n">
        <v>36575800</v>
      </c>
      <c r="G5" t="n">
        <v>7289614</v>
      </c>
      <c r="H5" t="n">
        <v>7066279</v>
      </c>
      <c r="I5" t="n">
        <v>7.236369</v>
      </c>
      <c r="J5" t="n">
        <v>15.645</v>
      </c>
      <c r="K5" t="n">
        <v>6.61</v>
      </c>
      <c r="L5" t="n">
        <v>6.859</v>
      </c>
      <c r="M5" t="n">
        <v>-891280.375</v>
      </c>
      <c r="N5" t="n">
        <v>-1962290</v>
      </c>
      <c r="O5" t="n">
        <v>-963727</v>
      </c>
      <c r="P5" t="n">
        <v>-1651130</v>
      </c>
      <c r="Q5" t="n">
        <v>5374</v>
      </c>
      <c r="R5" t="n">
        <v>34.83569</v>
      </c>
      <c r="S5" t="n">
        <v>0</v>
      </c>
      <c r="T5" t="n">
        <v>78.705826</v>
      </c>
      <c r="U5" t="n">
        <v>65.61648599999999</v>
      </c>
      <c r="V5" t="n">
        <v>30633404</v>
      </c>
      <c r="W5" t="n">
        <v>33.83284</v>
      </c>
      <c r="X5" t="n">
        <v>408.000183</v>
      </c>
      <c r="Y5" t="n">
        <v>6084.33</v>
      </c>
      <c r="Z5" t="n">
        <v>881.7</v>
      </c>
      <c r="AA5" t="n">
        <v>708.8200000000001</v>
      </c>
      <c r="AB5" t="n">
        <v>3905.26</v>
      </c>
      <c r="AC5" t="n">
        <v>519</v>
      </c>
      <c r="AD5" t="n">
        <v>7221.06</v>
      </c>
      <c r="AE5" t="n">
        <v>-1</v>
      </c>
      <c r="AF5" t="n">
        <v>43464</v>
      </c>
      <c r="AG5" t="n">
        <v>905434</v>
      </c>
      <c r="AH5" t="n">
        <v/>
      </c>
    </row>
    <row r="6">
      <c r="A6" t="inlineStr">
        <is>
          <t>stratix10_arch.timing.xml</t>
        </is>
      </c>
      <c r="B6" t="inlineStr">
        <is>
          <t>rocket17_stratix10_arch_timing.blif</t>
        </is>
      </c>
      <c r="C6" t="inlineStr">
        <is>
          <t>common</t>
        </is>
      </c>
      <c r="D6" t="inlineStr">
        <is>
          <t>success</t>
        </is>
      </c>
      <c r="E6" t="n">
        <v>8406250</v>
      </c>
      <c r="F6" t="n">
        <v>27420700</v>
      </c>
      <c r="G6" t="n">
        <v>7887505</v>
      </c>
      <c r="H6" t="n">
        <v>8999928</v>
      </c>
      <c r="I6" t="n">
        <v>25.001928</v>
      </c>
      <c r="J6" t="n">
        <v>37.89</v>
      </c>
      <c r="K6" t="n">
        <v>15.7866</v>
      </c>
      <c r="L6" t="n">
        <v>16.114</v>
      </c>
      <c r="M6" t="n">
        <v>-4183465.25</v>
      </c>
      <c r="N6" t="n">
        <v>-7674200</v>
      </c>
      <c r="O6" t="n">
        <v>-4702400</v>
      </c>
      <c r="P6" t="n">
        <v>-4773520</v>
      </c>
      <c r="Q6" t="n">
        <v>16224</v>
      </c>
      <c r="R6" t="n">
        <v>13.383938</v>
      </c>
      <c r="S6" t="n">
        <v>0</v>
      </c>
      <c r="T6" t="n">
        <v>77.754234</v>
      </c>
      <c r="U6" t="n">
        <v>71.629349</v>
      </c>
      <c r="V6" t="n">
        <v>17068932</v>
      </c>
      <c r="W6" t="n">
        <v>21.261246</v>
      </c>
      <c r="X6" t="n">
        <v>245.000015</v>
      </c>
      <c r="Y6" t="n">
        <v>10577.33</v>
      </c>
      <c r="Z6" t="n">
        <v>1207.55</v>
      </c>
      <c r="AA6" t="n">
        <v>1371.77</v>
      </c>
      <c r="AB6" t="n">
        <v>7409.71</v>
      </c>
      <c r="AC6" t="n">
        <v>749.83</v>
      </c>
      <c r="AD6" t="n">
        <v>11992.53</v>
      </c>
      <c r="AE6" t="n">
        <v>-1</v>
      </c>
      <c r="AF6" t="n">
        <v>48652</v>
      </c>
      <c r="AG6" t="n">
        <v>802819</v>
      </c>
      <c r="AH6" t="n">
        <v/>
      </c>
    </row>
    <row r="7">
      <c r="A7" t="inlineStr">
        <is>
          <t>stratix10_arch.timing.xml</t>
        </is>
      </c>
      <c r="B7" t="inlineStr">
        <is>
          <t>ASU_ELT_stratix10_arch_timing.blif</t>
        </is>
      </c>
      <c r="C7" t="inlineStr">
        <is>
          <t>common</t>
        </is>
      </c>
      <c r="D7" t="inlineStr">
        <is>
          <t>success</t>
        </is>
      </c>
      <c r="E7" t="n">
        <v>7735690</v>
      </c>
      <c r="F7" t="n">
        <v>16148100</v>
      </c>
      <c r="G7" t="n">
        <v>6908434</v>
      </c>
      <c r="H7" t="n">
        <v>6784941</v>
      </c>
      <c r="I7" t="n">
        <v>6.357001</v>
      </c>
      <c r="J7" t="n">
        <v>8.7113</v>
      </c>
      <c r="K7" t="n">
        <v>4.6561</v>
      </c>
      <c r="L7" t="n">
        <v>8.167</v>
      </c>
      <c r="M7" t="n">
        <v>-317433.375</v>
      </c>
      <c r="N7" t="n">
        <v>-647931</v>
      </c>
      <c r="O7" t="n">
        <v>-422778</v>
      </c>
      <c r="P7" t="n">
        <v>-739616</v>
      </c>
      <c r="Q7" t="n">
        <v>10931</v>
      </c>
      <c r="R7" t="n">
        <v>34.211784</v>
      </c>
      <c r="S7" t="n">
        <v>0</v>
      </c>
      <c r="T7" t="n">
        <v>73.374245</v>
      </c>
      <c r="U7" t="n">
        <v>56.758385</v>
      </c>
      <c r="V7" t="n">
        <v>9458636</v>
      </c>
      <c r="W7" t="n">
        <v>12.314842</v>
      </c>
      <c r="X7" t="n">
        <v>127.643005</v>
      </c>
      <c r="Y7" t="n">
        <v>4818.14</v>
      </c>
      <c r="Z7" t="n">
        <v>791.9299999999999</v>
      </c>
      <c r="AA7" t="n">
        <v>818.62</v>
      </c>
      <c r="AB7" t="n">
        <v>2793.23</v>
      </c>
      <c r="AC7" t="n">
        <v>907.09</v>
      </c>
      <c r="AD7" t="n">
        <v>6193.27</v>
      </c>
      <c r="AE7" t="n">
        <v>-1</v>
      </c>
      <c r="AF7" t="n">
        <v>37618</v>
      </c>
      <c r="AG7" t="n">
        <v>768068</v>
      </c>
      <c r="AH7" t="n">
        <v/>
      </c>
    </row>
    <row r="8">
      <c r="A8" t="inlineStr">
        <is>
          <t>stratix10_arch.timing.xml</t>
        </is>
      </c>
      <c r="B8" t="inlineStr">
        <is>
          <t>ASU_BSC_stratix10_arch_timing.blif</t>
        </is>
      </c>
      <c r="C8" t="inlineStr">
        <is>
          <t>common</t>
        </is>
      </c>
      <c r="D8" t="inlineStr">
        <is>
          <t>success</t>
        </is>
      </c>
      <c r="E8" t="n">
        <v>6899490</v>
      </c>
      <c r="F8" t="n">
        <v>15249100</v>
      </c>
      <c r="G8" t="n">
        <v>6878885</v>
      </c>
      <c r="H8" t="n">
        <v>6840758</v>
      </c>
      <c r="I8" t="n">
        <v>6.830001</v>
      </c>
      <c r="J8" t="n">
        <v>15.8915</v>
      </c>
      <c r="K8" t="n">
        <v>4.45514</v>
      </c>
      <c r="L8" t="n">
        <v>10.331</v>
      </c>
      <c r="M8" t="n">
        <v>-428560.75</v>
      </c>
      <c r="N8" t="n">
        <v>-662962</v>
      </c>
      <c r="O8" t="n">
        <v>-413789</v>
      </c>
      <c r="P8" t="n">
        <v>-760744</v>
      </c>
      <c r="Q8" t="n">
        <v>10640</v>
      </c>
      <c r="R8" t="n">
        <v>35.103195</v>
      </c>
      <c r="S8" t="n">
        <v>0</v>
      </c>
      <c r="T8" t="n">
        <v>73.79220599999999</v>
      </c>
      <c r="U8" t="n">
        <v>57.835793</v>
      </c>
      <c r="V8" t="n">
        <v>8791549</v>
      </c>
      <c r="W8" t="n">
        <v>11.959436</v>
      </c>
      <c r="X8" t="n">
        <v>132.999893</v>
      </c>
      <c r="Y8" t="n">
        <v>4518.18</v>
      </c>
      <c r="Z8" t="n">
        <v>775.77</v>
      </c>
      <c r="AA8" t="n">
        <v>792.74</v>
      </c>
      <c r="AB8" t="n">
        <v>2557.31</v>
      </c>
      <c r="AC8" t="n">
        <v>795.76</v>
      </c>
      <c r="AD8" t="n">
        <v>5766.81</v>
      </c>
      <c r="AE8" t="n">
        <v>-1</v>
      </c>
      <c r="AF8" t="n">
        <v>35719</v>
      </c>
      <c r="AG8" t="n">
        <v>735114</v>
      </c>
      <c r="AH8" t="n">
        <v/>
      </c>
    </row>
    <row r="9">
      <c r="A9" t="inlineStr">
        <is>
          <t>stratix10_arch.timing.xml</t>
        </is>
      </c>
      <c r="B9" t="inlineStr">
        <is>
          <t>tdfir_stratix10_arch_timing.blif</t>
        </is>
      </c>
      <c r="C9" t="inlineStr">
        <is>
          <t>common</t>
        </is>
      </c>
      <c r="D9" t="inlineStr">
        <is>
          <t>success</t>
        </is>
      </c>
      <c r="E9" t="n">
        <v>8394290</v>
      </c>
      <c r="F9" t="n">
        <v>12842000</v>
      </c>
      <c r="G9" t="n">
        <v>4847832</v>
      </c>
      <c r="H9" t="n">
        <v>4232346</v>
      </c>
      <c r="I9" t="n">
        <v>14.403266</v>
      </c>
      <c r="J9" t="n">
        <v>12.948</v>
      </c>
      <c r="K9" t="n">
        <v>6.609</v>
      </c>
      <c r="L9" t="n">
        <v>6.531</v>
      </c>
      <c r="M9" t="n">
        <v>-436686.59375</v>
      </c>
      <c r="N9" t="n">
        <v>-899192</v>
      </c>
      <c r="O9" t="n">
        <v>-744576</v>
      </c>
      <c r="P9" t="n">
        <v>-1068330</v>
      </c>
      <c r="Q9" t="n">
        <v>10784</v>
      </c>
      <c r="R9" t="n">
        <v>16.097551</v>
      </c>
      <c r="S9" t="n">
        <v>0</v>
      </c>
      <c r="T9" t="n">
        <v>85.01630400000001</v>
      </c>
      <c r="U9" t="n">
        <v>59.332363</v>
      </c>
      <c r="V9" t="n">
        <v>7952003</v>
      </c>
      <c r="W9" t="n">
        <v>11.252272</v>
      </c>
      <c r="X9" t="n">
        <v>120.980309</v>
      </c>
      <c r="Y9" t="n">
        <v>7583.98</v>
      </c>
      <c r="Z9" t="n">
        <v>827.08</v>
      </c>
      <c r="AA9" t="n">
        <v>1186.24</v>
      </c>
      <c r="AB9" t="n">
        <v>5275.59</v>
      </c>
      <c r="AC9" t="n">
        <v>1052.14</v>
      </c>
      <c r="AD9" t="n">
        <v>8991.799999999999</v>
      </c>
      <c r="AE9" t="n">
        <v>-1</v>
      </c>
      <c r="AF9" t="n">
        <v>30647</v>
      </c>
      <c r="AG9" t="n">
        <v>706702</v>
      </c>
      <c r="AH9" t="n">
        <v/>
      </c>
    </row>
    <row r="10">
      <c r="A10" t="inlineStr">
        <is>
          <t>stratix10_arch.timing.xml</t>
        </is>
      </c>
      <c r="B10" t="inlineStr">
        <is>
          <t>pricing_stratix10_arch_timing.blif</t>
        </is>
      </c>
      <c r="C10" t="inlineStr">
        <is>
          <t>common</t>
        </is>
      </c>
      <c r="D10" t="inlineStr">
        <is>
          <t>success</t>
        </is>
      </c>
      <c r="E10" t="n">
        <v>7483790</v>
      </c>
      <c r="F10" t="n">
        <v>12092300</v>
      </c>
      <c r="G10" t="n">
        <v>4024110</v>
      </c>
      <c r="H10" t="n">
        <v>3525784</v>
      </c>
      <c r="I10" t="n">
        <v>15.243106</v>
      </c>
      <c r="J10" t="n">
        <v>14.9735</v>
      </c>
      <c r="K10" t="n">
        <v>7.007</v>
      </c>
      <c r="L10" t="n">
        <v>7.161</v>
      </c>
      <c r="M10" t="n">
        <v>-920757.375</v>
      </c>
      <c r="N10" t="n">
        <v>-1255770</v>
      </c>
      <c r="O10" t="n">
        <v>-993303</v>
      </c>
      <c r="P10" t="n">
        <v>-1352230</v>
      </c>
      <c r="Q10" t="n">
        <v>10220</v>
      </c>
      <c r="R10" t="n">
        <v>23.977692</v>
      </c>
      <c r="S10" t="n">
        <v>0</v>
      </c>
      <c r="T10" t="n">
        <v>78.726181</v>
      </c>
      <c r="U10" t="n">
        <v>61.354061</v>
      </c>
      <c r="V10" t="n">
        <v>8137353</v>
      </c>
      <c r="W10" t="n">
        <v>12.166767</v>
      </c>
      <c r="X10" t="n">
        <v>178.008682</v>
      </c>
      <c r="Y10" t="n">
        <v>6352.54</v>
      </c>
      <c r="Z10" t="n">
        <v>879.92</v>
      </c>
      <c r="AA10" t="n">
        <v>1378.12</v>
      </c>
      <c r="AB10" t="n">
        <v>3799.79</v>
      </c>
      <c r="AC10" t="n">
        <v>408.47</v>
      </c>
      <c r="AD10" t="n">
        <v>7133.77</v>
      </c>
      <c r="AE10" t="n">
        <v>-1</v>
      </c>
      <c r="AF10" t="n">
        <v>29763</v>
      </c>
      <c r="AG10" t="n">
        <v>668818</v>
      </c>
      <c r="AH10" t="n">
        <v/>
      </c>
    </row>
    <row r="11">
      <c r="A11" t="inlineStr">
        <is>
          <t>stratix10_arch.timing.xml</t>
        </is>
      </c>
      <c r="B11" t="inlineStr">
        <is>
          <t>mem_tester_stratix10_arch_timing.blif</t>
        </is>
      </c>
      <c r="C11" t="inlineStr">
        <is>
          <t>common</t>
        </is>
      </c>
      <c r="D11" t="inlineStr">
        <is>
          <t>success</t>
        </is>
      </c>
      <c r="E11" t="n">
        <v>1479170</v>
      </c>
      <c r="F11" t="n">
        <v>9419530</v>
      </c>
      <c r="G11" t="n">
        <v>2302662</v>
      </c>
      <c r="H11" t="n">
        <v>1504705</v>
      </c>
      <c r="I11" t="n">
        <v>5.426</v>
      </c>
      <c r="J11" t="n">
        <v>9.475</v>
      </c>
      <c r="K11" t="n">
        <v>4.831</v>
      </c>
      <c r="L11" t="n">
        <v>6.566</v>
      </c>
      <c r="M11" t="n">
        <v>-82172.695312</v>
      </c>
      <c r="N11" t="n">
        <v>-464130</v>
      </c>
      <c r="O11" t="n">
        <v>-196149</v>
      </c>
      <c r="P11" t="n">
        <v>-189195</v>
      </c>
      <c r="Q11" t="n">
        <v>8073</v>
      </c>
      <c r="R11" t="n">
        <v>6.590734</v>
      </c>
      <c r="S11" t="n">
        <v>0</v>
      </c>
      <c r="T11" t="n">
        <v>72.944969</v>
      </c>
      <c r="U11" t="n">
        <v>55.408772</v>
      </c>
      <c r="V11" t="n">
        <v>8485839</v>
      </c>
      <c r="W11" t="n">
        <v>13.656242</v>
      </c>
      <c r="X11" t="n">
        <v>119.000107</v>
      </c>
      <c r="Y11" t="n">
        <v>4797.77</v>
      </c>
      <c r="Z11" t="n">
        <v>914.45</v>
      </c>
      <c r="AA11" t="n">
        <v>1596.38</v>
      </c>
      <c r="AB11" t="n">
        <v>2012.88</v>
      </c>
      <c r="AC11" t="n">
        <v>155.65</v>
      </c>
      <c r="AD11" t="n">
        <v>5283.15</v>
      </c>
      <c r="AE11" t="n">
        <v>-1</v>
      </c>
      <c r="AF11" t="n">
        <v>27802</v>
      </c>
      <c r="AG11" t="n">
        <v>621389</v>
      </c>
      <c r="AH11" t="n">
        <v/>
      </c>
    </row>
    <row r="12">
      <c r="A12" t="inlineStr">
        <is>
          <t>stratix10_arch.timing.xml</t>
        </is>
      </c>
      <c r="B12" t="inlineStr">
        <is>
          <t>mandelbrot_stratix10_arch_timing.blif</t>
        </is>
      </c>
      <c r="C12" t="inlineStr">
        <is>
          <t>common</t>
        </is>
      </c>
      <c r="D12" t="inlineStr">
        <is>
          <t>success</t>
        </is>
      </c>
      <c r="E12" t="n">
        <v>6112470</v>
      </c>
      <c r="F12" t="n">
        <v>6154950</v>
      </c>
      <c r="G12" t="n">
        <v>3381997</v>
      </c>
      <c r="H12" t="n">
        <v>2881083</v>
      </c>
      <c r="I12" t="n">
        <v>14.667718</v>
      </c>
      <c r="J12" t="n">
        <v>11.2385</v>
      </c>
      <c r="K12" t="n">
        <v>6.041</v>
      </c>
      <c r="L12" t="n">
        <v>5.313</v>
      </c>
      <c r="M12" t="n">
        <v>-406431.75</v>
      </c>
      <c r="N12" t="n">
        <v>-634691</v>
      </c>
      <c r="O12" t="n">
        <v>-587279</v>
      </c>
      <c r="P12" t="n">
        <v>-845686</v>
      </c>
      <c r="Q12" t="n">
        <v>8088</v>
      </c>
      <c r="R12" t="n">
        <v>24.41506</v>
      </c>
      <c r="S12" t="n">
        <v>0</v>
      </c>
      <c r="T12" t="n">
        <v>88.188225</v>
      </c>
      <c r="U12" t="n">
        <v>65.734138</v>
      </c>
      <c r="V12" t="n">
        <v>3179969</v>
      </c>
      <c r="W12" t="n">
        <v>5.480692</v>
      </c>
      <c r="X12" t="n">
        <v>179.997986</v>
      </c>
      <c r="Y12" t="n">
        <v>4937.59</v>
      </c>
      <c r="Z12" t="n">
        <v>670.84</v>
      </c>
      <c r="AA12" t="n">
        <v>1540.63</v>
      </c>
      <c r="AB12" t="n">
        <v>2435.35</v>
      </c>
      <c r="AC12" t="n">
        <v>212.53</v>
      </c>
      <c r="AD12" t="n">
        <v>5494.37</v>
      </c>
      <c r="AE12" t="n">
        <v>-1</v>
      </c>
      <c r="AF12" t="n">
        <v>23537</v>
      </c>
      <c r="AG12" t="n">
        <v>580213</v>
      </c>
      <c r="AH12" t="n">
        <v/>
      </c>
    </row>
    <row r="13">
      <c r="A13" t="inlineStr">
        <is>
          <t>stratix10_arch.timing.xml</t>
        </is>
      </c>
      <c r="B13" t="inlineStr">
        <is>
          <t>channelizer_stratix10_arch_timing.blif</t>
        </is>
      </c>
      <c r="C13" t="inlineStr">
        <is>
          <t>common</t>
        </is>
      </c>
      <c r="D13" t="inlineStr">
        <is>
          <t>success</t>
        </is>
      </c>
      <c r="E13" t="n">
        <v>6011570</v>
      </c>
      <c r="F13" t="n">
        <v>4543700</v>
      </c>
      <c r="G13" t="n">
        <v>2344378</v>
      </c>
      <c r="H13" t="n">
        <v>1956626</v>
      </c>
      <c r="I13" t="n">
        <v>14.789332</v>
      </c>
      <c r="J13" t="n">
        <v>10.738</v>
      </c>
      <c r="K13" t="n">
        <v>6.368</v>
      </c>
      <c r="L13" t="n">
        <v>5.709</v>
      </c>
      <c r="M13" t="n">
        <v>-295984.625</v>
      </c>
      <c r="N13" t="n">
        <v>-1168110</v>
      </c>
      <c r="O13" t="n">
        <v>-555738</v>
      </c>
      <c r="P13" t="n">
        <v>-826495</v>
      </c>
      <c r="Q13" t="n">
        <v>6434</v>
      </c>
      <c r="R13" t="n">
        <v>16.675785</v>
      </c>
      <c r="S13" t="n">
        <v>0</v>
      </c>
      <c r="T13" t="n">
        <v>85.26747899999999</v>
      </c>
      <c r="U13" t="n">
        <v>63.602589</v>
      </c>
      <c r="V13" t="n">
        <v>2373956.75</v>
      </c>
      <c r="W13" t="n">
        <v>5.128067</v>
      </c>
      <c r="X13" t="n">
        <v>281</v>
      </c>
      <c r="Y13" t="n">
        <v>3432.49</v>
      </c>
      <c r="Z13" t="n">
        <v>464.94</v>
      </c>
      <c r="AA13" t="n">
        <v>745.87</v>
      </c>
      <c r="AB13" t="n">
        <v>1685.77</v>
      </c>
      <c r="AC13" t="n">
        <v>140.07</v>
      </c>
      <c r="AD13" t="n">
        <v>4142.9</v>
      </c>
      <c r="AE13" t="n">
        <v>-1</v>
      </c>
      <c r="AF13" t="n">
        <v>18348</v>
      </c>
      <c r="AG13" t="n">
        <v>462934</v>
      </c>
      <c r="AH13" t="n">
        <v/>
      </c>
    </row>
    <row r="14">
      <c r="A14" t="inlineStr">
        <is>
          <t>stratix10_arch.timing.xml</t>
        </is>
      </c>
      <c r="B14" t="inlineStr">
        <is>
          <t>fft1d_offchip_stratix10_arch_timing.blif</t>
        </is>
      </c>
      <c r="C14" t="inlineStr">
        <is>
          <t>common</t>
        </is>
      </c>
      <c r="D14" t="inlineStr">
        <is>
          <t>success</t>
        </is>
      </c>
      <c r="E14" t="n">
        <v>5712050</v>
      </c>
      <c r="F14" t="n">
        <v>3834790</v>
      </c>
      <c r="G14" t="n">
        <v>2354264</v>
      </c>
      <c r="H14" t="n">
        <v>2040409</v>
      </c>
      <c r="I14" t="n">
        <v>14.925017</v>
      </c>
      <c r="J14" t="n">
        <v>7.33846</v>
      </c>
      <c r="K14" t="n">
        <v>6.01036</v>
      </c>
      <c r="L14" t="n">
        <v>5.486</v>
      </c>
      <c r="M14" t="n">
        <v>-213341.8125</v>
      </c>
      <c r="N14" t="n">
        <v>-1002190</v>
      </c>
      <c r="O14" t="n">
        <v>-432237</v>
      </c>
      <c r="P14" t="n">
        <v>-651531</v>
      </c>
      <c r="Q14" t="n">
        <v>5733</v>
      </c>
      <c r="R14" t="n">
        <v>16.490318</v>
      </c>
      <c r="S14" t="n">
        <v>0</v>
      </c>
      <c r="T14" t="n">
        <v>85.782043</v>
      </c>
      <c r="U14" t="n">
        <v>64.51763200000001</v>
      </c>
      <c r="V14" t="n">
        <v>1687728.125</v>
      </c>
      <c r="W14" t="n">
        <v>3.8219</v>
      </c>
      <c r="X14" t="n">
        <v>277.000214</v>
      </c>
      <c r="Y14" t="n">
        <v>3273.32</v>
      </c>
      <c r="Z14" t="n">
        <v>431.88</v>
      </c>
      <c r="AA14" t="n">
        <v>712.53</v>
      </c>
      <c r="AB14" t="n">
        <v>1578.57</v>
      </c>
      <c r="AC14" t="n">
        <v>148.19</v>
      </c>
      <c r="AD14" t="n">
        <v>4002.9</v>
      </c>
      <c r="AE14" t="n">
        <v>-1</v>
      </c>
      <c r="AF14" t="n">
        <v>17143</v>
      </c>
      <c r="AG14" t="n">
        <v>441594</v>
      </c>
      <c r="AH14" t="n">
        <v/>
      </c>
    </row>
    <row r="15">
      <c r="A15" t="inlineStr">
        <is>
          <t>stratix10_arch.timing.xml</t>
        </is>
      </c>
      <c r="B15" t="inlineStr">
        <is>
          <t>DLA_LRN_stratix10_arch_timing.blif</t>
        </is>
      </c>
      <c r="C15" t="inlineStr">
        <is>
          <t>common</t>
        </is>
      </c>
      <c r="D15" t="inlineStr">
        <is>
          <t>success</t>
        </is>
      </c>
      <c r="E15" t="n">
        <v>3856200</v>
      </c>
      <c r="F15" t="n">
        <v>8729010</v>
      </c>
      <c r="G15" t="n">
        <v>2709957</v>
      </c>
      <c r="H15" t="n">
        <v>2604974</v>
      </c>
      <c r="I15" t="n">
        <v>9.813684</v>
      </c>
      <c r="J15" t="n">
        <v>16.168</v>
      </c>
      <c r="K15" t="n">
        <v>5.586</v>
      </c>
      <c r="L15" t="n">
        <v>5.509</v>
      </c>
      <c r="M15" t="n">
        <v>-283104.90625</v>
      </c>
      <c r="N15" t="n">
        <v>-380701</v>
      </c>
      <c r="O15" t="n">
        <v>-213442</v>
      </c>
      <c r="P15" t="n">
        <v>-316701</v>
      </c>
      <c r="Q15" t="n">
        <v>7215</v>
      </c>
      <c r="R15" t="n">
        <v>33.057381</v>
      </c>
      <c r="S15" t="n">
        <v>0</v>
      </c>
      <c r="T15" t="n">
        <v>73.31641399999999</v>
      </c>
      <c r="U15" t="n">
        <v>74.26565600000001</v>
      </c>
      <c r="V15" t="n">
        <v>7331743</v>
      </c>
      <c r="W15" t="n">
        <v>17.697598</v>
      </c>
      <c r="X15" t="n">
        <v>127.856163</v>
      </c>
      <c r="Y15" t="n">
        <v>3267.07</v>
      </c>
      <c r="Z15" t="n">
        <v>356.13</v>
      </c>
      <c r="AA15" t="n">
        <v>343.48</v>
      </c>
      <c r="AB15" t="n">
        <v>2293.87</v>
      </c>
      <c r="AC15" t="n">
        <v>143.91</v>
      </c>
      <c r="AD15" t="n">
        <v>3707.28</v>
      </c>
      <c r="AE15" t="n">
        <v>-1</v>
      </c>
      <c r="AF15" t="n">
        <v>27503</v>
      </c>
      <c r="AG15" t="n">
        <v>414279</v>
      </c>
      <c r="AH15" t="n">
        <v/>
      </c>
    </row>
    <row r="16">
      <c r="A16" t="inlineStr">
        <is>
          <t>stratix10_arch.timing.xml</t>
        </is>
      </c>
      <c r="B16" t="inlineStr">
        <is>
          <t>matrix_mult_stratix10_arch_timing.blif</t>
        </is>
      </c>
      <c r="C16" t="inlineStr">
        <is>
          <t>common</t>
        </is>
      </c>
      <c r="D16" t="inlineStr">
        <is>
          <t>success</t>
        </is>
      </c>
      <c r="E16" t="n">
        <v>5103520</v>
      </c>
      <c r="F16" t="n">
        <v>6004780</v>
      </c>
      <c r="G16" t="n">
        <v>2790050</v>
      </c>
      <c r="H16" t="n">
        <v>2800819</v>
      </c>
      <c r="I16" t="n">
        <v>14.072819</v>
      </c>
      <c r="J16" t="n">
        <v>11.957</v>
      </c>
      <c r="K16" t="n">
        <v>5.788</v>
      </c>
      <c r="L16" t="n">
        <v>5.127</v>
      </c>
      <c r="M16" t="n">
        <v>-350749.9375</v>
      </c>
      <c r="N16" t="n">
        <v>-648125</v>
      </c>
      <c r="O16" t="n">
        <v>-458360</v>
      </c>
      <c r="P16" t="n">
        <v>-710897</v>
      </c>
      <c r="Q16" t="n">
        <v>5331</v>
      </c>
      <c r="R16" t="n">
        <v>15.047459</v>
      </c>
      <c r="S16" t="n">
        <v>0</v>
      </c>
      <c r="T16" t="n">
        <v>80.38368199999999</v>
      </c>
      <c r="U16" t="n">
        <v>62.610458</v>
      </c>
      <c r="V16" t="n">
        <v>2986162.75</v>
      </c>
      <c r="W16" t="n">
        <v>7.604532</v>
      </c>
      <c r="X16" t="n">
        <v>103.999893</v>
      </c>
      <c r="Y16" t="n">
        <v>2904.21</v>
      </c>
      <c r="Z16" t="n">
        <v>401.8</v>
      </c>
      <c r="AA16" t="n">
        <v>689.75</v>
      </c>
      <c r="AB16" t="n">
        <v>1536.02</v>
      </c>
      <c r="AC16" t="n">
        <v>226.08</v>
      </c>
      <c r="AD16" t="n">
        <v>3431.58</v>
      </c>
      <c r="AE16" t="n">
        <v>-1</v>
      </c>
      <c r="AF16" t="n">
        <v>17228</v>
      </c>
      <c r="AG16" t="n">
        <v>392682</v>
      </c>
      <c r="AH16" t="n">
        <v/>
      </c>
    </row>
    <row r="17">
      <c r="A17" t="inlineStr">
        <is>
          <t>stratix10_arch.timing.xml</t>
        </is>
      </c>
      <c r="B17" t="inlineStr">
        <is>
          <t>fft1d_stratix10_arch_timing.blif</t>
        </is>
      </c>
      <c r="C17" t="inlineStr">
        <is>
          <t>common</t>
        </is>
      </c>
      <c r="D17" t="inlineStr">
        <is>
          <t>success</t>
        </is>
      </c>
      <c r="E17" t="n">
        <v>3472130</v>
      </c>
      <c r="F17" t="n">
        <v>3494560</v>
      </c>
      <c r="G17" t="n">
        <v>1934221</v>
      </c>
      <c r="H17" t="n">
        <v>1596773</v>
      </c>
      <c r="I17" t="n">
        <v>14.693825</v>
      </c>
      <c r="J17" t="n">
        <v>7.731</v>
      </c>
      <c r="K17" t="n">
        <v>5.782</v>
      </c>
      <c r="L17" t="n">
        <v>5.876</v>
      </c>
      <c r="M17" t="n">
        <v>-180282.8125</v>
      </c>
      <c r="N17" t="n">
        <v>-551569</v>
      </c>
      <c r="O17" t="n">
        <v>-392100</v>
      </c>
      <c r="P17" t="n">
        <v>-551605</v>
      </c>
      <c r="Q17" t="n">
        <v>4793</v>
      </c>
      <c r="R17" t="n">
        <v>21.959942</v>
      </c>
      <c r="S17" t="n">
        <v>0</v>
      </c>
      <c r="T17" t="n">
        <v>85.886436</v>
      </c>
      <c r="U17" t="n">
        <v>55.349922</v>
      </c>
      <c r="V17" t="n">
        <v>1859772.125</v>
      </c>
      <c r="W17" t="n">
        <v>4.770408</v>
      </c>
      <c r="X17" t="n">
        <v>155</v>
      </c>
      <c r="Y17" t="n">
        <v>2335.49</v>
      </c>
      <c r="Z17" t="n">
        <v>361.75</v>
      </c>
      <c r="AA17" t="n">
        <v>566.3</v>
      </c>
      <c r="AB17" t="n">
        <v>1161.15</v>
      </c>
      <c r="AC17" t="n">
        <v>113.76</v>
      </c>
      <c r="AD17" t="n">
        <v>2741.8</v>
      </c>
      <c r="AE17" t="n">
        <v>-1</v>
      </c>
      <c r="AF17" t="n">
        <v>15851</v>
      </c>
      <c r="AG17" t="n">
        <v>389856</v>
      </c>
      <c r="AH17" t="n">
        <v/>
      </c>
    </row>
    <row r="18">
      <c r="A18" t="inlineStr">
        <is>
          <t>stratix10_arch.timing.xml</t>
        </is>
      </c>
      <c r="B18" t="inlineStr">
        <is>
          <t>fft2d_stratix10_arch_timing.blif</t>
        </is>
      </c>
      <c r="C18" t="inlineStr">
        <is>
          <t>common</t>
        </is>
      </c>
      <c r="D18" t="inlineStr">
        <is>
          <t>success</t>
        </is>
      </c>
      <c r="E18" t="n">
        <v>3264110</v>
      </c>
      <c r="F18" t="n">
        <v>3359020</v>
      </c>
      <c r="G18" t="n">
        <v>1953397</v>
      </c>
      <c r="H18" t="n">
        <v>1816048</v>
      </c>
      <c r="I18" t="n">
        <v>14.526175</v>
      </c>
      <c r="J18" t="n">
        <v>7.148</v>
      </c>
      <c r="K18" t="n">
        <v>5.942</v>
      </c>
      <c r="L18" t="n">
        <v>5.133</v>
      </c>
      <c r="M18" t="n">
        <v>-191882.234375</v>
      </c>
      <c r="N18" t="n">
        <v>-547940</v>
      </c>
      <c r="O18" t="n">
        <v>-301562</v>
      </c>
      <c r="P18" t="n">
        <v>-493285</v>
      </c>
      <c r="Q18" t="n">
        <v>4302</v>
      </c>
      <c r="R18" t="n">
        <v>17.208973</v>
      </c>
      <c r="S18" t="n">
        <v>0</v>
      </c>
      <c r="T18" t="n">
        <v>83.925583</v>
      </c>
      <c r="U18" t="n">
        <v>58.925987</v>
      </c>
      <c r="V18" t="n">
        <v>1645192</v>
      </c>
      <c r="W18" t="n">
        <v>4.632334</v>
      </c>
      <c r="X18" t="n">
        <v>249.000198</v>
      </c>
      <c r="Y18" t="n">
        <v>2006.06</v>
      </c>
      <c r="Z18" t="n">
        <v>296.82</v>
      </c>
      <c r="AA18" t="n">
        <v>505.43</v>
      </c>
      <c r="AB18" t="n">
        <v>965.39</v>
      </c>
      <c r="AC18" t="n">
        <v>129.27</v>
      </c>
      <c r="AD18" t="n">
        <v>2423.71</v>
      </c>
      <c r="AE18" t="n">
        <v>-1</v>
      </c>
      <c r="AF18" t="n">
        <v>14522</v>
      </c>
      <c r="AG18" t="n">
        <v>355154</v>
      </c>
      <c r="AH18" t="n">
        <v/>
      </c>
    </row>
    <row r="19">
      <c r="A19" t="inlineStr">
        <is>
          <t>stratix10_arch.timing.xml</t>
        </is>
      </c>
      <c r="B19" t="inlineStr">
        <is>
          <t>DLA_ELT_stratix10_arch_timing.blif</t>
        </is>
      </c>
      <c r="C19" t="inlineStr">
        <is>
          <t>common</t>
        </is>
      </c>
      <c r="D19" t="inlineStr">
        <is>
          <t>success</t>
        </is>
      </c>
      <c r="E19" t="n">
        <v>2133430</v>
      </c>
      <c r="F19" t="n">
        <v>3311790</v>
      </c>
      <c r="G19" t="n">
        <v>1745008</v>
      </c>
      <c r="H19" t="n">
        <v>1674098</v>
      </c>
      <c r="I19" t="n">
        <v>8.633959000000001</v>
      </c>
      <c r="J19" t="n">
        <v>10.523</v>
      </c>
      <c r="K19" t="n">
        <v>5.714</v>
      </c>
      <c r="L19" t="n">
        <v>5.528</v>
      </c>
      <c r="M19" t="n">
        <v>-181846.6875</v>
      </c>
      <c r="N19" t="n">
        <v>-223276</v>
      </c>
      <c r="O19" t="n">
        <v>-162138</v>
      </c>
      <c r="P19" t="n">
        <v>-259115</v>
      </c>
      <c r="Q19" t="n">
        <v>4674</v>
      </c>
      <c r="R19" t="n">
        <v>36.686565</v>
      </c>
      <c r="S19" t="n">
        <v>0</v>
      </c>
      <c r="T19" t="n">
        <v>78.758377</v>
      </c>
      <c r="U19" t="n">
        <v>68.991058</v>
      </c>
      <c r="V19" t="n">
        <v>2026173.75</v>
      </c>
      <c r="W19" t="n">
        <v>6.837766</v>
      </c>
      <c r="X19" t="n">
        <v>83.89810900000001</v>
      </c>
      <c r="Y19" t="n">
        <v>1761.39</v>
      </c>
      <c r="Z19" t="n">
        <v>234.22</v>
      </c>
      <c r="AA19" t="n">
        <v>231.05</v>
      </c>
      <c r="AB19" t="n">
        <v>1025.07</v>
      </c>
      <c r="AC19" t="n">
        <v>98.58</v>
      </c>
      <c r="AD19" t="n">
        <v>2142.72</v>
      </c>
      <c r="AE19" t="n">
        <v>-1</v>
      </c>
      <c r="AF19" t="n">
        <v>16006</v>
      </c>
      <c r="AG19" t="n">
        <v>296321</v>
      </c>
      <c r="AH19" t="n">
        <v/>
      </c>
    </row>
    <row r="20">
      <c r="A20" t="inlineStr">
        <is>
          <t>stratix10_arch.timing.xml</t>
        </is>
      </c>
      <c r="B20" t="inlineStr">
        <is>
          <t>DLA_BSC_stratix10_arch_timing.blif</t>
        </is>
      </c>
      <c r="C20" t="inlineStr">
        <is>
          <t>common</t>
        </is>
      </c>
      <c r="D20" t="inlineStr">
        <is>
          <t>success</t>
        </is>
      </c>
      <c r="E20" t="n">
        <v>2281350</v>
      </c>
      <c r="F20" t="n">
        <v>3512790</v>
      </c>
      <c r="G20" t="n">
        <v>1724184</v>
      </c>
      <c r="H20" t="n">
        <v>1649818</v>
      </c>
      <c r="I20" t="n">
        <v>7.918712</v>
      </c>
      <c r="J20" t="n">
        <v>10.251</v>
      </c>
      <c r="K20" t="n">
        <v>5.945</v>
      </c>
      <c r="L20" t="n">
        <v>5.886</v>
      </c>
      <c r="M20" t="n">
        <v>-183372.828125</v>
      </c>
      <c r="N20" t="n">
        <v>-228915</v>
      </c>
      <c r="O20" t="n">
        <v>-161307</v>
      </c>
      <c r="P20" t="n">
        <v>-263494</v>
      </c>
      <c r="Q20" t="n">
        <v>4762</v>
      </c>
      <c r="R20" t="n">
        <v>29.097017</v>
      </c>
      <c r="S20" t="n">
        <v>0</v>
      </c>
      <c r="T20" t="n">
        <v>80.455162</v>
      </c>
      <c r="U20" t="n">
        <v>69.427002</v>
      </c>
      <c r="V20" t="n">
        <v>2201605.25</v>
      </c>
      <c r="W20" t="n">
        <v>7.714753</v>
      </c>
      <c r="X20" t="n">
        <v>88.32448599999999</v>
      </c>
      <c r="Y20" t="n">
        <v>1713.15</v>
      </c>
      <c r="Z20" t="n">
        <v>220.53</v>
      </c>
      <c r="AA20" t="n">
        <v>231.73</v>
      </c>
      <c r="AB20" t="n">
        <v>989.76</v>
      </c>
      <c r="AC20" t="n">
        <v>95.90000000000001</v>
      </c>
      <c r="AD20" t="n">
        <v>2089.44</v>
      </c>
      <c r="AE20" t="n">
        <v>-1</v>
      </c>
      <c r="AF20" t="n">
        <v>15065</v>
      </c>
      <c r="AG20" t="n">
        <v>285376</v>
      </c>
      <c r="AH20" t="n">
        <v/>
      </c>
    </row>
    <row r="21">
      <c r="A21" t="inlineStr">
        <is>
          <t>stratix10_arch.timing.xml</t>
        </is>
      </c>
      <c r="B21" t="inlineStr">
        <is>
          <t>jpeg_deco_stratix10_arch_timing.blif</t>
        </is>
      </c>
      <c r="C21" t="inlineStr">
        <is>
          <t>common</t>
        </is>
      </c>
      <c r="D21" t="inlineStr">
        <is>
          <t>success</t>
        </is>
      </c>
      <c r="E21" t="n">
        <v>2494570</v>
      </c>
      <c r="F21" t="n">
        <v>2534370</v>
      </c>
      <c r="G21" t="n">
        <v>1310900</v>
      </c>
      <c r="H21" t="n">
        <v>1334683</v>
      </c>
      <c r="I21" t="n">
        <v>14.413599</v>
      </c>
      <c r="J21" t="n">
        <v>12.1021</v>
      </c>
      <c r="K21" t="n">
        <v>7.93701</v>
      </c>
      <c r="L21" t="n">
        <v>7.09</v>
      </c>
      <c r="M21" t="n">
        <v>-422270.25</v>
      </c>
      <c r="N21" t="n">
        <v>-768812</v>
      </c>
      <c r="O21" t="n">
        <v>-382943</v>
      </c>
      <c r="P21" t="n">
        <v>-495996</v>
      </c>
      <c r="Q21" t="n">
        <v>2705</v>
      </c>
      <c r="R21" t="n">
        <v>22.886507</v>
      </c>
      <c r="S21" t="n">
        <v>0</v>
      </c>
      <c r="T21" t="n">
        <v>75.408142</v>
      </c>
      <c r="U21" t="n">
        <v>67.95739</v>
      </c>
      <c r="V21" t="n">
        <v>1378705</v>
      </c>
      <c r="W21" t="n">
        <v>6.564918</v>
      </c>
      <c r="X21" t="n">
        <v>229</v>
      </c>
      <c r="Y21" t="n">
        <v>1611.21</v>
      </c>
      <c r="Z21" t="n">
        <v>220.49</v>
      </c>
      <c r="AA21" t="n">
        <v>332.76</v>
      </c>
      <c r="AB21" t="n">
        <v>546.16</v>
      </c>
      <c r="AC21" t="n">
        <v>95.68000000000001</v>
      </c>
      <c r="AD21" t="n">
        <v>2238.01</v>
      </c>
      <c r="AE21" t="n">
        <v>-1</v>
      </c>
      <c r="AF21" t="n">
        <v>9021</v>
      </c>
      <c r="AG21" t="n">
        <v>210011</v>
      </c>
      <c r="AH21" t="n">
        <v/>
      </c>
    </row>
    <row r="22">
      <c r="A22" t="inlineStr">
        <is>
          <t>stratix10_arch.timing.xml</t>
        </is>
      </c>
      <c r="B22" t="inlineStr">
        <is>
          <t>nyuzi_stratix10_arch_timing.blif</t>
        </is>
      </c>
      <c r="C22" t="inlineStr">
        <is>
          <t>common</t>
        </is>
      </c>
      <c r="D22" t="inlineStr">
        <is>
          <t>success</t>
        </is>
      </c>
      <c r="E22" t="n">
        <v>933755</v>
      </c>
      <c r="F22" t="n">
        <v>1856660</v>
      </c>
      <c r="G22" t="n">
        <v>893392</v>
      </c>
      <c r="H22" t="n">
        <v>1100205</v>
      </c>
      <c r="I22" t="n">
        <v>10.408257</v>
      </c>
      <c r="J22" t="n">
        <v>11.8531</v>
      </c>
      <c r="K22" t="n">
        <v>9.20932</v>
      </c>
      <c r="L22" t="n">
        <v>8.077999999999999</v>
      </c>
      <c r="M22" t="n">
        <v>-168159.71875</v>
      </c>
      <c r="N22" t="n">
        <v>-254059</v>
      </c>
      <c r="O22" t="n">
        <v>-204708</v>
      </c>
      <c r="P22" t="n">
        <v>-262052</v>
      </c>
      <c r="Q22" t="n">
        <v>1658</v>
      </c>
      <c r="R22" t="n">
        <v>13.460796</v>
      </c>
      <c r="S22" t="n">
        <v>0</v>
      </c>
      <c r="T22" t="n">
        <v>79.181755</v>
      </c>
      <c r="U22" t="n">
        <v>73.77913700000001</v>
      </c>
      <c r="V22" t="n">
        <v>1010614.6875</v>
      </c>
      <c r="W22" t="n">
        <v>11.100533</v>
      </c>
      <c r="X22" t="n">
        <v>83.99990099999999</v>
      </c>
      <c r="Y22" t="n">
        <v>592.6799999999999</v>
      </c>
      <c r="Z22" t="n">
        <v>95.06</v>
      </c>
      <c r="AA22" t="n">
        <v>198.06</v>
      </c>
      <c r="AB22" t="n">
        <v>207.93</v>
      </c>
      <c r="AC22" t="n">
        <v>75.28</v>
      </c>
      <c r="AD22" t="n">
        <v>754.37</v>
      </c>
      <c r="AE22" t="n">
        <v>-1</v>
      </c>
      <c r="AF22" t="n">
        <v>4980</v>
      </c>
      <c r="AG22" t="n">
        <v>91042</v>
      </c>
      <c r="AH22" t="n">
        <v/>
      </c>
    </row>
    <row r="23">
      <c r="A23" t="inlineStr">
        <is>
          <t>stratix10_arch.timing.xml</t>
        </is>
      </c>
      <c r="B23" t="inlineStr">
        <is>
          <t>sobel_stratix10_arch_timing.blif</t>
        </is>
      </c>
      <c r="C23" t="inlineStr">
        <is>
          <t>common</t>
        </is>
      </c>
      <c r="D23" t="inlineStr">
        <is>
          <t>success</t>
        </is>
      </c>
      <c r="E23" t="n">
        <v>190460</v>
      </c>
      <c r="F23" t="n">
        <v>152811</v>
      </c>
      <c r="G23" t="n">
        <v>118238</v>
      </c>
      <c r="H23" t="n">
        <v>113690</v>
      </c>
      <c r="I23" t="n">
        <v>14.900633</v>
      </c>
      <c r="J23" t="n">
        <v>6.166</v>
      </c>
      <c r="K23" t="n">
        <v>5.862</v>
      </c>
      <c r="L23" t="n">
        <v>5.004</v>
      </c>
      <c r="M23" t="n">
        <v>-27907.193359</v>
      </c>
      <c r="N23" t="n">
        <v>-52754.5</v>
      </c>
      <c r="O23" t="n">
        <v>-40267.8</v>
      </c>
      <c r="P23" t="n">
        <v>-52404.2</v>
      </c>
      <c r="Q23" t="n">
        <v>235</v>
      </c>
      <c r="R23" t="n">
        <v>15.587234</v>
      </c>
      <c r="S23" t="n">
        <v>0</v>
      </c>
      <c r="T23" t="n">
        <v>61.971832</v>
      </c>
      <c r="U23" t="n">
        <v>56.353077</v>
      </c>
      <c r="V23" t="n">
        <v>59593.125</v>
      </c>
      <c r="W23" t="n">
        <v>2.526524</v>
      </c>
      <c r="X23" t="n">
        <v>167.974335</v>
      </c>
      <c r="Y23" t="n">
        <v>184.83</v>
      </c>
      <c r="Z23" t="n">
        <v>20.37</v>
      </c>
      <c r="AA23" t="n">
        <v>30.73</v>
      </c>
      <c r="AB23" t="n">
        <v>18.1</v>
      </c>
      <c r="AC23" t="n">
        <v>8.16</v>
      </c>
      <c r="AD23" t="n">
        <v>308.35</v>
      </c>
      <c r="AE23" t="n">
        <v>-1</v>
      </c>
      <c r="AF23" t="n">
        <v>1002</v>
      </c>
      <c r="AG23" t="n">
        <v>23587</v>
      </c>
      <c r="AH23" t="n">
        <v/>
      </c>
    </row>
    <row r="24">
      <c r="A24" t="inlineStr">
        <is>
          <t>stratix10_arch.timing.xml</t>
        </is>
      </c>
      <c r="B24" t="inlineStr">
        <is>
          <t>mem_tester_max_stratix10_arch_timing.blif</t>
        </is>
      </c>
      <c r="C24" t="inlineStr">
        <is>
          <t>common</t>
        </is>
      </c>
      <c r="D24" t="inlineStr">
        <is>
          <t>exited with return code 143</t>
        </is>
      </c>
      <c r="E24" t="n">
        <v>24680500</v>
      </c>
      <c r="F24" t="n">
        <v>-1</v>
      </c>
      <c r="G24" t="n">
        <v>-1</v>
      </c>
      <c r="H24" t="n">
        <v>-1</v>
      </c>
      <c r="I24" t="n">
        <v>9.467001</v>
      </c>
      <c r="J24" t="n">
        <v>-1</v>
      </c>
      <c r="K24" t="n">
        <v>-1</v>
      </c>
      <c r="L24" t="n">
        <v>-1</v>
      </c>
      <c r="M24" t="n">
        <v>-1288755.375</v>
      </c>
      <c r="N24" t="n">
        <v>-1</v>
      </c>
      <c r="O24" t="n">
        <v>-1</v>
      </c>
      <c r="P24" t="n">
        <v>-1</v>
      </c>
      <c r="Q24" t="n">
        <v>92486</v>
      </c>
      <c r="R24" t="n">
        <v>271.350098</v>
      </c>
      <c r="S24" t="n">
        <v>0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12790.33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7605224</v>
      </c>
      <c r="AH24" t="n">
        <v/>
      </c>
    </row>
    <row r="25">
      <c r="A25" t="inlineStr">
        <is>
          <t>stratix10_arch.timing.xml</t>
        </is>
      </c>
      <c r="B25" t="inlineStr">
        <is>
          <t>rocket31_stratix10_arch_timing.blif</t>
        </is>
      </c>
      <c r="C25" t="inlineStr">
        <is>
          <t>common</t>
        </is>
      </c>
      <c r="D25" t="inlineStr">
        <is>
          <t>success</t>
        </is>
      </c>
      <c r="E25" t="n">
        <v>13516800</v>
      </c>
      <c r="F25" t="n">
        <v>70494300</v>
      </c>
      <c r="G25" t="n">
        <v>15300514</v>
      </c>
      <c r="H25" t="n">
        <v>17435991</v>
      </c>
      <c r="I25" t="n">
        <v>24.353727</v>
      </c>
      <c r="J25" t="n">
        <v>74.3875</v>
      </c>
      <c r="K25" t="n">
        <v>17.087</v>
      </c>
      <c r="L25" t="n">
        <v>16.696</v>
      </c>
      <c r="M25" t="n">
        <v>-7866986</v>
      </c>
      <c r="N25" t="n">
        <v>-17403200</v>
      </c>
      <c r="O25" t="n">
        <v>-9058080</v>
      </c>
      <c r="P25" t="n">
        <v>-9400780</v>
      </c>
      <c r="Q25" t="n">
        <v>30613</v>
      </c>
      <c r="R25" t="n">
        <v>13.260118</v>
      </c>
      <c r="S25" t="n">
        <v>0</v>
      </c>
      <c r="T25" t="n">
        <v>79.42102800000001</v>
      </c>
      <c r="U25" t="n">
        <v>70.618675</v>
      </c>
      <c r="V25" t="n">
        <v>51804816</v>
      </c>
      <c r="W25" t="n">
        <v>35.749378</v>
      </c>
      <c r="X25" t="n">
        <v>398.000092</v>
      </c>
      <c r="Y25" t="n">
        <v>24486.56</v>
      </c>
      <c r="Z25" t="n">
        <v>2199.51</v>
      </c>
      <c r="AA25" t="n">
        <v>2636.45</v>
      </c>
      <c r="AB25" t="n">
        <v>19043.46</v>
      </c>
      <c r="AC25" t="n">
        <v>12019.2</v>
      </c>
      <c r="AD25" t="n">
        <v>37276.95</v>
      </c>
      <c r="AE25" t="n">
        <v>-1</v>
      </c>
      <c r="AF25" t="n">
        <v>86417</v>
      </c>
      <c r="AG25" t="n">
        <v>1449111</v>
      </c>
      <c r="AH25" t="n">
        <v/>
      </c>
    </row>
    <row r="26">
      <c r="A26" t="inlineStr">
        <is>
          <t>stratix10_arch.timing.xml</t>
        </is>
      </c>
      <c r="B26" t="inlineStr">
        <is>
          <t>neko_stratix10_arch_timing.blif</t>
        </is>
      </c>
      <c r="C26" t="inlineStr">
        <is>
          <t>common</t>
        </is>
      </c>
      <c r="D26" t="inlineStr">
        <is>
          <t>success</t>
        </is>
      </c>
      <c r="E26" t="n">
        <v>4678340</v>
      </c>
      <c r="F26" t="n">
        <v>9376200</v>
      </c>
      <c r="G26" t="n">
        <v>4011542</v>
      </c>
      <c r="H26" t="n">
        <v>4692856</v>
      </c>
      <c r="I26" t="n">
        <v>20.040188</v>
      </c>
      <c r="J26" t="n">
        <v>25.1143</v>
      </c>
      <c r="K26" t="n">
        <v>14.3407</v>
      </c>
      <c r="L26" t="n">
        <v>14.117</v>
      </c>
      <c r="M26" t="n">
        <v>-1708040.5</v>
      </c>
      <c r="N26" t="n">
        <v>-3475680</v>
      </c>
      <c r="O26" t="n">
        <v>-2201590</v>
      </c>
      <c r="P26" t="n">
        <v>-2832600</v>
      </c>
      <c r="Q26" t="n">
        <v>6250</v>
      </c>
      <c r="R26" t="n">
        <v>15.5552</v>
      </c>
      <c r="S26" t="n">
        <v>0</v>
      </c>
      <c r="T26" t="n">
        <v>72.099762</v>
      </c>
      <c r="U26" t="n">
        <v>78.087898</v>
      </c>
      <c r="V26" t="n">
        <v>6925677</v>
      </c>
      <c r="W26" t="n">
        <v>22.730911</v>
      </c>
      <c r="X26" t="n">
        <v>124.000206</v>
      </c>
      <c r="Y26" t="n">
        <v>3250.54</v>
      </c>
      <c r="Z26" t="n">
        <v>344</v>
      </c>
      <c r="AA26" t="n">
        <v>593.65</v>
      </c>
      <c r="AB26" t="n">
        <v>2056.11</v>
      </c>
      <c r="AC26" t="n">
        <v>1154.39</v>
      </c>
      <c r="AD26" t="n">
        <v>4701.09</v>
      </c>
      <c r="AE26" t="n">
        <v>-1</v>
      </c>
      <c r="AF26" t="n">
        <v>23072</v>
      </c>
      <c r="AG26" t="n">
        <v>304681</v>
      </c>
      <c r="AH26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stratix10_arch.timing.xml</t>
        </is>
      </c>
      <c r="B2" t="inlineStr">
        <is>
          <t>ASU_LRN_stratix10_arch_timing.blif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79261600</v>
      </c>
      <c r="G2" t="n">
        <v>9045003</v>
      </c>
      <c r="H2" t="n">
        <v>8667738</v>
      </c>
      <c r="I2" t="n">
        <v>-1</v>
      </c>
      <c r="J2" t="n">
        <v>21.632</v>
      </c>
      <c r="K2" t="n">
        <v>5.933</v>
      </c>
      <c r="L2" t="n">
        <v>11.736</v>
      </c>
      <c r="M2" t="n">
        <v>-1</v>
      </c>
      <c r="N2" t="n">
        <v>-1904120</v>
      </c>
      <c r="O2" t="n">
        <v>-610669</v>
      </c>
      <c r="P2" t="n">
        <v>-1152870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1552.26</v>
      </c>
      <c r="AD2" t="n">
        <v>8843</v>
      </c>
      <c r="AE2" t="n">
        <v>-1</v>
      </c>
      <c r="AF2" t="n">
        <v>40820</v>
      </c>
      <c r="AG2" t="n">
        <v>955377</v>
      </c>
      <c r="AH2" t="n">
        <v/>
      </c>
    </row>
    <row r="3">
      <c r="A3" t="inlineStr">
        <is>
          <t>stratix10_arch.timing.xml</t>
        </is>
      </c>
      <c r="B3" t="inlineStr">
        <is>
          <t>ChainNN_LRN_LG_stratix10_arch_timing.blif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101286000</v>
      </c>
      <c r="G3" t="n">
        <v>8757562</v>
      </c>
      <c r="H3" t="n">
        <v>8566743</v>
      </c>
      <c r="I3" t="n">
        <v>-1</v>
      </c>
      <c r="J3" t="n">
        <v>21.97</v>
      </c>
      <c r="K3" t="n">
        <v>7.06564</v>
      </c>
      <c r="L3" t="n">
        <v>8.292999999999999</v>
      </c>
      <c r="M3" t="n">
        <v>-1</v>
      </c>
      <c r="N3" t="n">
        <v>-2398200</v>
      </c>
      <c r="O3" t="n">
        <v>-948081</v>
      </c>
      <c r="P3" t="n">
        <v>-1843330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2119.81</v>
      </c>
      <c r="AD3" t="n">
        <v>8034.26</v>
      </c>
      <c r="AE3" t="n">
        <v>-1</v>
      </c>
      <c r="AF3" t="n">
        <v>31135</v>
      </c>
      <c r="AG3" t="n">
        <v>938031</v>
      </c>
      <c r="AH3" t="n">
        <v/>
      </c>
    </row>
    <row r="4">
      <c r="A4" t="inlineStr">
        <is>
          <t>stratix10_arch.timing.xml</t>
        </is>
      </c>
      <c r="B4" t="inlineStr">
        <is>
          <t>ChainNN_ELT_LG_stratix10_arch_timing.blif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101302000</v>
      </c>
      <c r="G4" t="n">
        <v>9039669</v>
      </c>
      <c r="H4" t="n">
        <v>8935543</v>
      </c>
      <c r="I4" t="n">
        <v>-1</v>
      </c>
      <c r="J4" t="n">
        <v>19.34</v>
      </c>
      <c r="K4" t="n">
        <v>6.68299</v>
      </c>
      <c r="L4" t="n">
        <v>8.262</v>
      </c>
      <c r="M4" t="n">
        <v>-1</v>
      </c>
      <c r="N4" t="n">
        <v>-3112350</v>
      </c>
      <c r="O4" t="n">
        <v>-888885</v>
      </c>
      <c r="P4" t="n">
        <v>-1709740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3268.4</v>
      </c>
      <c r="AD4" t="n">
        <v>9281.18</v>
      </c>
      <c r="AE4" t="n">
        <v>-1</v>
      </c>
      <c r="AF4" t="n">
        <v>30718</v>
      </c>
      <c r="AG4" t="n">
        <v>937636</v>
      </c>
      <c r="AH4" t="n">
        <v/>
      </c>
    </row>
    <row r="5">
      <c r="A5" t="inlineStr">
        <is>
          <t>stratix10_arch.timing.xml</t>
        </is>
      </c>
      <c r="B5" t="inlineStr">
        <is>
          <t>ChainNN_BSC_LG_stratix10_arch_timing.blif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97460800</v>
      </c>
      <c r="G5" t="n">
        <v>8381775</v>
      </c>
      <c r="H5" t="n">
        <v>8232893</v>
      </c>
      <c r="I5" t="n">
        <v>-1</v>
      </c>
      <c r="J5" t="n">
        <v>18.687</v>
      </c>
      <c r="K5" t="n">
        <v>6.5663</v>
      </c>
      <c r="L5" t="n">
        <v>7.665</v>
      </c>
      <c r="M5" t="n">
        <v>-1</v>
      </c>
      <c r="N5" t="n">
        <v>-2011690</v>
      </c>
      <c r="O5" t="n">
        <v>-923067</v>
      </c>
      <c r="P5" t="n">
        <v>-1698500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1889.97</v>
      </c>
      <c r="AD5" t="n">
        <v>7773.74</v>
      </c>
      <c r="AE5" t="n">
        <v>-1</v>
      </c>
      <c r="AF5" t="n">
        <v>29827</v>
      </c>
      <c r="AG5" t="n">
        <v>905434</v>
      </c>
      <c r="AH5" t="n">
        <v/>
      </c>
    </row>
    <row r="6">
      <c r="A6" t="inlineStr">
        <is>
          <t>stratix10_arch.timing.xml</t>
        </is>
      </c>
      <c r="B6" t="inlineStr">
        <is>
          <t>rocket17_stratix10_arch_timing.blif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134199000</v>
      </c>
      <c r="G6" t="n">
        <v>8945805</v>
      </c>
      <c r="H6" t="n">
        <v>10660748</v>
      </c>
      <c r="I6" t="n">
        <v>-1</v>
      </c>
      <c r="J6" t="n">
        <v>67.468</v>
      </c>
      <c r="K6" t="n">
        <v>14.626</v>
      </c>
      <c r="L6" t="n">
        <v>14.601</v>
      </c>
      <c r="M6" t="n">
        <v>-1</v>
      </c>
      <c r="N6" t="n">
        <v>-17171500</v>
      </c>
      <c r="O6" t="n">
        <v>-4699360</v>
      </c>
      <c r="P6" t="n">
        <v>-4907850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2377.36</v>
      </c>
      <c r="AD6" t="n">
        <v>15401.48</v>
      </c>
      <c r="AE6" t="n">
        <v>-1</v>
      </c>
      <c r="AF6" t="n">
        <v>46664</v>
      </c>
      <c r="AG6" t="n">
        <v>802819</v>
      </c>
      <c r="AH6" t="n">
        <v/>
      </c>
    </row>
    <row r="7">
      <c r="A7" t="inlineStr">
        <is>
          <t>stratix10_arch.timing.xml</t>
        </is>
      </c>
      <c r="B7" t="inlineStr">
        <is>
          <t>ASU_ELT_stratix10_arch_timing.blif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64769900</v>
      </c>
      <c r="G7" t="n">
        <v>8213812</v>
      </c>
      <c r="H7" t="n">
        <v>8118748</v>
      </c>
      <c r="I7" t="n">
        <v>-1</v>
      </c>
      <c r="J7" t="n">
        <v>17.251</v>
      </c>
      <c r="K7" t="n">
        <v>5.156</v>
      </c>
      <c r="L7" t="n">
        <v>9.26</v>
      </c>
      <c r="M7" t="n">
        <v>-1</v>
      </c>
      <c r="N7" t="n">
        <v>-1574430</v>
      </c>
      <c r="O7" t="n">
        <v>-497244</v>
      </c>
      <c r="P7" t="n">
        <v>-939275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1151.17</v>
      </c>
      <c r="AD7" t="n">
        <v>6968.04</v>
      </c>
      <c r="AE7" t="n">
        <v>-1</v>
      </c>
      <c r="AF7" t="n">
        <v>33049</v>
      </c>
      <c r="AG7" t="n">
        <v>768068</v>
      </c>
      <c r="AH7" t="n">
        <v/>
      </c>
    </row>
    <row r="8">
      <c r="A8" t="inlineStr">
        <is>
          <t>stratix10_arch.timing.xml</t>
        </is>
      </c>
      <c r="B8" t="inlineStr">
        <is>
          <t>ASU_BSC_stratix10_arch_timing.blif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59286200</v>
      </c>
      <c r="G8" t="n">
        <v>7773348</v>
      </c>
      <c r="H8" t="n">
        <v>7576897</v>
      </c>
      <c r="I8" t="n">
        <v>-1</v>
      </c>
      <c r="J8" t="n">
        <v>16.733</v>
      </c>
      <c r="K8" t="n">
        <v>4.4903</v>
      </c>
      <c r="L8" t="n">
        <v>8.939</v>
      </c>
      <c r="M8" t="n">
        <v>-1</v>
      </c>
      <c r="N8" t="n">
        <v>-1476290</v>
      </c>
      <c r="O8" t="n">
        <v>-468711</v>
      </c>
      <c r="P8" t="n">
        <v>-910925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625.3099999999999</v>
      </c>
      <c r="AD8" t="n">
        <v>5614.61</v>
      </c>
      <c r="AE8" t="n">
        <v>-1</v>
      </c>
      <c r="AF8" t="n">
        <v>31687</v>
      </c>
      <c r="AG8" t="n">
        <v>735114</v>
      </c>
      <c r="AH8" t="n">
        <v/>
      </c>
    </row>
    <row r="9">
      <c r="A9" t="inlineStr">
        <is>
          <t>stratix10_arch.timing.xml</t>
        </is>
      </c>
      <c r="B9" t="inlineStr">
        <is>
          <t>tdfir_stratix10_arch_timing.blif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52699200</v>
      </c>
      <c r="G9" t="n">
        <v>4938359</v>
      </c>
      <c r="H9" t="n">
        <v>4430637</v>
      </c>
      <c r="I9" t="n">
        <v>-1</v>
      </c>
      <c r="J9" t="n">
        <v>22.292</v>
      </c>
      <c r="K9" t="n">
        <v>5.693</v>
      </c>
      <c r="L9" t="n">
        <v>5.67</v>
      </c>
      <c r="M9" t="n">
        <v>-1</v>
      </c>
      <c r="N9" t="n">
        <v>-1670950</v>
      </c>
      <c r="O9" t="n">
        <v>-705427</v>
      </c>
      <c r="P9" t="n">
        <v>-1030220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844.1</v>
      </c>
      <c r="AD9" t="n">
        <v>7534.71</v>
      </c>
      <c r="AE9" t="n">
        <v>-1</v>
      </c>
      <c r="AF9" t="n">
        <v>26650</v>
      </c>
      <c r="AG9" t="n">
        <v>706702</v>
      </c>
      <c r="AH9" t="n">
        <v/>
      </c>
    </row>
    <row r="10">
      <c r="A10" t="inlineStr">
        <is>
          <t>stratix10_arch.timing.xml</t>
        </is>
      </c>
      <c r="B10" t="inlineStr">
        <is>
          <t>pricing_stratix10_arch_timing.blif</t>
        </is>
      </c>
      <c r="C10" t="inlineStr">
        <is>
          <t>common</t>
        </is>
      </c>
      <c r="D10" t="inlineStr">
        <is>
          <t>success</t>
        </is>
      </c>
      <c r="E10" t="n">
        <v>-1</v>
      </c>
      <c r="F10" t="n">
        <v>51438100</v>
      </c>
      <c r="G10" t="n">
        <v>4754299</v>
      </c>
      <c r="H10" t="n">
        <v>4414651</v>
      </c>
      <c r="I10" t="n">
        <v>-1</v>
      </c>
      <c r="J10" t="n">
        <v>27.203</v>
      </c>
      <c r="K10" t="n">
        <v>6.907</v>
      </c>
      <c r="L10" t="n">
        <v>6.133</v>
      </c>
      <c r="M10" t="n">
        <v>-1</v>
      </c>
      <c r="N10" t="n">
        <v>-2412460</v>
      </c>
      <c r="O10" t="n">
        <v>-1007480</v>
      </c>
      <c r="P10" t="n">
        <v>-1304240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284.16</v>
      </c>
      <c r="AD10" t="n">
        <v>7398.15</v>
      </c>
      <c r="AE10" t="n">
        <v>-1</v>
      </c>
      <c r="AF10" t="n">
        <v>25506</v>
      </c>
      <c r="AG10" t="n">
        <v>668818</v>
      </c>
      <c r="AH10" t="n">
        <v/>
      </c>
    </row>
    <row r="11">
      <c r="A11" t="inlineStr">
        <is>
          <t>stratix10_arch.timing.xml</t>
        </is>
      </c>
      <c r="B11" t="inlineStr">
        <is>
          <t>mem_tester_stratix10_arch_timing.blif</t>
        </is>
      </c>
      <c r="C11" t="inlineStr">
        <is>
          <t>common</t>
        </is>
      </c>
      <c r="D11" t="inlineStr">
        <is>
          <t>success</t>
        </is>
      </c>
      <c r="E11" t="n">
        <v>-1</v>
      </c>
      <c r="F11" t="n">
        <v>36995600</v>
      </c>
      <c r="G11" t="n">
        <v>2674785</v>
      </c>
      <c r="H11" t="n">
        <v>1969453</v>
      </c>
      <c r="I11" t="n">
        <v>-1</v>
      </c>
      <c r="J11" t="n">
        <v>16.482</v>
      </c>
      <c r="K11" t="n">
        <v>4.915</v>
      </c>
      <c r="L11" t="n">
        <v>5.671</v>
      </c>
      <c r="M11" t="n">
        <v>-1</v>
      </c>
      <c r="N11" t="n">
        <v>-1308440</v>
      </c>
      <c r="O11" t="n">
        <v>-220217</v>
      </c>
      <c r="P11" t="n">
        <v>-236985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149.03</v>
      </c>
      <c r="AD11" t="n">
        <v>4117.79</v>
      </c>
      <c r="AE11" t="n">
        <v>-1</v>
      </c>
      <c r="AF11" t="n">
        <v>24690</v>
      </c>
      <c r="AG11" t="n">
        <v>621389</v>
      </c>
      <c r="AH11" t="n">
        <v/>
      </c>
    </row>
    <row r="12">
      <c r="A12" t="inlineStr">
        <is>
          <t>stratix10_arch.timing.xml</t>
        </is>
      </c>
      <c r="B12" t="inlineStr">
        <is>
          <t>mandelbrot_stratix10_arch_timing.blif</t>
        </is>
      </c>
      <c r="C12" t="inlineStr">
        <is>
          <t>common</t>
        </is>
      </c>
      <c r="D12" t="inlineStr">
        <is>
          <t>success</t>
        </is>
      </c>
      <c r="E12" t="n">
        <v>-1</v>
      </c>
      <c r="F12" t="n">
        <v>40310200</v>
      </c>
      <c r="G12" t="n">
        <v>3581799</v>
      </c>
      <c r="H12" t="n">
        <v>3141699</v>
      </c>
      <c r="I12" t="n">
        <v>-1</v>
      </c>
      <c r="J12" t="n">
        <v>24.847</v>
      </c>
      <c r="K12" t="n">
        <v>6.31772</v>
      </c>
      <c r="L12" t="n">
        <v>5.812</v>
      </c>
      <c r="M12" t="n">
        <v>-1</v>
      </c>
      <c r="N12" t="n">
        <v>-1369230</v>
      </c>
      <c r="O12" t="n">
        <v>-520575</v>
      </c>
      <c r="P12" t="n">
        <v>-729016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234.45</v>
      </c>
      <c r="AD12" t="n">
        <v>5818.61</v>
      </c>
      <c r="AE12" t="n">
        <v>-1</v>
      </c>
      <c r="AF12" t="n">
        <v>21835</v>
      </c>
      <c r="AG12" t="n">
        <v>580213</v>
      </c>
      <c r="AH12" t="n">
        <v/>
      </c>
    </row>
    <row r="13">
      <c r="A13" t="inlineStr">
        <is>
          <t>stratix10_arch.timing.xml</t>
        </is>
      </c>
      <c r="B13" t="inlineStr">
        <is>
          <t>channelizer_stratix10_arch_timing.blif</t>
        </is>
      </c>
      <c r="C13" t="inlineStr">
        <is>
          <t>common</t>
        </is>
      </c>
      <c r="D13" t="inlineStr">
        <is>
          <t>success</t>
        </is>
      </c>
      <c r="E13" t="n">
        <v>-1</v>
      </c>
      <c r="F13" t="n">
        <v>32034600</v>
      </c>
      <c r="G13" t="n">
        <v>2484837</v>
      </c>
      <c r="H13" t="n">
        <v>2159230</v>
      </c>
      <c r="I13" t="n">
        <v>-1</v>
      </c>
      <c r="J13" t="n">
        <v>32.9453</v>
      </c>
      <c r="K13" t="n">
        <v>5.818</v>
      </c>
      <c r="L13" t="n">
        <v>4.924</v>
      </c>
      <c r="M13" t="n">
        <v>-1</v>
      </c>
      <c r="N13" t="n">
        <v>-1698920</v>
      </c>
      <c r="O13" t="n">
        <v>-574073</v>
      </c>
      <c r="P13" t="n">
        <v>-849645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145.19</v>
      </c>
      <c r="AD13" t="n">
        <v>4055.69</v>
      </c>
      <c r="AE13" t="n">
        <v>-1</v>
      </c>
      <c r="AF13" t="n">
        <v>16690</v>
      </c>
      <c r="AG13" t="n">
        <v>462934</v>
      </c>
      <c r="AH13" t="n">
        <v/>
      </c>
    </row>
    <row r="14">
      <c r="A14" t="inlineStr">
        <is>
          <t>stratix10_arch.timing.xml</t>
        </is>
      </c>
      <c r="B14" t="inlineStr">
        <is>
          <t>fft1d_offchip_stratix10_arch_timing.blif</t>
        </is>
      </c>
      <c r="C14" t="inlineStr">
        <is>
          <t>common</t>
        </is>
      </c>
      <c r="D14" t="inlineStr">
        <is>
          <t>success</t>
        </is>
      </c>
      <c r="E14" t="n">
        <v>-1</v>
      </c>
      <c r="F14" t="n">
        <v>30256700</v>
      </c>
      <c r="G14" t="n">
        <v>2484695</v>
      </c>
      <c r="H14" t="n">
        <v>2212759</v>
      </c>
      <c r="I14" t="n">
        <v>-1</v>
      </c>
      <c r="J14" t="n">
        <v>32.998</v>
      </c>
      <c r="K14" t="n">
        <v>6.01531</v>
      </c>
      <c r="L14" t="n">
        <v>5.303</v>
      </c>
      <c r="M14" t="n">
        <v>-1</v>
      </c>
      <c r="N14" t="n">
        <v>-1560630</v>
      </c>
      <c r="O14" t="n">
        <v>-377829</v>
      </c>
      <c r="P14" t="n">
        <v>-606808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144.99</v>
      </c>
      <c r="AD14" t="n">
        <v>3673.3</v>
      </c>
      <c r="AE14" t="n">
        <v>-1</v>
      </c>
      <c r="AF14" t="n">
        <v>16645</v>
      </c>
      <c r="AG14" t="n">
        <v>441594</v>
      </c>
      <c r="AH14" t="n">
        <v/>
      </c>
    </row>
    <row r="15">
      <c r="A15" t="inlineStr">
        <is>
          <t>stratix10_arch.timing.xml</t>
        </is>
      </c>
      <c r="B15" t="inlineStr">
        <is>
          <t>DLA_LRN_stratix10_arch_timing.blif</t>
        </is>
      </c>
      <c r="C15" t="inlineStr">
        <is>
          <t>common</t>
        </is>
      </c>
      <c r="D15" t="inlineStr">
        <is>
          <t>success</t>
        </is>
      </c>
      <c r="E15" t="n">
        <v>-1</v>
      </c>
      <c r="F15" t="n">
        <v>24616600</v>
      </c>
      <c r="G15" t="n">
        <v>2798977</v>
      </c>
      <c r="H15" t="n">
        <v>2675634</v>
      </c>
      <c r="I15" t="n">
        <v>-1</v>
      </c>
      <c r="J15" t="n">
        <v>22.53</v>
      </c>
      <c r="K15" t="n">
        <v>6.69018</v>
      </c>
      <c r="L15" t="n">
        <v>6.865</v>
      </c>
      <c r="M15" t="n">
        <v>-1</v>
      </c>
      <c r="N15" t="n">
        <v>-741980</v>
      </c>
      <c r="O15" t="n">
        <v>-229206</v>
      </c>
      <c r="P15" t="n">
        <v>-370306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135.59</v>
      </c>
      <c r="AD15" t="n">
        <v>3035.57</v>
      </c>
      <c r="AE15" t="n">
        <v>-1</v>
      </c>
      <c r="AF15" t="n">
        <v>17730</v>
      </c>
      <c r="AG15" t="n">
        <v>414279</v>
      </c>
      <c r="AH15" t="n">
        <v/>
      </c>
    </row>
    <row r="16">
      <c r="A16" t="inlineStr">
        <is>
          <t>stratix10_arch.timing.xml</t>
        </is>
      </c>
      <c r="B16" t="inlineStr">
        <is>
          <t>matrix_mult_stratix10_arch_timing.blif</t>
        </is>
      </c>
      <c r="C16" t="inlineStr">
        <is>
          <t>common</t>
        </is>
      </c>
      <c r="D16" t="inlineStr">
        <is>
          <t>success</t>
        </is>
      </c>
      <c r="E16" t="n">
        <v>-1</v>
      </c>
      <c r="F16" t="n">
        <v>24276600</v>
      </c>
      <c r="G16" t="n">
        <v>2645050</v>
      </c>
      <c r="H16" t="n">
        <v>2685834</v>
      </c>
      <c r="I16" t="n">
        <v>-1</v>
      </c>
      <c r="J16" t="n">
        <v>20.967</v>
      </c>
      <c r="K16" t="n">
        <v>6.02066</v>
      </c>
      <c r="L16" t="n">
        <v>5.28</v>
      </c>
      <c r="M16" t="n">
        <v>-1</v>
      </c>
      <c r="N16" t="n">
        <v>-1267620</v>
      </c>
      <c r="O16" t="n">
        <v>-466428</v>
      </c>
      <c r="P16" t="n">
        <v>-728782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183.38</v>
      </c>
      <c r="AD16" t="n">
        <v>3179.78</v>
      </c>
      <c r="AE16" t="n">
        <v>-1</v>
      </c>
      <c r="AF16" t="n">
        <v>14730</v>
      </c>
      <c r="AG16" t="n">
        <v>392682</v>
      </c>
      <c r="AH16" t="n">
        <v/>
      </c>
    </row>
    <row r="17">
      <c r="A17" t="inlineStr">
        <is>
          <t>stratix10_arch.timing.xml</t>
        </is>
      </c>
      <c r="B17" t="inlineStr">
        <is>
          <t>fft1d_stratix10_arch_timing.blif</t>
        </is>
      </c>
      <c r="C17" t="inlineStr">
        <is>
          <t>common</t>
        </is>
      </c>
      <c r="D17" t="inlineStr">
        <is>
          <t>success</t>
        </is>
      </c>
      <c r="E17" t="n">
        <v>-1</v>
      </c>
      <c r="F17" t="n">
        <v>21997400</v>
      </c>
      <c r="G17" t="n">
        <v>2230021</v>
      </c>
      <c r="H17" t="n">
        <v>1973548</v>
      </c>
      <c r="I17" t="n">
        <v>-1</v>
      </c>
      <c r="J17" t="n">
        <v>19.11</v>
      </c>
      <c r="K17" t="n">
        <v>5.782</v>
      </c>
      <c r="L17" t="n">
        <v>5.163</v>
      </c>
      <c r="M17" t="n">
        <v>-1</v>
      </c>
      <c r="N17" t="n">
        <v>-1082210</v>
      </c>
      <c r="O17" t="n">
        <v>-374926</v>
      </c>
      <c r="P17" t="n">
        <v>-567257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120.74</v>
      </c>
      <c r="AD17" t="n">
        <v>2743.43</v>
      </c>
      <c r="AE17" t="n">
        <v>-1</v>
      </c>
      <c r="AF17" t="n">
        <v>14239</v>
      </c>
      <c r="AG17" t="n">
        <v>389856</v>
      </c>
      <c r="AH17" t="n">
        <v/>
      </c>
    </row>
    <row r="18">
      <c r="A18" t="inlineStr">
        <is>
          <t>stratix10_arch.timing.xml</t>
        </is>
      </c>
      <c r="B18" t="inlineStr">
        <is>
          <t>fft2d_stratix10_arch_timing.blif</t>
        </is>
      </c>
      <c r="C18" t="inlineStr">
        <is>
          <t>common</t>
        </is>
      </c>
      <c r="D18" t="inlineStr">
        <is>
          <t>success</t>
        </is>
      </c>
      <c r="E18" t="n">
        <v>-1</v>
      </c>
      <c r="F18" t="n">
        <v>19591800</v>
      </c>
      <c r="G18" t="n">
        <v>2202655</v>
      </c>
      <c r="H18" t="n">
        <v>2119630</v>
      </c>
      <c r="I18" t="n">
        <v>-1</v>
      </c>
      <c r="J18" t="n">
        <v>19.758</v>
      </c>
      <c r="K18" t="n">
        <v>5.782</v>
      </c>
      <c r="L18" t="n">
        <v>4.981</v>
      </c>
      <c r="M18" t="n">
        <v>-1</v>
      </c>
      <c r="N18" t="n">
        <v>-987420</v>
      </c>
      <c r="O18" t="n">
        <v>-362913</v>
      </c>
      <c r="P18" t="n">
        <v>-550562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140.21</v>
      </c>
      <c r="AD18" t="n">
        <v>2497.93</v>
      </c>
      <c r="AE18" t="n">
        <v>-1</v>
      </c>
      <c r="AF18" t="n">
        <v>12755</v>
      </c>
      <c r="AG18" t="n">
        <v>355154</v>
      </c>
      <c r="AH18" t="n">
        <v/>
      </c>
    </row>
    <row r="19">
      <c r="A19" t="inlineStr">
        <is>
          <t>stratix10_arch.timing.xml</t>
        </is>
      </c>
      <c r="B19" t="inlineStr">
        <is>
          <t>DLA_ELT_stratix10_arch_timing.blif</t>
        </is>
      </c>
      <c r="C19" t="inlineStr">
        <is>
          <t>common</t>
        </is>
      </c>
      <c r="D19" t="inlineStr">
        <is>
          <t>success</t>
        </is>
      </c>
      <c r="E19" t="n">
        <v>-1</v>
      </c>
      <c r="F19" t="n">
        <v>15837300</v>
      </c>
      <c r="G19" t="n">
        <v>1805004</v>
      </c>
      <c r="H19" t="n">
        <v>1741199</v>
      </c>
      <c r="I19" t="n">
        <v>-1</v>
      </c>
      <c r="J19" t="n">
        <v>18.605</v>
      </c>
      <c r="K19" t="n">
        <v>6.419</v>
      </c>
      <c r="L19" t="n">
        <v>6.224</v>
      </c>
      <c r="M19" t="n">
        <v>-1</v>
      </c>
      <c r="N19" t="n">
        <v>-607544</v>
      </c>
      <c r="O19" t="n">
        <v>-172791</v>
      </c>
      <c r="P19" t="n">
        <v>-296611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96.51000000000001</v>
      </c>
      <c r="AD19" t="n">
        <v>1927.12</v>
      </c>
      <c r="AE19" t="n">
        <v>-1</v>
      </c>
      <c r="AF19" t="n">
        <v>12522</v>
      </c>
      <c r="AG19" t="n">
        <v>296321</v>
      </c>
      <c r="AH19" t="n">
        <v/>
      </c>
    </row>
    <row r="20">
      <c r="A20" t="inlineStr">
        <is>
          <t>stratix10_arch.timing.xml</t>
        </is>
      </c>
      <c r="B20" t="inlineStr">
        <is>
          <t>DLA_BSC_stratix10_arch_timing.blif</t>
        </is>
      </c>
      <c r="C20" t="inlineStr">
        <is>
          <t>common</t>
        </is>
      </c>
      <c r="D20" t="inlineStr">
        <is>
          <t>success</t>
        </is>
      </c>
      <c r="E20" t="n">
        <v>-1</v>
      </c>
      <c r="F20" t="n">
        <v>15205700</v>
      </c>
      <c r="G20" t="n">
        <v>1739095</v>
      </c>
      <c r="H20" t="n">
        <v>1693042</v>
      </c>
      <c r="I20" t="n">
        <v>-1</v>
      </c>
      <c r="J20" t="n">
        <v>17.597</v>
      </c>
      <c r="K20" t="n">
        <v>6.235</v>
      </c>
      <c r="L20" t="n">
        <v>6.303</v>
      </c>
      <c r="M20" t="n">
        <v>-1</v>
      </c>
      <c r="N20" t="n">
        <v>-581624</v>
      </c>
      <c r="O20" t="n">
        <v>-164348</v>
      </c>
      <c r="P20" t="n">
        <v>-292196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100.92</v>
      </c>
      <c r="AD20" t="n">
        <v>2012.55</v>
      </c>
      <c r="AE20" t="n">
        <v>-1</v>
      </c>
      <c r="AF20" t="n">
        <v>12168</v>
      </c>
      <c r="AG20" t="n">
        <v>285376</v>
      </c>
      <c r="AH20" t="n">
        <v/>
      </c>
    </row>
    <row r="21">
      <c r="A21" t="inlineStr">
        <is>
          <t>stratix10_arch.timing.xml</t>
        </is>
      </c>
      <c r="B21" t="inlineStr">
        <is>
          <t>jpeg_deco_stratix10_arch_timing.blif</t>
        </is>
      </c>
      <c r="C21" t="inlineStr">
        <is>
          <t>common</t>
        </is>
      </c>
      <c r="D21" t="inlineStr">
        <is>
          <t>success</t>
        </is>
      </c>
      <c r="E21" t="n">
        <v>-1</v>
      </c>
      <c r="F21" t="n">
        <v>14719300</v>
      </c>
      <c r="G21" t="n">
        <v>1443788</v>
      </c>
      <c r="H21" t="n">
        <v>1522599</v>
      </c>
      <c r="I21" t="n">
        <v>-1</v>
      </c>
      <c r="J21" t="n">
        <v>28.428</v>
      </c>
      <c r="K21" t="n">
        <v>7.4471</v>
      </c>
      <c r="L21" t="n">
        <v>6.655</v>
      </c>
      <c r="M21" t="n">
        <v>-1</v>
      </c>
      <c r="N21" t="n">
        <v>-1208510</v>
      </c>
      <c r="O21" t="n">
        <v>-369071</v>
      </c>
      <c r="P21" t="n">
        <v>-491569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103.27</v>
      </c>
      <c r="AD21" t="n">
        <v>2288.32</v>
      </c>
      <c r="AE21" t="n">
        <v>-1</v>
      </c>
      <c r="AF21" t="n">
        <v>8606</v>
      </c>
      <c r="AG21" t="n">
        <v>210011</v>
      </c>
      <c r="AH21" t="n">
        <v/>
      </c>
    </row>
    <row r="22">
      <c r="A22" t="inlineStr">
        <is>
          <t>stratix10_arch.timing.xml</t>
        </is>
      </c>
      <c r="B22" t="inlineStr">
        <is>
          <t>nyuzi_stratix10_arch_timing.blif</t>
        </is>
      </c>
      <c r="C22" t="inlineStr">
        <is>
          <t>common</t>
        </is>
      </c>
      <c r="D22" t="inlineStr">
        <is>
          <t>success</t>
        </is>
      </c>
      <c r="E22" t="n">
        <v>-1</v>
      </c>
      <c r="F22" t="n">
        <v>5192130</v>
      </c>
      <c r="G22" t="n">
        <v>1012501</v>
      </c>
      <c r="H22" t="n">
        <v>1298499</v>
      </c>
      <c r="I22" t="n">
        <v>-1</v>
      </c>
      <c r="J22" t="n">
        <v>22.8095</v>
      </c>
      <c r="K22" t="n">
        <v>9.16133</v>
      </c>
      <c r="L22" t="n">
        <v>8.891</v>
      </c>
      <c r="M22" t="n">
        <v>-1</v>
      </c>
      <c r="N22" t="n">
        <v>-431892</v>
      </c>
      <c r="O22" t="n">
        <v>-200382</v>
      </c>
      <c r="P22" t="n">
        <v>-272901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118.99</v>
      </c>
      <c r="AD22" t="n">
        <v>777.98</v>
      </c>
      <c r="AE22" t="n">
        <v>-1</v>
      </c>
      <c r="AF22" t="n">
        <v>4482</v>
      </c>
      <c r="AG22" t="n">
        <v>91042</v>
      </c>
      <c r="AH22" t="n">
        <v/>
      </c>
    </row>
    <row r="23">
      <c r="A23" t="inlineStr">
        <is>
          <t>stratix10_arch.timing.xml</t>
        </is>
      </c>
      <c r="B23" t="inlineStr">
        <is>
          <t>sobel_stratix10_arch_timing.blif</t>
        </is>
      </c>
      <c r="C23" t="inlineStr">
        <is>
          <t>common</t>
        </is>
      </c>
      <c r="D23" t="inlineStr">
        <is>
          <t>success</t>
        </is>
      </c>
      <c r="E23" t="n">
        <v>-1</v>
      </c>
      <c r="F23" t="n">
        <v>546345</v>
      </c>
      <c r="G23" t="n">
        <v>123217</v>
      </c>
      <c r="H23" t="n">
        <v>119290</v>
      </c>
      <c r="I23" t="n">
        <v>-1</v>
      </c>
      <c r="J23" t="n">
        <v>7.523</v>
      </c>
      <c r="K23" t="n">
        <v>5.693</v>
      </c>
      <c r="L23" t="n">
        <v>4.791</v>
      </c>
      <c r="M23" t="n">
        <v>-1</v>
      </c>
      <c r="N23" t="n">
        <v>-66559.8</v>
      </c>
      <c r="O23" t="n">
        <v>-39225.5</v>
      </c>
      <c r="P23" t="n">
        <v>-48918.7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6.96</v>
      </c>
      <c r="AD23" t="n">
        <v>276.7</v>
      </c>
      <c r="AE23" t="n">
        <v>-1</v>
      </c>
      <c r="AF23" t="n">
        <v>882</v>
      </c>
      <c r="AG23" t="n">
        <v>23587</v>
      </c>
      <c r="AH23" t="n">
        <v/>
      </c>
    </row>
    <row r="24">
      <c r="A24" t="inlineStr">
        <is>
          <t>stratix10_arch.timing.xml</t>
        </is>
      </c>
      <c r="B24" t="inlineStr">
        <is>
          <t>mem_tester_max_stratix10_arch_timing.blif</t>
        </is>
      </c>
      <c r="C24" t="inlineStr">
        <is>
          <t>common</t>
        </is>
      </c>
      <c r="D24" t="inlineStr">
        <is>
          <t>exited with return code 143</t>
        </is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7605224</v>
      </c>
      <c r="AH24" t="n">
        <v/>
      </c>
    </row>
    <row r="25">
      <c r="A25" t="inlineStr">
        <is>
          <t>stratix10_arch.timing.xml</t>
        </is>
      </c>
      <c r="B25" t="inlineStr">
        <is>
          <t>rocket31_stratix10_arch_timing.blif</t>
        </is>
      </c>
      <c r="C25" t="inlineStr">
        <is>
          <t>common</t>
        </is>
      </c>
      <c r="D25" t="inlineStr">
        <is>
          <t>exited with return code 143</t>
        </is>
      </c>
      <c r="E25" t="n">
        <v>-1</v>
      </c>
      <c r="F25" t="n">
        <v>277149000</v>
      </c>
      <c r="G25" t="n">
        <v>18284239</v>
      </c>
      <c r="H25" t="n">
        <v>-1</v>
      </c>
      <c r="I25" t="n">
        <v>-1</v>
      </c>
      <c r="J25" t="n">
        <v>89.89100000000001</v>
      </c>
      <c r="K25" t="n">
        <v>16.8305</v>
      </c>
      <c r="L25" t="n">
        <v>-1</v>
      </c>
      <c r="M25" t="n">
        <v>-1</v>
      </c>
      <c r="N25" t="n">
        <v>-37448300</v>
      </c>
      <c r="O25" t="n">
        <v>-9251850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84614</v>
      </c>
      <c r="AG25" t="n">
        <v>1449111</v>
      </c>
      <c r="AH25" t="n">
        <v/>
      </c>
    </row>
    <row r="26">
      <c r="A26" t="inlineStr">
        <is>
          <t>stratix10_arch.timing.xml</t>
        </is>
      </c>
      <c r="B26" t="inlineStr">
        <is>
          <t>neko_stratix10_arch_timing.blif</t>
        </is>
      </c>
      <c r="C26" t="inlineStr">
        <is>
          <t>common</t>
        </is>
      </c>
      <c r="D26" t="inlineStr">
        <is>
          <t>exited with return code 143</t>
        </is>
      </c>
      <c r="E26" t="n">
        <v>-1</v>
      </c>
      <c r="F26" t="n">
        <v>35766500</v>
      </c>
      <c r="G26" t="n">
        <v>5063950</v>
      </c>
      <c r="H26" t="n">
        <v>-1</v>
      </c>
      <c r="I26" t="n">
        <v>-1</v>
      </c>
      <c r="J26" t="n">
        <v>63.196</v>
      </c>
      <c r="K26" t="n">
        <v>16.2463</v>
      </c>
      <c r="L26" t="n">
        <v>-1</v>
      </c>
      <c r="M26" t="n">
        <v>-1</v>
      </c>
      <c r="N26" t="n">
        <v>-4906330</v>
      </c>
      <c r="O26" t="n">
        <v>-2635440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20004</v>
      </c>
      <c r="AG26" t="n">
        <v>304681</v>
      </c>
      <c r="AH26" t="n"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z1000.xml</t>
        </is>
      </c>
      <c r="B2" t="inlineStr">
        <is>
          <t>alu4.blif</t>
        </is>
      </c>
      <c r="C2" t="inlineStr">
        <is>
          <t>common</t>
        </is>
      </c>
      <c r="D2" t="inlineStr">
        <is>
          <t>success</t>
        </is>
      </c>
      <c r="E2" t="n">
        <v>6895.94</v>
      </c>
      <c r="F2" t="n">
        <v>11250</v>
      </c>
      <c r="G2" t="n">
        <v>9767</v>
      </c>
      <c r="H2" t="n">
        <v>19126</v>
      </c>
      <c r="I2" t="n">
        <v>2.023157</v>
      </c>
      <c r="J2" t="n">
        <v>5.46413</v>
      </c>
      <c r="K2" t="n">
        <v>5.46413</v>
      </c>
      <c r="L2" t="n">
        <v>17.9792</v>
      </c>
      <c r="M2" t="n">
        <v>-13.015519</v>
      </c>
      <c r="N2" t="n">
        <v>-34.8339</v>
      </c>
      <c r="O2" t="n">
        <v>-34.8339</v>
      </c>
      <c r="P2" t="n">
        <v>-126.211</v>
      </c>
      <c r="Q2" t="n">
        <v>210</v>
      </c>
      <c r="R2" t="n">
        <v>1.761905</v>
      </c>
      <c r="S2" t="n">
        <v>0</v>
      </c>
      <c r="T2" t="n">
        <v>86.25</v>
      </c>
      <c r="U2" t="n">
        <v>61.204662</v>
      </c>
      <c r="V2" t="n">
        <v>3657.459473</v>
      </c>
      <c r="W2" t="n">
        <v>2.368821</v>
      </c>
      <c r="X2" t="n">
        <v>24.000198</v>
      </c>
      <c r="Y2" t="n">
        <v>12.22</v>
      </c>
      <c r="Z2" t="n">
        <v>0.8100000000000001</v>
      </c>
      <c r="AA2" t="n">
        <v>9.220000000000001</v>
      </c>
      <c r="AB2" t="n">
        <v>0.34</v>
      </c>
      <c r="AC2" t="n">
        <v>3.01</v>
      </c>
      <c r="AD2" t="n">
        <v>15.97</v>
      </c>
      <c r="AE2" t="n">
        <v>-1</v>
      </c>
      <c r="AF2" t="n">
        <v>-1</v>
      </c>
      <c r="AG2" t="n">
        <v>1544</v>
      </c>
      <c r="AH2" t="n">
        <v/>
      </c>
    </row>
    <row r="3">
      <c r="A3" t="inlineStr">
        <is>
          <t>z1000.xml</t>
        </is>
      </c>
      <c r="B3" t="inlineStr">
        <is>
          <t>apex4.blif</t>
        </is>
      </c>
      <c r="C3" t="inlineStr">
        <is>
          <t>common</t>
        </is>
      </c>
      <c r="D3" t="inlineStr">
        <is>
          <t>success</t>
        </is>
      </c>
      <c r="E3" t="n">
        <v>7194.31</v>
      </c>
      <c r="F3" t="n">
        <v>12596.7</v>
      </c>
      <c r="G3" t="n">
        <v>10059</v>
      </c>
      <c r="H3" t="n">
        <v>20201</v>
      </c>
      <c r="I3" t="n">
        <v>1.759012</v>
      </c>
      <c r="J3" t="n">
        <v>4.27225</v>
      </c>
      <c r="K3" t="n">
        <v>4.27225</v>
      </c>
      <c r="L3" t="n">
        <v>21.2397</v>
      </c>
      <c r="M3" t="n">
        <v>-30.077353</v>
      </c>
      <c r="N3" t="n">
        <v>-72.62820000000001</v>
      </c>
      <c r="O3" t="n">
        <v>-72.62820000000001</v>
      </c>
      <c r="P3" t="n">
        <v>-342.98</v>
      </c>
      <c r="Q3" t="n">
        <v>172</v>
      </c>
      <c r="R3" t="n">
        <v>1</v>
      </c>
      <c r="S3" t="n">
        <v>0</v>
      </c>
      <c r="T3" t="n">
        <v>76.428574</v>
      </c>
      <c r="U3" t="n">
        <v>50.775192</v>
      </c>
      <c r="V3" t="n">
        <v>2804.240967</v>
      </c>
      <c r="W3" t="n">
        <v>2.17383</v>
      </c>
      <c r="X3" t="n">
        <v>24.026779</v>
      </c>
      <c r="Y3" t="n">
        <v>3.39</v>
      </c>
      <c r="Z3" t="n">
        <v>0.6</v>
      </c>
      <c r="AA3" t="n">
        <v>0.45</v>
      </c>
      <c r="AB3" t="n">
        <v>0.4</v>
      </c>
      <c r="AC3" t="n">
        <v>2.4</v>
      </c>
      <c r="AD3" t="n">
        <v>6.49</v>
      </c>
      <c r="AE3" t="n">
        <v>-1</v>
      </c>
      <c r="AF3" t="n">
        <v>-1</v>
      </c>
      <c r="AG3" t="n">
        <v>1290</v>
      </c>
      <c r="AH3" t="n">
        <v/>
      </c>
    </row>
    <row r="4">
      <c r="A4" t="inlineStr">
        <is>
          <t>z1000.xml</t>
        </is>
      </c>
      <c r="B4" t="inlineStr">
        <is>
          <t>bigkey.blif</t>
        </is>
      </c>
      <c r="C4" t="inlineStr">
        <is>
          <t>common</t>
        </is>
      </c>
      <c r="D4" t="inlineStr">
        <is>
          <t>success</t>
        </is>
      </c>
      <c r="E4" t="n">
        <v>7427.44</v>
      </c>
      <c r="F4" t="n">
        <v>12831.2</v>
      </c>
      <c r="G4" t="n">
        <v>9461</v>
      </c>
      <c r="H4" t="n">
        <v>16652</v>
      </c>
      <c r="I4" t="n">
        <v>1.476578</v>
      </c>
      <c r="J4" t="n">
        <v>3.24207</v>
      </c>
      <c r="K4" t="n">
        <v>3.24207</v>
      </c>
      <c r="L4" t="n">
        <v>9.756220000000001</v>
      </c>
      <c r="M4" t="n">
        <v>-485.615143</v>
      </c>
      <c r="N4" t="n">
        <v>-722.847</v>
      </c>
      <c r="O4" t="n">
        <v>-722.847</v>
      </c>
      <c r="P4" t="n">
        <v>-2347.65</v>
      </c>
      <c r="Q4" t="n">
        <v>210</v>
      </c>
      <c r="R4" t="n">
        <v>5.976191</v>
      </c>
      <c r="S4" t="n">
        <v>0</v>
      </c>
      <c r="T4" t="n">
        <v>25.396826</v>
      </c>
      <c r="U4" t="n">
        <v>25.052454</v>
      </c>
      <c r="V4" t="n">
        <v>2443.546143</v>
      </c>
      <c r="W4" t="n">
        <v>1.025408</v>
      </c>
      <c r="X4" t="n">
        <v>16.979027</v>
      </c>
      <c r="Y4" t="n">
        <v>17.16</v>
      </c>
      <c r="Z4" t="n">
        <v>0.8</v>
      </c>
      <c r="AA4" t="n">
        <v>13.6</v>
      </c>
      <c r="AB4" t="n">
        <v>0.6899999999999999</v>
      </c>
      <c r="AC4" t="n">
        <v>1.35</v>
      </c>
      <c r="AD4" t="n">
        <v>19.25</v>
      </c>
      <c r="AE4" t="n">
        <v>-1</v>
      </c>
      <c r="AF4" t="n">
        <v>-1</v>
      </c>
      <c r="AG4" t="n">
        <v>2383</v>
      </c>
      <c r="AH4" t="n">
        <v/>
      </c>
    </row>
    <row r="5">
      <c r="A5" t="inlineStr">
        <is>
          <t>z1000.xml</t>
        </is>
      </c>
      <c r="B5" t="inlineStr">
        <is>
          <t>des.blif</t>
        </is>
      </c>
      <c r="C5" t="inlineStr">
        <is>
          <t>common</t>
        </is>
      </c>
      <c r="D5" t="inlineStr">
        <is>
          <t>success</t>
        </is>
      </c>
      <c r="E5" t="n">
        <v>8815.9</v>
      </c>
      <c r="F5" t="n">
        <v>13522.9</v>
      </c>
      <c r="G5" t="n">
        <v>10651</v>
      </c>
      <c r="H5" t="n">
        <v>18851</v>
      </c>
      <c r="I5" t="n">
        <v>1.759012</v>
      </c>
      <c r="J5" t="n">
        <v>4.78112</v>
      </c>
      <c r="K5" t="n">
        <v>4.78112</v>
      </c>
      <c r="L5" t="n">
        <v>18.6085</v>
      </c>
      <c r="M5" t="n">
        <v>-292.282196</v>
      </c>
      <c r="N5" t="n">
        <v>-695.759</v>
      </c>
      <c r="O5" t="n">
        <v>-695.759</v>
      </c>
      <c r="P5" t="n">
        <v>-2627.51</v>
      </c>
      <c r="Q5" t="n">
        <v>213</v>
      </c>
      <c r="R5" t="n">
        <v>3.300469</v>
      </c>
      <c r="S5" t="n">
        <v>0</v>
      </c>
      <c r="T5" t="n">
        <v>28.314917</v>
      </c>
      <c r="U5" t="n">
        <v>38.814533</v>
      </c>
      <c r="V5" t="n">
        <v>2455.570801</v>
      </c>
      <c r="W5" t="n">
        <v>1.173791</v>
      </c>
      <c r="X5" t="n">
        <v>19.516491</v>
      </c>
      <c r="Y5" t="n">
        <v>14.98</v>
      </c>
      <c r="Z5" t="n">
        <v>0.93</v>
      </c>
      <c r="AA5" t="n">
        <v>10.97</v>
      </c>
      <c r="AB5" t="n">
        <v>0.78</v>
      </c>
      <c r="AC5" t="n">
        <v>2.3</v>
      </c>
      <c r="AD5" t="n">
        <v>17.99</v>
      </c>
      <c r="AE5" t="n">
        <v>-1</v>
      </c>
      <c r="AF5" t="n">
        <v>-1</v>
      </c>
      <c r="AG5" t="n">
        <v>2092</v>
      </c>
      <c r="AH5" t="n">
        <v/>
      </c>
    </row>
    <row r="6">
      <c r="A6" t="inlineStr">
        <is>
          <t>z1000.xml</t>
        </is>
      </c>
      <c r="B6" t="inlineStr">
        <is>
          <t>diffeq.blif</t>
        </is>
      </c>
      <c r="C6" t="inlineStr">
        <is>
          <t>common</t>
        </is>
      </c>
      <c r="D6" t="inlineStr">
        <is>
          <t>success</t>
        </is>
      </c>
      <c r="E6" t="n">
        <v>7017.29</v>
      </c>
      <c r="F6" t="n">
        <v>11739.7</v>
      </c>
      <c r="G6" t="n">
        <v>8534</v>
      </c>
      <c r="H6" t="n">
        <v>15056</v>
      </c>
      <c r="I6" t="n">
        <v>4.38217</v>
      </c>
      <c r="J6" t="n">
        <v>10.0722</v>
      </c>
      <c r="K6" t="n">
        <v>10.0722</v>
      </c>
      <c r="L6" t="n">
        <v>23.7903</v>
      </c>
      <c r="M6" t="n">
        <v>-706.5426639999999</v>
      </c>
      <c r="N6" t="n">
        <v>-1309.71</v>
      </c>
      <c r="O6" t="n">
        <v>-1309.71</v>
      </c>
      <c r="P6" t="n">
        <v>-4167.73</v>
      </c>
      <c r="Q6" t="n">
        <v>209</v>
      </c>
      <c r="R6" t="n">
        <v>1.119617</v>
      </c>
      <c r="S6" t="n">
        <v>0</v>
      </c>
      <c r="T6" t="n">
        <v>62.290504</v>
      </c>
      <c r="U6" t="n">
        <v>39.361702</v>
      </c>
      <c r="V6" t="n">
        <v>3131.733398</v>
      </c>
      <c r="W6" t="n">
        <v>1.586491</v>
      </c>
      <c r="X6" t="n">
        <v>22.000198</v>
      </c>
      <c r="Y6" t="n">
        <v>5.01</v>
      </c>
      <c r="Z6" t="n">
        <v>0.83</v>
      </c>
      <c r="AA6" t="n">
        <v>1.92</v>
      </c>
      <c r="AB6" t="n">
        <v>0.41</v>
      </c>
      <c r="AC6" t="n">
        <v>0.9</v>
      </c>
      <c r="AD6" t="n">
        <v>6.65</v>
      </c>
      <c r="AE6" t="n">
        <v>-1</v>
      </c>
      <c r="AF6" t="n">
        <v>-1</v>
      </c>
      <c r="AG6" t="n">
        <v>1974</v>
      </c>
      <c r="AH6" t="n">
        <v/>
      </c>
    </row>
    <row r="7">
      <c r="A7" t="inlineStr">
        <is>
          <t>z1000.xml</t>
        </is>
      </c>
      <c r="B7" t="inlineStr">
        <is>
          <t>dsip.blif</t>
        </is>
      </c>
      <c r="C7" t="inlineStr">
        <is>
          <t>common</t>
        </is>
      </c>
      <c r="D7" t="inlineStr">
        <is>
          <t>success</t>
        </is>
      </c>
      <c r="E7" t="n">
        <v>6999.54</v>
      </c>
      <c r="F7" t="n">
        <v>9872.59</v>
      </c>
      <c r="G7" t="n">
        <v>8456</v>
      </c>
      <c r="H7" t="n">
        <v>14184</v>
      </c>
      <c r="I7" t="n">
        <v>1.212434</v>
      </c>
      <c r="J7" t="n">
        <v>3.01792</v>
      </c>
      <c r="K7" t="n">
        <v>3.01792</v>
      </c>
      <c r="L7" t="n">
        <v>12.4038</v>
      </c>
      <c r="M7" t="n">
        <v>-426.449799</v>
      </c>
      <c r="N7" t="n">
        <v>-660.0119999999999</v>
      </c>
      <c r="O7" t="n">
        <v>-660.0119999999999</v>
      </c>
      <c r="P7" t="n">
        <v>-2615.64</v>
      </c>
      <c r="Q7" t="n">
        <v>185</v>
      </c>
      <c r="R7" t="n">
        <v>1</v>
      </c>
      <c r="S7" t="n">
        <v>0</v>
      </c>
      <c r="T7" t="n">
        <v>29.80456</v>
      </c>
      <c r="U7" t="n">
        <v>24.353876</v>
      </c>
      <c r="V7" t="n">
        <v>1139.29126</v>
      </c>
      <c r="W7" t="n">
        <v>0.566248</v>
      </c>
      <c r="X7" t="n">
        <v>15.999999</v>
      </c>
      <c r="Y7" t="n">
        <v>11.01</v>
      </c>
      <c r="Z7" t="n">
        <v>0.57</v>
      </c>
      <c r="AA7" t="n">
        <v>8.15</v>
      </c>
      <c r="AB7" t="n">
        <v>0.41</v>
      </c>
      <c r="AC7" t="n">
        <v>0.85</v>
      </c>
      <c r="AD7" t="n">
        <v>12.58</v>
      </c>
      <c r="AE7" t="n">
        <v>-1</v>
      </c>
      <c r="AF7" t="n">
        <v>-1</v>
      </c>
      <c r="AG7" t="n">
        <v>2012</v>
      </c>
      <c r="AH7" t="n">
        <v/>
      </c>
    </row>
    <row r="8">
      <c r="A8" t="inlineStr">
        <is>
          <t>z1000.xml</t>
        </is>
      </c>
      <c r="B8" t="inlineStr">
        <is>
          <t>ex5p.blif</t>
        </is>
      </c>
      <c r="C8" t="inlineStr">
        <is>
          <t>common</t>
        </is>
      </c>
      <c r="D8" t="inlineStr">
        <is>
          <t>success</t>
        </is>
      </c>
      <c r="E8" t="n">
        <v>6559.46</v>
      </c>
      <c r="F8" t="n">
        <v>10810</v>
      </c>
      <c r="G8" t="n">
        <v>9037</v>
      </c>
      <c r="H8" t="n">
        <v>16515</v>
      </c>
      <c r="I8" t="n">
        <v>2.023157</v>
      </c>
      <c r="J8" t="n">
        <v>5.46413</v>
      </c>
      <c r="K8" t="n">
        <v>5.46413</v>
      </c>
      <c r="L8" t="n">
        <v>21.1398</v>
      </c>
      <c r="M8" t="n">
        <v>-85.988174</v>
      </c>
      <c r="N8" t="n">
        <v>-220.856</v>
      </c>
      <c r="O8" t="n">
        <v>-220.856</v>
      </c>
      <c r="P8" t="n">
        <v>-847.624</v>
      </c>
      <c r="Q8" t="n">
        <v>143</v>
      </c>
      <c r="R8" t="n">
        <v>1</v>
      </c>
      <c r="S8" t="n">
        <v>0</v>
      </c>
      <c r="T8" t="n">
        <v>64.835167</v>
      </c>
      <c r="U8" t="n">
        <v>50.220264</v>
      </c>
      <c r="V8" t="n">
        <v>1968.765625</v>
      </c>
      <c r="W8" t="n">
        <v>1.734595</v>
      </c>
      <c r="X8" t="n">
        <v>15.0002</v>
      </c>
      <c r="Y8" t="n">
        <v>3.08</v>
      </c>
      <c r="Z8" t="n">
        <v>0.48</v>
      </c>
      <c r="AA8" t="n">
        <v>0.5</v>
      </c>
      <c r="AB8" t="n">
        <v>0.29</v>
      </c>
      <c r="AC8" t="n">
        <v>1.75</v>
      </c>
      <c r="AD8" t="n">
        <v>5.51</v>
      </c>
      <c r="AE8" t="n">
        <v>-1</v>
      </c>
      <c r="AF8" t="n">
        <v>-1</v>
      </c>
      <c r="AG8" t="n">
        <v>1135</v>
      </c>
      <c r="AH8" t="n">
        <v/>
      </c>
    </row>
    <row r="9">
      <c r="A9" t="inlineStr">
        <is>
          <t>z1000.xml</t>
        </is>
      </c>
      <c r="B9" t="inlineStr">
        <is>
          <t>misex3.blif</t>
        </is>
      </c>
      <c r="C9" t="inlineStr">
        <is>
          <t>common</t>
        </is>
      </c>
      <c r="D9" t="inlineStr">
        <is>
          <t>success</t>
        </is>
      </c>
      <c r="E9" t="n">
        <v>7596.95</v>
      </c>
      <c r="F9" t="n">
        <v>13691.7</v>
      </c>
      <c r="G9" t="n">
        <v>10766</v>
      </c>
      <c r="H9" t="n">
        <v>21643</v>
      </c>
      <c r="I9" t="n">
        <v>2.023157</v>
      </c>
      <c r="J9" t="n">
        <v>4.78112</v>
      </c>
      <c r="K9" t="n">
        <v>4.78112</v>
      </c>
      <c r="L9" t="n">
        <v>19.5948</v>
      </c>
      <c r="M9" t="n">
        <v>-24.097883</v>
      </c>
      <c r="N9" t="n">
        <v>-58.0971</v>
      </c>
      <c r="O9" t="n">
        <v>-58.0971</v>
      </c>
      <c r="P9" t="n">
        <v>-253.436</v>
      </c>
      <c r="Q9" t="n">
        <v>190</v>
      </c>
      <c r="R9" t="n">
        <v>1</v>
      </c>
      <c r="S9" t="n">
        <v>0</v>
      </c>
      <c r="T9" t="n">
        <v>81.272087</v>
      </c>
      <c r="U9" t="n">
        <v>57.122807</v>
      </c>
      <c r="V9" t="n">
        <v>3625.444092</v>
      </c>
      <c r="W9" t="n">
        <v>2.544171</v>
      </c>
      <c r="X9" t="n">
        <v>24.000198</v>
      </c>
      <c r="Y9" t="n">
        <v>4.09</v>
      </c>
      <c r="Z9" t="n">
        <v>0.7</v>
      </c>
      <c r="AA9" t="n">
        <v>1.01</v>
      </c>
      <c r="AB9" t="n">
        <v>0.57</v>
      </c>
      <c r="AC9" t="n">
        <v>2.53</v>
      </c>
      <c r="AD9" t="n">
        <v>7.32</v>
      </c>
      <c r="AE9" t="n">
        <v>-1</v>
      </c>
      <c r="AF9" t="n">
        <v>-1</v>
      </c>
      <c r="AG9" t="n">
        <v>1425</v>
      </c>
      <c r="AH9" t="n">
        <v/>
      </c>
    </row>
    <row r="10">
      <c r="A10" t="inlineStr">
        <is>
          <t>z1000.xml</t>
        </is>
      </c>
      <c r="B10" t="inlineStr">
        <is>
          <t>seq.blif</t>
        </is>
      </c>
      <c r="C10" t="inlineStr">
        <is>
          <t>common</t>
        </is>
      </c>
      <c r="D10" t="inlineStr">
        <is>
          <t>success</t>
        </is>
      </c>
      <c r="E10" t="n">
        <v>9155.73</v>
      </c>
      <c r="F10" t="n">
        <v>16746.6</v>
      </c>
      <c r="G10" t="n">
        <v>13157</v>
      </c>
      <c r="H10" t="n">
        <v>24481</v>
      </c>
      <c r="I10" t="n">
        <v>2.023157</v>
      </c>
      <c r="J10" t="n">
        <v>5.46413</v>
      </c>
      <c r="K10" t="n">
        <v>5.46413</v>
      </c>
      <c r="L10" t="n">
        <v>20.2057</v>
      </c>
      <c r="M10" t="n">
        <v>-50.999649</v>
      </c>
      <c r="N10" t="n">
        <v>-132.706</v>
      </c>
      <c r="O10" t="n">
        <v>-132.706</v>
      </c>
      <c r="P10" t="n">
        <v>-538.939</v>
      </c>
      <c r="Q10" t="n">
        <v>213</v>
      </c>
      <c r="R10" t="n">
        <v>7.032864</v>
      </c>
      <c r="S10" t="n">
        <v>0</v>
      </c>
      <c r="T10" t="n">
        <v>72.891563</v>
      </c>
      <c r="U10" t="n">
        <v>60.460022</v>
      </c>
      <c r="V10" t="n">
        <v>5324.331543</v>
      </c>
      <c r="W10" t="n">
        <v>2.915844</v>
      </c>
      <c r="X10" t="n">
        <v>23.0002</v>
      </c>
      <c r="Y10" t="n">
        <v>12.06</v>
      </c>
      <c r="Z10" t="n">
        <v>0.84</v>
      </c>
      <c r="AA10" t="n">
        <v>8.869999999999999</v>
      </c>
      <c r="AB10" t="n">
        <v>0.5</v>
      </c>
      <c r="AC10" t="n">
        <v>3.62</v>
      </c>
      <c r="AD10" t="n">
        <v>16.62</v>
      </c>
      <c r="AE10" t="n">
        <v>-1</v>
      </c>
      <c r="AF10" t="n">
        <v>-1</v>
      </c>
      <c r="AG10" t="n">
        <v>1826</v>
      </c>
      <c r="AH10" t="n">
        <v/>
      </c>
    </row>
    <row r="11">
      <c r="A11" t="inlineStr">
        <is>
          <t>z1000.xml</t>
        </is>
      </c>
      <c r="B11" t="inlineStr">
        <is>
          <t>tseng.blif</t>
        </is>
      </c>
      <c r="C11" t="inlineStr">
        <is>
          <t>common</t>
        </is>
      </c>
      <c r="D11" t="inlineStr">
        <is>
          <t>success</t>
        </is>
      </c>
      <c r="E11" t="n">
        <v>4539.82</v>
      </c>
      <c r="F11" t="n">
        <v>6370.96</v>
      </c>
      <c r="G11" t="n">
        <v>5511</v>
      </c>
      <c r="H11" t="n">
        <v>9192</v>
      </c>
      <c r="I11" t="n">
        <v>4.118025</v>
      </c>
      <c r="J11" t="n">
        <v>9.38922</v>
      </c>
      <c r="K11" t="n">
        <v>9.38922</v>
      </c>
      <c r="L11" t="n">
        <v>23.3618</v>
      </c>
      <c r="M11" t="n">
        <v>-763.17804</v>
      </c>
      <c r="N11" t="n">
        <v>-1324</v>
      </c>
      <c r="O11" t="n">
        <v>-1324</v>
      </c>
      <c r="P11" t="n">
        <v>-3711.98</v>
      </c>
      <c r="Q11" t="n">
        <v>134</v>
      </c>
      <c r="R11" t="n">
        <v>1</v>
      </c>
      <c r="S11" t="n">
        <v>0</v>
      </c>
      <c r="T11" t="n">
        <v>43.067848</v>
      </c>
      <c r="U11" t="n">
        <v>39.190033</v>
      </c>
      <c r="V11" t="n">
        <v>1376.995483</v>
      </c>
      <c r="W11" t="n">
        <v>0.857941</v>
      </c>
      <c r="X11" t="n">
        <v>11.012052</v>
      </c>
      <c r="Y11" t="n">
        <v>3.46</v>
      </c>
      <c r="Z11" t="n">
        <v>0.61</v>
      </c>
      <c r="AA11" t="n">
        <v>0.84</v>
      </c>
      <c r="AB11" t="n">
        <v>0.19</v>
      </c>
      <c r="AC11" t="n">
        <v>0.43</v>
      </c>
      <c r="AD11" t="n">
        <v>4.66</v>
      </c>
      <c r="AE11" t="n">
        <v>-1</v>
      </c>
      <c r="AF11" t="n">
        <v>-1</v>
      </c>
      <c r="AG11" t="n">
        <v>1605</v>
      </c>
      <c r="AH11" t="n"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z1000.xml</t>
        </is>
      </c>
      <c r="B2" t="inlineStr">
        <is>
          <t>alu4.blif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16681.8</v>
      </c>
      <c r="G2" t="n">
        <v>10098</v>
      </c>
      <c r="H2" t="n">
        <v>19068</v>
      </c>
      <c r="I2" t="n">
        <v>-1</v>
      </c>
      <c r="J2" t="n">
        <v>5.46413</v>
      </c>
      <c r="K2" t="n">
        <v>5.46413</v>
      </c>
      <c r="L2" t="n">
        <v>19.2374</v>
      </c>
      <c r="M2" t="n">
        <v>-1</v>
      </c>
      <c r="N2" t="n">
        <v>-33.9767</v>
      </c>
      <c r="O2" t="n">
        <v>-33.9767</v>
      </c>
      <c r="P2" t="n">
        <v>-133.11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2.34</v>
      </c>
      <c r="AD2" t="n">
        <v>11.69</v>
      </c>
      <c r="AE2" t="n">
        <v>-1</v>
      </c>
      <c r="AF2" t="n">
        <v>-1</v>
      </c>
      <c r="AG2" t="n">
        <v>1544</v>
      </c>
      <c r="AH2" t="n">
        <v/>
      </c>
    </row>
    <row r="3">
      <c r="A3" t="inlineStr">
        <is>
          <t>z1000.xml</t>
        </is>
      </c>
      <c r="B3" t="inlineStr">
        <is>
          <t>apex4.blif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16997.6</v>
      </c>
      <c r="G3" t="n">
        <v>11101</v>
      </c>
      <c r="H3" t="n">
        <v>21603</v>
      </c>
      <c r="I3" t="n">
        <v>-1</v>
      </c>
      <c r="J3" t="n">
        <v>4.78112</v>
      </c>
      <c r="K3" t="n">
        <v>4.78112</v>
      </c>
      <c r="L3" t="n">
        <v>21.9225</v>
      </c>
      <c r="M3" t="n">
        <v>-1</v>
      </c>
      <c r="N3" t="n">
        <v>-73.9806</v>
      </c>
      <c r="O3" t="n">
        <v>-73.9806</v>
      </c>
      <c r="P3" t="n">
        <v>-345.694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2.71</v>
      </c>
      <c r="AD3" t="n">
        <v>5.47</v>
      </c>
      <c r="AE3" t="n">
        <v>-1</v>
      </c>
      <c r="AF3" t="n">
        <v>-1</v>
      </c>
      <c r="AG3" t="n">
        <v>1290</v>
      </c>
      <c r="AH3" t="n">
        <v/>
      </c>
    </row>
    <row r="4">
      <c r="A4" t="inlineStr">
        <is>
          <t>z1000.xml</t>
        </is>
      </c>
      <c r="B4" t="inlineStr">
        <is>
          <t>bigkey.blif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20926.7</v>
      </c>
      <c r="G4" t="n">
        <v>10154</v>
      </c>
      <c r="H4" t="n">
        <v>16391</v>
      </c>
      <c r="I4" t="n">
        <v>-1</v>
      </c>
      <c r="J4" t="n">
        <v>2.38491</v>
      </c>
      <c r="K4" t="n">
        <v>2.38491</v>
      </c>
      <c r="L4" t="n">
        <v>10.4184</v>
      </c>
      <c r="M4" t="n">
        <v>-1</v>
      </c>
      <c r="N4" t="n">
        <v>-715.747</v>
      </c>
      <c r="O4" t="n">
        <v>-715.747</v>
      </c>
      <c r="P4" t="n">
        <v>-2436.94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1.24</v>
      </c>
      <c r="AD4" t="n">
        <v>17.45</v>
      </c>
      <c r="AE4" t="n">
        <v>-1</v>
      </c>
      <c r="AF4" t="n">
        <v>-1</v>
      </c>
      <c r="AG4" t="n">
        <v>2383</v>
      </c>
      <c r="AH4" t="n">
        <v/>
      </c>
    </row>
    <row r="5">
      <c r="A5" t="inlineStr">
        <is>
          <t>z1000.xml</t>
        </is>
      </c>
      <c r="B5" t="inlineStr">
        <is>
          <t>des.blif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23254.5</v>
      </c>
      <c r="G5" t="n">
        <v>10817</v>
      </c>
      <c r="H5" t="n">
        <v>18992</v>
      </c>
      <c r="I5" t="n">
        <v>-1</v>
      </c>
      <c r="J5" t="n">
        <v>4.78112</v>
      </c>
      <c r="K5" t="n">
        <v>4.78112</v>
      </c>
      <c r="L5" t="n">
        <v>15.3473</v>
      </c>
      <c r="M5" t="n">
        <v>-1</v>
      </c>
      <c r="N5" t="n">
        <v>-704.048</v>
      </c>
      <c r="O5" t="n">
        <v>-704.048</v>
      </c>
      <c r="P5" t="n">
        <v>-2616.03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1.83</v>
      </c>
      <c r="AD5" t="n">
        <v>13.57</v>
      </c>
      <c r="AE5" t="n">
        <v>-1</v>
      </c>
      <c r="AF5" t="n">
        <v>-1</v>
      </c>
      <c r="AG5" t="n">
        <v>2092</v>
      </c>
      <c r="AH5" t="n">
        <v/>
      </c>
    </row>
    <row r="6">
      <c r="A6" t="inlineStr">
        <is>
          <t>z1000.xml</t>
        </is>
      </c>
      <c r="B6" t="inlineStr">
        <is>
          <t>diffeq.blif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18867.2</v>
      </c>
      <c r="G6" t="n">
        <v>9194</v>
      </c>
      <c r="H6" t="n">
        <v>15912</v>
      </c>
      <c r="I6" t="n">
        <v>-1</v>
      </c>
      <c r="J6" t="n">
        <v>10.0722</v>
      </c>
      <c r="K6" t="n">
        <v>10.0722</v>
      </c>
      <c r="L6" t="n">
        <v>22.1529</v>
      </c>
      <c r="M6" t="n">
        <v>-1</v>
      </c>
      <c r="N6" t="n">
        <v>-1307.77</v>
      </c>
      <c r="O6" t="n">
        <v>-1307.77</v>
      </c>
      <c r="P6" t="n">
        <v>-4236.24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1.24</v>
      </c>
      <c r="AD6" t="n">
        <v>5.53</v>
      </c>
      <c r="AE6" t="n">
        <v>-1</v>
      </c>
      <c r="AF6" t="n">
        <v>-1</v>
      </c>
      <c r="AG6" t="n">
        <v>1974</v>
      </c>
      <c r="AH6" t="n">
        <v/>
      </c>
    </row>
    <row r="7">
      <c r="A7" t="inlineStr">
        <is>
          <t>z1000.xml</t>
        </is>
      </c>
      <c r="B7" t="inlineStr">
        <is>
          <t>dsip.blif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18136.4</v>
      </c>
      <c r="G7" t="n">
        <v>8288</v>
      </c>
      <c r="H7" t="n">
        <v>13772</v>
      </c>
      <c r="I7" t="n">
        <v>-1</v>
      </c>
      <c r="J7" t="n">
        <v>2.55905</v>
      </c>
      <c r="K7" t="n">
        <v>2.55905</v>
      </c>
      <c r="L7" t="n">
        <v>12.1377</v>
      </c>
      <c r="M7" t="n">
        <v>-1</v>
      </c>
      <c r="N7" t="n">
        <v>-637.808</v>
      </c>
      <c r="O7" t="n">
        <v>-637.808</v>
      </c>
      <c r="P7" t="n">
        <v>-2491.4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0.77</v>
      </c>
      <c r="AD7" t="n">
        <v>9.210000000000001</v>
      </c>
      <c r="AE7" t="n">
        <v>-1</v>
      </c>
      <c r="AF7" t="n">
        <v>-1</v>
      </c>
      <c r="AG7" t="n">
        <v>2012</v>
      </c>
      <c r="AH7" t="n">
        <v/>
      </c>
    </row>
    <row r="8">
      <c r="A8" t="inlineStr">
        <is>
          <t>z1000.xml</t>
        </is>
      </c>
      <c r="B8" t="inlineStr">
        <is>
          <t>ex5p.blif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15638.6</v>
      </c>
      <c r="G8" t="n">
        <v>9634</v>
      </c>
      <c r="H8" t="n">
        <v>17334</v>
      </c>
      <c r="I8" t="n">
        <v>-1</v>
      </c>
      <c r="J8" t="n">
        <v>4.95526</v>
      </c>
      <c r="K8" t="n">
        <v>4.95526</v>
      </c>
      <c r="L8" t="n">
        <v>19.7854</v>
      </c>
      <c r="M8" t="n">
        <v>-1</v>
      </c>
      <c r="N8" t="n">
        <v>-203.903</v>
      </c>
      <c r="O8" t="n">
        <v>-203.903</v>
      </c>
      <c r="P8" t="n">
        <v>-827.558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1.91</v>
      </c>
      <c r="AD8" t="n">
        <v>4.46</v>
      </c>
      <c r="AE8" t="n">
        <v>-1</v>
      </c>
      <c r="AF8" t="n">
        <v>-1</v>
      </c>
      <c r="AG8" t="n">
        <v>1135</v>
      </c>
      <c r="AH8" t="n">
        <v/>
      </c>
    </row>
    <row r="9">
      <c r="A9" t="inlineStr">
        <is>
          <t>z1000.xml</t>
        </is>
      </c>
      <c r="B9" t="inlineStr">
        <is>
          <t>misex3.blif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17282.1</v>
      </c>
      <c r="G9" t="n">
        <v>11336</v>
      </c>
      <c r="H9" t="n">
        <v>22409</v>
      </c>
      <c r="I9" t="n">
        <v>-1</v>
      </c>
      <c r="J9" t="n">
        <v>4.95526</v>
      </c>
      <c r="K9" t="n">
        <v>4.95526</v>
      </c>
      <c r="L9" t="n">
        <v>19.0343</v>
      </c>
      <c r="M9" t="n">
        <v>-1</v>
      </c>
      <c r="N9" t="n">
        <v>-58.4454</v>
      </c>
      <c r="O9" t="n">
        <v>-58.4454</v>
      </c>
      <c r="P9" t="n">
        <v>-239.404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2.81</v>
      </c>
      <c r="AD9" t="n">
        <v>5.49</v>
      </c>
      <c r="AE9" t="n">
        <v>-1</v>
      </c>
      <c r="AF9" t="n">
        <v>-1</v>
      </c>
      <c r="AG9" t="n">
        <v>1425</v>
      </c>
      <c r="AH9" t="n">
        <v/>
      </c>
    </row>
    <row r="10">
      <c r="A10" t="inlineStr">
        <is>
          <t>z1000.xml</t>
        </is>
      </c>
      <c r="B10" t="inlineStr">
        <is>
          <t>seq.blif</t>
        </is>
      </c>
      <c r="C10" t="inlineStr">
        <is>
          <t>common</t>
        </is>
      </c>
      <c r="D10" t="inlineStr">
        <is>
          <t>success</t>
        </is>
      </c>
      <c r="E10" t="n">
        <v>-1</v>
      </c>
      <c r="F10" t="n">
        <v>21525.5</v>
      </c>
      <c r="G10" t="n">
        <v>14073</v>
      </c>
      <c r="H10" t="n">
        <v>26307</v>
      </c>
      <c r="I10" t="n">
        <v>-1</v>
      </c>
      <c r="J10" t="n">
        <v>4.78112</v>
      </c>
      <c r="K10" t="n">
        <v>4.78112</v>
      </c>
      <c r="L10" t="n">
        <v>21.5499</v>
      </c>
      <c r="M10" t="n">
        <v>-1</v>
      </c>
      <c r="N10" t="n">
        <v>-128.783</v>
      </c>
      <c r="O10" t="n">
        <v>-128.783</v>
      </c>
      <c r="P10" t="n">
        <v>-585.3869999999999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3.49</v>
      </c>
      <c r="AD10" t="n">
        <v>12.88</v>
      </c>
      <c r="AE10" t="n">
        <v>-1</v>
      </c>
      <c r="AF10" t="n">
        <v>-1</v>
      </c>
      <c r="AG10" t="n">
        <v>1826</v>
      </c>
      <c r="AH10" t="n">
        <v/>
      </c>
    </row>
    <row r="11">
      <c r="A11" t="inlineStr">
        <is>
          <t>z1000.xml</t>
        </is>
      </c>
      <c r="B11" t="inlineStr">
        <is>
          <t>tseng.blif</t>
        </is>
      </c>
      <c r="C11" t="inlineStr">
        <is>
          <t>common</t>
        </is>
      </c>
      <c r="D11" t="inlineStr">
        <is>
          <t>success</t>
        </is>
      </c>
      <c r="E11" t="n">
        <v>-1</v>
      </c>
      <c r="F11" t="n">
        <v>12144.9</v>
      </c>
      <c r="G11" t="n">
        <v>5628</v>
      </c>
      <c r="H11" t="n">
        <v>9616</v>
      </c>
      <c r="I11" t="n">
        <v>-1</v>
      </c>
      <c r="J11" t="n">
        <v>9.38922</v>
      </c>
      <c r="K11" t="n">
        <v>9.38922</v>
      </c>
      <c r="L11" t="n">
        <v>21.6668</v>
      </c>
      <c r="M11" t="n">
        <v>-1</v>
      </c>
      <c r="N11" t="n">
        <v>-1334.65</v>
      </c>
      <c r="O11" t="n">
        <v>-1334.65</v>
      </c>
      <c r="P11" t="n">
        <v>-3827.67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0.48</v>
      </c>
      <c r="AD11" t="n">
        <v>3.46</v>
      </c>
      <c r="AE11" t="n">
        <v>-1</v>
      </c>
      <c r="AF11" t="n">
        <v>-1</v>
      </c>
      <c r="AG11" t="n">
        <v>1605</v>
      </c>
      <c r="AH1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2025-12-23T19:03:47Z</dcterms:created>
  <dcterms:modified xmlns:dcterms="http://purl.org/dc/terms/" xmlns:xsi="http://www.w3.org/2001/XMLSchema-instance" xsi:type="dcterms:W3CDTF">2025-12-23T19:03:47Z</dcterms:modified>
</cp:coreProperties>
</file>