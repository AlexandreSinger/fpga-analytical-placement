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vtr_largest_ap" sheetId="3" state="visible" r:id="rId3"/>
    <sheet xmlns:r="http://schemas.openxmlformats.org/officeDocument/2006/relationships" name="vtr_largest_no_ap" sheetId="4" state="visible" r:id="rId4"/>
    <sheet xmlns:r="http://schemas.openxmlformats.org/officeDocument/2006/relationships" name="artix_7_ap" sheetId="5" state="visible" r:id="rId5"/>
    <sheet xmlns:r="http://schemas.openxmlformats.org/officeDocument/2006/relationships" name="artix_7_no_ap" sheetId="6" state="visible" r:id="rId6"/>
    <sheet xmlns:r="http://schemas.openxmlformats.org/officeDocument/2006/relationships" name="titan_ap" sheetId="7" state="visible" r:id="rId7"/>
    <sheet xmlns:r="http://schemas.openxmlformats.org/officeDocument/2006/relationships" name="titan_no_ap" sheetId="8" state="visible" r:id="rId8"/>
    <sheet xmlns:r="http://schemas.openxmlformats.org/officeDocument/2006/relationships" name="koios_ap" sheetId="9" state="visible" r:id="rId9"/>
    <sheet xmlns:r="http://schemas.openxmlformats.org/officeDocument/2006/relationships" name="koios_no_ap" sheetId="10" state="visible" r:id="rId10"/>
    <sheet xmlns:r="http://schemas.openxmlformats.org/officeDocument/2006/relationships" name="titanium_s10_ap" sheetId="11" state="visible" r:id="rId11"/>
    <sheet xmlns:r="http://schemas.openxmlformats.org/officeDocument/2006/relationships" name="titanium_s10_no_ap" sheetId="12" state="visible" r:id="rId12"/>
    <sheet xmlns:r="http://schemas.openxmlformats.org/officeDocument/2006/relationships" name="z1000_ap" sheetId="13" state="visible" r:id="rId13"/>
    <sheet xmlns:r="http://schemas.openxmlformats.org/officeDocument/2006/relationships" name="z1000_no_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total_wirelength</t>
        </is>
      </c>
      <c r="C1" t="inlineStr">
        <is>
          <t>crit_path_delay</t>
        </is>
      </c>
      <c r="D1" t="inlineStr">
        <is>
          <t>total_runtime</t>
        </is>
      </c>
      <c r="E1" t="inlineStr">
        <is>
          <t>Baseline Unroutes</t>
        </is>
      </c>
    </row>
    <row r="2">
      <c r="A2" t="inlineStr">
        <is>
          <t>vtr_largest</t>
        </is>
      </c>
      <c r="B2">
        <f>'ratios'!F10</f>
        <v/>
      </c>
      <c r="C2">
        <f>'ratios'!I10</f>
        <v/>
      </c>
      <c r="D2">
        <f>'ratios'!K10</f>
        <v/>
      </c>
      <c r="E2">
        <f>'ratios'!D11</f>
        <v/>
      </c>
    </row>
    <row r="3">
      <c r="A3" t="inlineStr">
        <is>
          <t>artix_7</t>
        </is>
      </c>
      <c r="B3">
        <f>'ratios'!F21</f>
        <v/>
      </c>
      <c r="C3">
        <f>'ratios'!I21</f>
        <v/>
      </c>
      <c r="D3">
        <f>'ratios'!K21</f>
        <v/>
      </c>
      <c r="E3">
        <f>'ratios'!D22</f>
        <v/>
      </c>
    </row>
    <row r="4">
      <c r="A4" t="inlineStr">
        <is>
          <t>titan</t>
        </is>
      </c>
      <c r="B4">
        <f>'ratios'!F47</f>
        <v/>
      </c>
      <c r="C4">
        <f>'ratios'!I47</f>
        <v/>
      </c>
      <c r="D4">
        <f>'ratios'!K47</f>
        <v/>
      </c>
      <c r="E4">
        <f>'ratios'!D48</f>
        <v/>
      </c>
    </row>
    <row r="5">
      <c r="A5" t="inlineStr">
        <is>
          <t>koios</t>
        </is>
      </c>
      <c r="B5">
        <f>'ratios'!F79</f>
        <v/>
      </c>
      <c r="C5">
        <f>'ratios'!I79</f>
        <v/>
      </c>
      <c r="D5">
        <f>'ratios'!K79</f>
        <v/>
      </c>
      <c r="E5">
        <f>'ratios'!D80</f>
        <v/>
      </c>
    </row>
    <row r="6">
      <c r="A6" t="inlineStr">
        <is>
          <t>titanium_s10</t>
        </is>
      </c>
      <c r="B6">
        <f>'ratios'!F107</f>
        <v/>
      </c>
      <c r="C6">
        <f>'ratios'!I107</f>
        <v/>
      </c>
      <c r="D6">
        <f>'ratios'!K107</f>
        <v/>
      </c>
      <c r="E6">
        <f>'ratios'!D108</f>
        <v/>
      </c>
    </row>
    <row r="7">
      <c r="A7" t="inlineStr">
        <is>
          <t>z1000</t>
        </is>
      </c>
      <c r="B7">
        <f>'ratios'!F120</f>
        <v/>
      </c>
      <c r="C7">
        <f>'ratios'!I120</f>
        <v/>
      </c>
      <c r="D7">
        <f>'ratios'!K120</f>
        <v/>
      </c>
      <c r="E7">
        <f>'ratios'!D121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arch</t>
        </is>
      </c>
      <c r="C1" t="inlineStr">
        <is>
          <t>circuit</t>
        </is>
      </c>
      <c r="D1" t="inlineStr">
        <is>
          <t>post_fl_hpwl</t>
        </is>
      </c>
      <c r="E1" t="inlineStr">
        <is>
          <t>post_dp_hpwl</t>
        </is>
      </c>
      <c r="F1" t="inlineStr">
        <is>
          <t>total_wirelength</t>
        </is>
      </c>
      <c r="G1" t="inlineStr">
        <is>
          <t>post_fl_cpd</t>
        </is>
      </c>
      <c r="H1" t="inlineStr">
        <is>
          <t>post_dp_cpd</t>
        </is>
      </c>
      <c r="I1" t="inlineStr">
        <is>
          <t>crit_path_delay</t>
        </is>
      </c>
      <c r="J1" t="inlineStr">
        <is>
          <t>route_runtime</t>
        </is>
      </c>
      <c r="K1" t="inlineStr">
        <is>
          <t>total_runtime</t>
        </is>
      </c>
    </row>
    <row r="2">
      <c r="A2" t="inlineStr">
        <is>
          <t>vtr_largest</t>
        </is>
      </c>
      <c r="B2" t="inlineStr">
        <is>
          <t>k6_frac_N10_frac_chain_mem32K_40nm.xml</t>
        </is>
      </c>
      <c r="C2" t="inlineStr">
        <is>
          <t>arm_core.v</t>
        </is>
      </c>
      <c r="D2">
        <f>IF(OR('vtr_largest_ap'!H2=-1, 'vtr_largest_no_ap'!H2=-1), "", 'vtr_largest_ap'!F2/'vtr_largest_no_ap'!F2)</f>
        <v/>
      </c>
      <c r="E2">
        <f>IF(OR('vtr_largest_ap'!H2=-1, 'vtr_largest_no_ap'!H2=-1), "", 'vtr_largest_ap'!G2/'vtr_largest_no_ap'!G2)</f>
        <v/>
      </c>
      <c r="F2">
        <f>IF(OR('vtr_largest_ap'!H2=-1, 'vtr_largest_no_ap'!H2=-1), "", 'vtr_largest_ap'!H2/'vtr_largest_no_ap'!H2)</f>
        <v/>
      </c>
      <c r="G2">
        <f>IF(OR('vtr_largest_ap'!H2=-1, 'vtr_largest_no_ap'!H2=-1), "", 'vtr_largest_ap'!J2/'vtr_largest_no_ap'!J2)</f>
        <v/>
      </c>
      <c r="H2">
        <f>IF(OR('vtr_largest_ap'!H2=-1, 'vtr_largest_no_ap'!H2=-1), "", 'vtr_largest_ap'!K2/'vtr_largest_no_ap'!K2)</f>
        <v/>
      </c>
      <c r="I2">
        <f>IF(OR('vtr_largest_ap'!H2=-1, 'vtr_largest_no_ap'!H2=-1), "", 'vtr_largest_ap'!L2/'vtr_largest_no_ap'!L2)</f>
        <v/>
      </c>
      <c r="J2">
        <f>IF(OR('vtr_largest_ap'!H2=-1, 'vtr_largest_no_ap'!H2=-1), "", 'vtr_largest_ap'!AC2/'vtr_largest_no_ap'!AC2)</f>
        <v/>
      </c>
      <c r="K2">
        <f>IF(OR('vtr_largest_ap'!H2=-1, 'vtr_largest_no_ap'!H2=-1), "", 'vtr_largest_ap'!AD2/'vtr_largest_no_ap'!AD2)</f>
        <v/>
      </c>
    </row>
    <row r="3">
      <c r="A3" t="inlineStr">
        <is>
          <t>vtr_largest</t>
        </is>
      </c>
      <c r="B3" t="inlineStr">
        <is>
          <t>k6_frac_N10_frac_chain_mem32K_40nm.xml</t>
        </is>
      </c>
      <c r="C3" t="inlineStr">
        <is>
          <t>bgm.v</t>
        </is>
      </c>
      <c r="D3">
        <f>IF(OR('vtr_largest_ap'!H3=-1, 'vtr_largest_no_ap'!H3=-1), "", 'vtr_largest_ap'!F3/'vtr_largest_no_ap'!F3)</f>
        <v/>
      </c>
      <c r="E3">
        <f>IF(OR('vtr_largest_ap'!H3=-1, 'vtr_largest_no_ap'!H3=-1), "", 'vtr_largest_ap'!G3/'vtr_largest_no_ap'!G3)</f>
        <v/>
      </c>
      <c r="F3">
        <f>IF(OR('vtr_largest_ap'!H3=-1, 'vtr_largest_no_ap'!H3=-1), "", 'vtr_largest_ap'!H3/'vtr_largest_no_ap'!H3)</f>
        <v/>
      </c>
      <c r="G3">
        <f>IF(OR('vtr_largest_ap'!H3=-1, 'vtr_largest_no_ap'!H3=-1), "", 'vtr_largest_ap'!J3/'vtr_largest_no_ap'!J3)</f>
        <v/>
      </c>
      <c r="H3">
        <f>IF(OR('vtr_largest_ap'!H3=-1, 'vtr_largest_no_ap'!H3=-1), "", 'vtr_largest_ap'!K3/'vtr_largest_no_ap'!K3)</f>
        <v/>
      </c>
      <c r="I3">
        <f>IF(OR('vtr_largest_ap'!H3=-1, 'vtr_largest_no_ap'!H3=-1), "", 'vtr_largest_ap'!L3/'vtr_largest_no_ap'!L3)</f>
        <v/>
      </c>
      <c r="J3">
        <f>IF(OR('vtr_largest_ap'!H3=-1, 'vtr_largest_no_ap'!H3=-1), "", 'vtr_largest_ap'!AC3/'vtr_largest_no_ap'!AC3)</f>
        <v/>
      </c>
      <c r="K3">
        <f>IF(OR('vtr_largest_ap'!H3=-1, 'vtr_largest_no_ap'!H3=-1), "", 'vtr_largest_ap'!AD3/'vtr_largest_no_ap'!AD3)</f>
        <v/>
      </c>
    </row>
    <row r="4">
      <c r="A4" t="inlineStr">
        <is>
          <t>vtr_largest</t>
        </is>
      </c>
      <c r="B4" t="inlineStr">
        <is>
          <t>k6_frac_N10_frac_chain_mem32K_40nm.xml</t>
        </is>
      </c>
      <c r="C4" t="inlineStr">
        <is>
          <t>stereovision0.v</t>
        </is>
      </c>
      <c r="D4">
        <f>IF(OR('vtr_largest_ap'!H4=-1, 'vtr_largest_no_ap'!H4=-1), "", 'vtr_largest_ap'!F4/'vtr_largest_no_ap'!F4)</f>
        <v/>
      </c>
      <c r="E4">
        <f>IF(OR('vtr_largest_ap'!H4=-1, 'vtr_largest_no_ap'!H4=-1), "", 'vtr_largest_ap'!G4/'vtr_largest_no_ap'!G4)</f>
        <v/>
      </c>
      <c r="F4">
        <f>IF(OR('vtr_largest_ap'!H4=-1, 'vtr_largest_no_ap'!H4=-1), "", 'vtr_largest_ap'!H4/'vtr_largest_no_ap'!H4)</f>
        <v/>
      </c>
      <c r="G4">
        <f>IF(OR('vtr_largest_ap'!H4=-1, 'vtr_largest_no_ap'!H4=-1), "", 'vtr_largest_ap'!J4/'vtr_largest_no_ap'!J4)</f>
        <v/>
      </c>
      <c r="H4">
        <f>IF(OR('vtr_largest_ap'!H4=-1, 'vtr_largest_no_ap'!H4=-1), "", 'vtr_largest_ap'!K4/'vtr_largest_no_ap'!K4)</f>
        <v/>
      </c>
      <c r="I4">
        <f>IF(OR('vtr_largest_ap'!H4=-1, 'vtr_largest_no_ap'!H4=-1), "", 'vtr_largest_ap'!L4/'vtr_largest_no_ap'!L4)</f>
        <v/>
      </c>
      <c r="J4">
        <f>IF(OR('vtr_largest_ap'!H4=-1, 'vtr_largest_no_ap'!H4=-1), "", 'vtr_largest_ap'!AC4/'vtr_largest_no_ap'!AC4)</f>
        <v/>
      </c>
      <c r="K4">
        <f>IF(OR('vtr_largest_ap'!H4=-1, 'vtr_largest_no_ap'!H4=-1), "", 'vtr_largest_ap'!AD4/'vtr_largest_no_ap'!AD4)</f>
        <v/>
      </c>
    </row>
    <row r="5">
      <c r="A5" t="inlineStr">
        <is>
          <t>vtr_largest</t>
        </is>
      </c>
      <c r="B5" t="inlineStr">
        <is>
          <t>k6_frac_N10_frac_chain_mem32K_40nm.xml</t>
        </is>
      </c>
      <c r="C5" t="inlineStr">
        <is>
          <t>stereovision1.v</t>
        </is>
      </c>
      <c r="D5">
        <f>IF(OR('vtr_largest_ap'!H5=-1, 'vtr_largest_no_ap'!H5=-1), "", 'vtr_largest_ap'!F5/'vtr_largest_no_ap'!F5)</f>
        <v/>
      </c>
      <c r="E5">
        <f>IF(OR('vtr_largest_ap'!H5=-1, 'vtr_largest_no_ap'!H5=-1), "", 'vtr_largest_ap'!G5/'vtr_largest_no_ap'!G5)</f>
        <v/>
      </c>
      <c r="F5">
        <f>IF(OR('vtr_largest_ap'!H5=-1, 'vtr_largest_no_ap'!H5=-1), "", 'vtr_largest_ap'!H5/'vtr_largest_no_ap'!H5)</f>
        <v/>
      </c>
      <c r="G5">
        <f>IF(OR('vtr_largest_ap'!H5=-1, 'vtr_largest_no_ap'!H5=-1), "", 'vtr_largest_ap'!J5/'vtr_largest_no_ap'!J5)</f>
        <v/>
      </c>
      <c r="H5">
        <f>IF(OR('vtr_largest_ap'!H5=-1, 'vtr_largest_no_ap'!H5=-1), "", 'vtr_largest_ap'!K5/'vtr_largest_no_ap'!K5)</f>
        <v/>
      </c>
      <c r="I5">
        <f>IF(OR('vtr_largest_ap'!H5=-1, 'vtr_largest_no_ap'!H5=-1), "", 'vtr_largest_ap'!L5/'vtr_largest_no_ap'!L5)</f>
        <v/>
      </c>
      <c r="J5">
        <f>IF(OR('vtr_largest_ap'!H5=-1, 'vtr_largest_no_ap'!H5=-1), "", 'vtr_largest_ap'!AC5/'vtr_largest_no_ap'!AC5)</f>
        <v/>
      </c>
      <c r="K5">
        <f>IF(OR('vtr_largest_ap'!H5=-1, 'vtr_largest_no_ap'!H5=-1), "", 'vtr_largest_ap'!AD5/'vtr_largest_no_ap'!AD5)</f>
        <v/>
      </c>
    </row>
    <row r="6">
      <c r="A6" t="inlineStr">
        <is>
          <t>vtr_largest</t>
        </is>
      </c>
      <c r="B6" t="inlineStr">
        <is>
          <t>k6_frac_N10_frac_chain_mem32K_40nm.xml</t>
        </is>
      </c>
      <c r="C6" t="inlineStr">
        <is>
          <t>stereovision2.v</t>
        </is>
      </c>
      <c r="D6">
        <f>IF(OR('vtr_largest_ap'!H6=-1, 'vtr_largest_no_ap'!H6=-1), "", 'vtr_largest_ap'!F6/'vtr_largest_no_ap'!F6)</f>
        <v/>
      </c>
      <c r="E6">
        <f>IF(OR('vtr_largest_ap'!H6=-1, 'vtr_largest_no_ap'!H6=-1), "", 'vtr_largest_ap'!G6/'vtr_largest_no_ap'!G6)</f>
        <v/>
      </c>
      <c r="F6">
        <f>IF(OR('vtr_largest_ap'!H6=-1, 'vtr_largest_no_ap'!H6=-1), "", 'vtr_largest_ap'!H6/'vtr_largest_no_ap'!H6)</f>
        <v/>
      </c>
      <c r="G6">
        <f>IF(OR('vtr_largest_ap'!H6=-1, 'vtr_largest_no_ap'!H6=-1), "", 'vtr_largest_ap'!J6/'vtr_largest_no_ap'!J6)</f>
        <v/>
      </c>
      <c r="H6">
        <f>IF(OR('vtr_largest_ap'!H6=-1, 'vtr_largest_no_ap'!H6=-1), "", 'vtr_largest_ap'!K6/'vtr_largest_no_ap'!K6)</f>
        <v/>
      </c>
      <c r="I6">
        <f>IF(OR('vtr_largest_ap'!H6=-1, 'vtr_largest_no_ap'!H6=-1), "", 'vtr_largest_ap'!L6/'vtr_largest_no_ap'!L6)</f>
        <v/>
      </c>
      <c r="J6">
        <f>IF(OR('vtr_largest_ap'!H6=-1, 'vtr_largest_no_ap'!H6=-1), "", 'vtr_largest_ap'!AC6/'vtr_largest_no_ap'!AC6)</f>
        <v/>
      </c>
      <c r="K6">
        <f>IF(OR('vtr_largest_ap'!H6=-1, 'vtr_largest_no_ap'!H6=-1), "", 'vtr_largest_ap'!AD6/'vtr_largest_no_ap'!AD6)</f>
        <v/>
      </c>
    </row>
    <row r="7">
      <c r="A7" t="inlineStr">
        <is>
          <t>vtr_largest</t>
        </is>
      </c>
      <c r="B7" t="inlineStr">
        <is>
          <t>k6_frac_N10_frac_chain_mem32K_40nm.xml</t>
        </is>
      </c>
      <c r="C7" t="inlineStr">
        <is>
          <t>LU8PEEng.v</t>
        </is>
      </c>
      <c r="D7">
        <f>IF(OR('vtr_largest_ap'!H7=-1, 'vtr_largest_no_ap'!H7=-1), "", 'vtr_largest_ap'!F7/'vtr_largest_no_ap'!F7)</f>
        <v/>
      </c>
      <c r="E7">
        <f>IF(OR('vtr_largest_ap'!H7=-1, 'vtr_largest_no_ap'!H7=-1), "", 'vtr_largest_ap'!G7/'vtr_largest_no_ap'!G7)</f>
        <v/>
      </c>
      <c r="F7">
        <f>IF(OR('vtr_largest_ap'!H7=-1, 'vtr_largest_no_ap'!H7=-1), "", 'vtr_largest_ap'!H7/'vtr_largest_no_ap'!H7)</f>
        <v/>
      </c>
      <c r="G7">
        <f>IF(OR('vtr_largest_ap'!H7=-1, 'vtr_largest_no_ap'!H7=-1), "", 'vtr_largest_ap'!J7/'vtr_largest_no_ap'!J7)</f>
        <v/>
      </c>
      <c r="H7">
        <f>IF(OR('vtr_largest_ap'!H7=-1, 'vtr_largest_no_ap'!H7=-1), "", 'vtr_largest_ap'!K7/'vtr_largest_no_ap'!K7)</f>
        <v/>
      </c>
      <c r="I7">
        <f>IF(OR('vtr_largest_ap'!H7=-1, 'vtr_largest_no_ap'!H7=-1), "", 'vtr_largest_ap'!L7/'vtr_largest_no_ap'!L7)</f>
        <v/>
      </c>
      <c r="J7">
        <f>IF(OR('vtr_largest_ap'!H7=-1, 'vtr_largest_no_ap'!H7=-1), "", 'vtr_largest_ap'!AC7/'vtr_largest_no_ap'!AC7)</f>
        <v/>
      </c>
      <c r="K7">
        <f>IF(OR('vtr_largest_ap'!H7=-1, 'vtr_largest_no_ap'!H7=-1), "", 'vtr_largest_ap'!AD7/'vtr_largest_no_ap'!AD7)</f>
        <v/>
      </c>
    </row>
    <row r="8">
      <c r="A8" t="inlineStr">
        <is>
          <t>vtr_largest</t>
        </is>
      </c>
      <c r="B8" t="inlineStr">
        <is>
          <t>k6_frac_N10_frac_chain_mem32K_40nm.xml</t>
        </is>
      </c>
      <c r="C8" t="inlineStr">
        <is>
          <t>LU32PEEng.v</t>
        </is>
      </c>
      <c r="D8">
        <f>IF(OR('vtr_largest_ap'!H8=-1, 'vtr_largest_no_ap'!H8=-1), "", 'vtr_largest_ap'!F8/'vtr_largest_no_ap'!F8)</f>
        <v/>
      </c>
      <c r="E8">
        <f>IF(OR('vtr_largest_ap'!H8=-1, 'vtr_largest_no_ap'!H8=-1), "", 'vtr_largest_ap'!G8/'vtr_largest_no_ap'!G8)</f>
        <v/>
      </c>
      <c r="F8">
        <f>IF(OR('vtr_largest_ap'!H8=-1, 'vtr_largest_no_ap'!H8=-1), "", 'vtr_largest_ap'!H8/'vtr_largest_no_ap'!H8)</f>
        <v/>
      </c>
      <c r="G8">
        <f>IF(OR('vtr_largest_ap'!H8=-1, 'vtr_largest_no_ap'!H8=-1), "", 'vtr_largest_ap'!J8/'vtr_largest_no_ap'!J8)</f>
        <v/>
      </c>
      <c r="H8">
        <f>IF(OR('vtr_largest_ap'!H8=-1, 'vtr_largest_no_ap'!H8=-1), "", 'vtr_largest_ap'!K8/'vtr_largest_no_ap'!K8)</f>
        <v/>
      </c>
      <c r="I8">
        <f>IF(OR('vtr_largest_ap'!H8=-1, 'vtr_largest_no_ap'!H8=-1), "", 'vtr_largest_ap'!L8/'vtr_largest_no_ap'!L8)</f>
        <v/>
      </c>
      <c r="J8">
        <f>IF(OR('vtr_largest_ap'!H8=-1, 'vtr_largest_no_ap'!H8=-1), "", 'vtr_largest_ap'!AC8/'vtr_largest_no_ap'!AC8)</f>
        <v/>
      </c>
      <c r="K8">
        <f>IF(OR('vtr_largest_ap'!H8=-1, 'vtr_largest_no_ap'!H8=-1), "", 'vtr_largest_ap'!AD8/'vtr_largest_no_ap'!AD8)</f>
        <v/>
      </c>
    </row>
    <row r="9">
      <c r="A9" t="inlineStr">
        <is>
          <t>vtr_largest</t>
        </is>
      </c>
      <c r="B9" t="inlineStr">
        <is>
          <t>k6_frac_N10_frac_chain_mem32K_40nm.xml</t>
        </is>
      </c>
      <c r="C9" t="inlineStr">
        <is>
          <t>mcml.v</t>
        </is>
      </c>
      <c r="D9">
        <f>IF(OR('vtr_largest_ap'!H9=-1, 'vtr_largest_no_ap'!H9=-1), "", 'vtr_largest_ap'!F9/'vtr_largest_no_ap'!F9)</f>
        <v/>
      </c>
      <c r="E9">
        <f>IF(OR('vtr_largest_ap'!H9=-1, 'vtr_largest_no_ap'!H9=-1), "", 'vtr_largest_ap'!G9/'vtr_largest_no_ap'!G9)</f>
        <v/>
      </c>
      <c r="F9">
        <f>IF(OR('vtr_largest_ap'!H9=-1, 'vtr_largest_no_ap'!H9=-1), "", 'vtr_largest_ap'!H9/'vtr_largest_no_ap'!H9)</f>
        <v/>
      </c>
      <c r="G9">
        <f>IF(OR('vtr_largest_ap'!H9=-1, 'vtr_largest_no_ap'!H9=-1), "", 'vtr_largest_ap'!J9/'vtr_largest_no_ap'!J9)</f>
        <v/>
      </c>
      <c r="H9">
        <f>IF(OR('vtr_largest_ap'!H9=-1, 'vtr_largest_no_ap'!H9=-1), "", 'vtr_largest_ap'!K9/'vtr_largest_no_ap'!K9)</f>
        <v/>
      </c>
      <c r="I9">
        <f>IF(OR('vtr_largest_ap'!H9=-1, 'vtr_largest_no_ap'!H9=-1), "", 'vtr_largest_ap'!L9/'vtr_largest_no_ap'!L9)</f>
        <v/>
      </c>
      <c r="J9">
        <f>IF(OR('vtr_largest_ap'!H9=-1, 'vtr_largest_no_ap'!H9=-1), "", 'vtr_largest_ap'!AC9/'vtr_largest_no_ap'!AC9)</f>
        <v/>
      </c>
      <c r="K9">
        <f>IF(OR('vtr_largest_ap'!H9=-1, 'vtr_largest_no_ap'!H9=-1), "", 'vtr_largest_ap'!AD9/'vtr_largest_no_ap'!AD9)</f>
        <v/>
      </c>
    </row>
    <row r="10">
      <c r="A10" t="inlineStr">
        <is>
          <t>vtr_largest</t>
        </is>
      </c>
      <c r="B10" t="inlineStr"/>
      <c r="C10" t="inlineStr">
        <is>
          <t>GEOMEAN</t>
        </is>
      </c>
      <c r="D10">
        <f>GEOMEAN(D2:D9)</f>
        <v/>
      </c>
      <c r="E10">
        <f>GEOMEAN(E2:E9)</f>
        <v/>
      </c>
      <c r="F10">
        <f>GEOMEAN(F2:F9)</f>
        <v/>
      </c>
      <c r="G10">
        <f>GEOMEAN(G2:G9)</f>
        <v/>
      </c>
      <c r="H10">
        <f>GEOMEAN(H2:H9)</f>
        <v/>
      </c>
      <c r="I10">
        <f>GEOMEAN(I2:I9)</f>
        <v/>
      </c>
      <c r="J10">
        <f>GEOMEAN(J2:J9)</f>
        <v/>
      </c>
      <c r="K10">
        <f>GEOMEAN(K2:K9)</f>
        <v/>
      </c>
    </row>
    <row r="11">
      <c r="A11" t="inlineStr">
        <is>
          <t>vtr_largest</t>
        </is>
      </c>
      <c r="B11" t="inlineStr"/>
      <c r="C11" t="inlineStr">
        <is>
          <t>UNROUTES</t>
        </is>
      </c>
      <c r="D11">
        <f>8 - COUNT(F2:F9)</f>
        <v/>
      </c>
    </row>
    <row r="12">
      <c r="A12" t="inlineStr"/>
    </row>
    <row r="13">
      <c r="A13" t="inlineStr">
        <is>
          <t>artix_7</t>
        </is>
      </c>
      <c r="B13" t="inlineStr">
        <is>
          <t>7series_BRAM_DSP_carry.xml</t>
        </is>
      </c>
      <c r="C13" t="inlineStr">
        <is>
          <t>arm_core.v</t>
        </is>
      </c>
      <c r="D13">
        <f>IF(OR('artix_7_ap'!H2=-1, 'artix_7_no_ap'!H2=-1), "", 'artix_7_ap'!F2/'artix_7_no_ap'!F2)</f>
        <v/>
      </c>
      <c r="E13">
        <f>IF(OR('artix_7_ap'!H2=-1, 'artix_7_no_ap'!H2=-1), "", 'artix_7_ap'!G2/'artix_7_no_ap'!G2)</f>
        <v/>
      </c>
      <c r="F13">
        <f>IF(OR('artix_7_ap'!H2=-1, 'artix_7_no_ap'!H2=-1), "", 'artix_7_ap'!H2/'artix_7_no_ap'!H2)</f>
        <v/>
      </c>
      <c r="G13">
        <f>IF(OR('artix_7_ap'!H2=-1, 'artix_7_no_ap'!H2=-1), "", 'artix_7_ap'!J2/'artix_7_no_ap'!J2)</f>
        <v/>
      </c>
      <c r="H13">
        <f>IF(OR('artix_7_ap'!H2=-1, 'artix_7_no_ap'!H2=-1), "", 'artix_7_ap'!K2/'artix_7_no_ap'!K2)</f>
        <v/>
      </c>
      <c r="I13">
        <f>IF(OR('artix_7_ap'!H2=-1, 'artix_7_no_ap'!H2=-1), "", 'artix_7_ap'!L2/'artix_7_no_ap'!L2)</f>
        <v/>
      </c>
      <c r="J13">
        <f>IF(OR('artix_7_ap'!H2=-1, 'artix_7_no_ap'!H2=-1), "", 'artix_7_ap'!AC2/'artix_7_no_ap'!AC2)</f>
        <v/>
      </c>
      <c r="K13">
        <f>IF(OR('artix_7_ap'!H2=-1, 'artix_7_no_ap'!H2=-1), "", 'artix_7_ap'!AD2/'artix_7_no_ap'!AD2)</f>
        <v/>
      </c>
    </row>
    <row r="14">
      <c r="A14" t="inlineStr">
        <is>
          <t>artix_7</t>
        </is>
      </c>
      <c r="B14" t="inlineStr">
        <is>
          <t>7series_BRAM_DSP_carry.xml</t>
        </is>
      </c>
      <c r="C14" t="inlineStr">
        <is>
          <t>bgm.v</t>
        </is>
      </c>
      <c r="D14">
        <f>IF(OR('artix_7_ap'!H3=-1, 'artix_7_no_ap'!H3=-1), "", 'artix_7_ap'!F3/'artix_7_no_ap'!F3)</f>
        <v/>
      </c>
      <c r="E14">
        <f>IF(OR('artix_7_ap'!H3=-1, 'artix_7_no_ap'!H3=-1), "", 'artix_7_ap'!G3/'artix_7_no_ap'!G3)</f>
        <v/>
      </c>
      <c r="F14">
        <f>IF(OR('artix_7_ap'!H3=-1, 'artix_7_no_ap'!H3=-1), "", 'artix_7_ap'!H3/'artix_7_no_ap'!H3)</f>
        <v/>
      </c>
      <c r="G14">
        <f>IF(OR('artix_7_ap'!H3=-1, 'artix_7_no_ap'!H3=-1), "", 'artix_7_ap'!J3/'artix_7_no_ap'!J3)</f>
        <v/>
      </c>
      <c r="H14">
        <f>IF(OR('artix_7_ap'!H3=-1, 'artix_7_no_ap'!H3=-1), "", 'artix_7_ap'!K3/'artix_7_no_ap'!K3)</f>
        <v/>
      </c>
      <c r="I14">
        <f>IF(OR('artix_7_ap'!H3=-1, 'artix_7_no_ap'!H3=-1), "", 'artix_7_ap'!L3/'artix_7_no_ap'!L3)</f>
        <v/>
      </c>
      <c r="J14">
        <f>IF(OR('artix_7_ap'!H3=-1, 'artix_7_no_ap'!H3=-1), "", 'artix_7_ap'!AC3/'artix_7_no_ap'!AC3)</f>
        <v/>
      </c>
      <c r="K14">
        <f>IF(OR('artix_7_ap'!H3=-1, 'artix_7_no_ap'!H3=-1), "", 'artix_7_ap'!AD3/'artix_7_no_ap'!AD3)</f>
        <v/>
      </c>
    </row>
    <row r="15">
      <c r="A15" t="inlineStr">
        <is>
          <t>artix_7</t>
        </is>
      </c>
      <c r="B15" t="inlineStr">
        <is>
          <t>7series_BRAM_DSP_carry.xml</t>
        </is>
      </c>
      <c r="C15" t="inlineStr">
        <is>
          <t>stereovision0.v</t>
        </is>
      </c>
      <c r="D15">
        <f>IF(OR('artix_7_ap'!H4=-1, 'artix_7_no_ap'!H4=-1), "", 'artix_7_ap'!F4/'artix_7_no_ap'!F4)</f>
        <v/>
      </c>
      <c r="E15">
        <f>IF(OR('artix_7_ap'!H4=-1, 'artix_7_no_ap'!H4=-1), "", 'artix_7_ap'!G4/'artix_7_no_ap'!G4)</f>
        <v/>
      </c>
      <c r="F15">
        <f>IF(OR('artix_7_ap'!H4=-1, 'artix_7_no_ap'!H4=-1), "", 'artix_7_ap'!H4/'artix_7_no_ap'!H4)</f>
        <v/>
      </c>
      <c r="G15">
        <f>IF(OR('artix_7_ap'!H4=-1, 'artix_7_no_ap'!H4=-1), "", 'artix_7_ap'!J4/'artix_7_no_ap'!J4)</f>
        <v/>
      </c>
      <c r="H15">
        <f>IF(OR('artix_7_ap'!H4=-1, 'artix_7_no_ap'!H4=-1), "", 'artix_7_ap'!K4/'artix_7_no_ap'!K4)</f>
        <v/>
      </c>
      <c r="I15">
        <f>IF(OR('artix_7_ap'!H4=-1, 'artix_7_no_ap'!H4=-1), "", 'artix_7_ap'!L4/'artix_7_no_ap'!L4)</f>
        <v/>
      </c>
      <c r="J15">
        <f>IF(OR('artix_7_ap'!H4=-1, 'artix_7_no_ap'!H4=-1), "", 'artix_7_ap'!AC4/'artix_7_no_ap'!AC4)</f>
        <v/>
      </c>
      <c r="K15">
        <f>IF(OR('artix_7_ap'!H4=-1, 'artix_7_no_ap'!H4=-1), "", 'artix_7_ap'!AD4/'artix_7_no_ap'!AD4)</f>
        <v/>
      </c>
    </row>
    <row r="16">
      <c r="A16" t="inlineStr">
        <is>
          <t>artix_7</t>
        </is>
      </c>
      <c r="B16" t="inlineStr">
        <is>
          <t>7series_BRAM_DSP_carry.xml</t>
        </is>
      </c>
      <c r="C16" t="inlineStr">
        <is>
          <t>stereovision1.v</t>
        </is>
      </c>
      <c r="D16">
        <f>IF(OR('artix_7_ap'!H5=-1, 'artix_7_no_ap'!H5=-1), "", 'artix_7_ap'!F5/'artix_7_no_ap'!F5)</f>
        <v/>
      </c>
      <c r="E16">
        <f>IF(OR('artix_7_ap'!H5=-1, 'artix_7_no_ap'!H5=-1), "", 'artix_7_ap'!G5/'artix_7_no_ap'!G5)</f>
        <v/>
      </c>
      <c r="F16">
        <f>IF(OR('artix_7_ap'!H5=-1, 'artix_7_no_ap'!H5=-1), "", 'artix_7_ap'!H5/'artix_7_no_ap'!H5)</f>
        <v/>
      </c>
      <c r="G16">
        <f>IF(OR('artix_7_ap'!H5=-1, 'artix_7_no_ap'!H5=-1), "", 'artix_7_ap'!J5/'artix_7_no_ap'!J5)</f>
        <v/>
      </c>
      <c r="H16">
        <f>IF(OR('artix_7_ap'!H5=-1, 'artix_7_no_ap'!H5=-1), "", 'artix_7_ap'!K5/'artix_7_no_ap'!K5)</f>
        <v/>
      </c>
      <c r="I16">
        <f>IF(OR('artix_7_ap'!H5=-1, 'artix_7_no_ap'!H5=-1), "", 'artix_7_ap'!L5/'artix_7_no_ap'!L5)</f>
        <v/>
      </c>
      <c r="J16">
        <f>IF(OR('artix_7_ap'!H5=-1, 'artix_7_no_ap'!H5=-1), "", 'artix_7_ap'!AC5/'artix_7_no_ap'!AC5)</f>
        <v/>
      </c>
      <c r="K16">
        <f>IF(OR('artix_7_ap'!H5=-1, 'artix_7_no_ap'!H5=-1), "", 'artix_7_ap'!AD5/'artix_7_no_ap'!AD5)</f>
        <v/>
      </c>
    </row>
    <row r="17">
      <c r="A17" t="inlineStr">
        <is>
          <t>artix_7</t>
        </is>
      </c>
      <c r="B17" t="inlineStr">
        <is>
          <t>7series_BRAM_DSP_carry.xml</t>
        </is>
      </c>
      <c r="C17" t="inlineStr">
        <is>
          <t>stereovision2.v</t>
        </is>
      </c>
      <c r="D17">
        <f>IF(OR('artix_7_ap'!H6=-1, 'artix_7_no_ap'!H6=-1), "", 'artix_7_ap'!F6/'artix_7_no_ap'!F6)</f>
        <v/>
      </c>
      <c r="E17">
        <f>IF(OR('artix_7_ap'!H6=-1, 'artix_7_no_ap'!H6=-1), "", 'artix_7_ap'!G6/'artix_7_no_ap'!G6)</f>
        <v/>
      </c>
      <c r="F17">
        <f>IF(OR('artix_7_ap'!H6=-1, 'artix_7_no_ap'!H6=-1), "", 'artix_7_ap'!H6/'artix_7_no_ap'!H6)</f>
        <v/>
      </c>
      <c r="G17">
        <f>IF(OR('artix_7_ap'!H6=-1, 'artix_7_no_ap'!H6=-1), "", 'artix_7_ap'!J6/'artix_7_no_ap'!J6)</f>
        <v/>
      </c>
      <c r="H17">
        <f>IF(OR('artix_7_ap'!H6=-1, 'artix_7_no_ap'!H6=-1), "", 'artix_7_ap'!K6/'artix_7_no_ap'!K6)</f>
        <v/>
      </c>
      <c r="I17">
        <f>IF(OR('artix_7_ap'!H6=-1, 'artix_7_no_ap'!H6=-1), "", 'artix_7_ap'!L6/'artix_7_no_ap'!L6)</f>
        <v/>
      </c>
      <c r="J17">
        <f>IF(OR('artix_7_ap'!H6=-1, 'artix_7_no_ap'!H6=-1), "", 'artix_7_ap'!AC6/'artix_7_no_ap'!AC6)</f>
        <v/>
      </c>
      <c r="K17">
        <f>IF(OR('artix_7_ap'!H6=-1, 'artix_7_no_ap'!H6=-1), "", 'artix_7_ap'!AD6/'artix_7_no_ap'!AD6)</f>
        <v/>
      </c>
    </row>
    <row r="18">
      <c r="A18" t="inlineStr">
        <is>
          <t>artix_7</t>
        </is>
      </c>
      <c r="B18" t="inlineStr">
        <is>
          <t>7series_BRAM_DSP_carry.xml</t>
        </is>
      </c>
      <c r="C18" t="inlineStr">
        <is>
          <t>LU8PEEng.v</t>
        </is>
      </c>
      <c r="D18">
        <f>IF(OR('artix_7_ap'!H7=-1, 'artix_7_no_ap'!H7=-1), "", 'artix_7_ap'!F7/'artix_7_no_ap'!F7)</f>
        <v/>
      </c>
      <c r="E18">
        <f>IF(OR('artix_7_ap'!H7=-1, 'artix_7_no_ap'!H7=-1), "", 'artix_7_ap'!G7/'artix_7_no_ap'!G7)</f>
        <v/>
      </c>
      <c r="F18">
        <f>IF(OR('artix_7_ap'!H7=-1, 'artix_7_no_ap'!H7=-1), "", 'artix_7_ap'!H7/'artix_7_no_ap'!H7)</f>
        <v/>
      </c>
      <c r="G18">
        <f>IF(OR('artix_7_ap'!H7=-1, 'artix_7_no_ap'!H7=-1), "", 'artix_7_ap'!J7/'artix_7_no_ap'!J7)</f>
        <v/>
      </c>
      <c r="H18">
        <f>IF(OR('artix_7_ap'!H7=-1, 'artix_7_no_ap'!H7=-1), "", 'artix_7_ap'!K7/'artix_7_no_ap'!K7)</f>
        <v/>
      </c>
      <c r="I18">
        <f>IF(OR('artix_7_ap'!H7=-1, 'artix_7_no_ap'!H7=-1), "", 'artix_7_ap'!L7/'artix_7_no_ap'!L7)</f>
        <v/>
      </c>
      <c r="J18">
        <f>IF(OR('artix_7_ap'!H7=-1, 'artix_7_no_ap'!H7=-1), "", 'artix_7_ap'!AC7/'artix_7_no_ap'!AC7)</f>
        <v/>
      </c>
      <c r="K18">
        <f>IF(OR('artix_7_ap'!H7=-1, 'artix_7_no_ap'!H7=-1), "", 'artix_7_ap'!AD7/'artix_7_no_ap'!AD7)</f>
        <v/>
      </c>
    </row>
    <row r="19">
      <c r="A19" t="inlineStr">
        <is>
          <t>artix_7</t>
        </is>
      </c>
      <c r="B19" t="inlineStr">
        <is>
          <t>7series_BRAM_DSP_carry.xml</t>
        </is>
      </c>
      <c r="C19" t="inlineStr">
        <is>
          <t>LU32PEEng.v</t>
        </is>
      </c>
      <c r="D19">
        <f>IF(OR('artix_7_ap'!H8=-1, 'artix_7_no_ap'!H8=-1), "", 'artix_7_ap'!F8/'artix_7_no_ap'!F8)</f>
        <v/>
      </c>
      <c r="E19">
        <f>IF(OR('artix_7_ap'!H8=-1, 'artix_7_no_ap'!H8=-1), "", 'artix_7_ap'!G8/'artix_7_no_ap'!G8)</f>
        <v/>
      </c>
      <c r="F19">
        <f>IF(OR('artix_7_ap'!H8=-1, 'artix_7_no_ap'!H8=-1), "", 'artix_7_ap'!H8/'artix_7_no_ap'!H8)</f>
        <v/>
      </c>
      <c r="G19">
        <f>IF(OR('artix_7_ap'!H8=-1, 'artix_7_no_ap'!H8=-1), "", 'artix_7_ap'!J8/'artix_7_no_ap'!J8)</f>
        <v/>
      </c>
      <c r="H19">
        <f>IF(OR('artix_7_ap'!H8=-1, 'artix_7_no_ap'!H8=-1), "", 'artix_7_ap'!K8/'artix_7_no_ap'!K8)</f>
        <v/>
      </c>
      <c r="I19">
        <f>IF(OR('artix_7_ap'!H8=-1, 'artix_7_no_ap'!H8=-1), "", 'artix_7_ap'!L8/'artix_7_no_ap'!L8)</f>
        <v/>
      </c>
      <c r="J19">
        <f>IF(OR('artix_7_ap'!H8=-1, 'artix_7_no_ap'!H8=-1), "", 'artix_7_ap'!AC8/'artix_7_no_ap'!AC8)</f>
        <v/>
      </c>
      <c r="K19">
        <f>IF(OR('artix_7_ap'!H8=-1, 'artix_7_no_ap'!H8=-1), "", 'artix_7_ap'!AD8/'artix_7_no_ap'!AD8)</f>
        <v/>
      </c>
    </row>
    <row r="20">
      <c r="A20" t="inlineStr">
        <is>
          <t>artix_7</t>
        </is>
      </c>
      <c r="B20" t="inlineStr">
        <is>
          <t>7series_BRAM_DSP_carry.xml</t>
        </is>
      </c>
      <c r="C20" t="inlineStr">
        <is>
          <t>mcml.v</t>
        </is>
      </c>
      <c r="D20">
        <f>IF(OR('artix_7_ap'!H9=-1, 'artix_7_no_ap'!H9=-1), "", 'artix_7_ap'!F9/'artix_7_no_ap'!F9)</f>
        <v/>
      </c>
      <c r="E20">
        <f>IF(OR('artix_7_ap'!H9=-1, 'artix_7_no_ap'!H9=-1), "", 'artix_7_ap'!G9/'artix_7_no_ap'!G9)</f>
        <v/>
      </c>
      <c r="F20">
        <f>IF(OR('artix_7_ap'!H9=-1, 'artix_7_no_ap'!H9=-1), "", 'artix_7_ap'!H9/'artix_7_no_ap'!H9)</f>
        <v/>
      </c>
      <c r="G20">
        <f>IF(OR('artix_7_ap'!H9=-1, 'artix_7_no_ap'!H9=-1), "", 'artix_7_ap'!J9/'artix_7_no_ap'!J9)</f>
        <v/>
      </c>
      <c r="H20">
        <f>IF(OR('artix_7_ap'!H9=-1, 'artix_7_no_ap'!H9=-1), "", 'artix_7_ap'!K9/'artix_7_no_ap'!K9)</f>
        <v/>
      </c>
      <c r="I20">
        <f>IF(OR('artix_7_ap'!H9=-1, 'artix_7_no_ap'!H9=-1), "", 'artix_7_ap'!L9/'artix_7_no_ap'!L9)</f>
        <v/>
      </c>
      <c r="J20">
        <f>IF(OR('artix_7_ap'!H9=-1, 'artix_7_no_ap'!H9=-1), "", 'artix_7_ap'!AC9/'artix_7_no_ap'!AC9)</f>
        <v/>
      </c>
      <c r="K20">
        <f>IF(OR('artix_7_ap'!H9=-1, 'artix_7_no_ap'!H9=-1), "", 'artix_7_ap'!AD9/'artix_7_no_ap'!AD9)</f>
        <v/>
      </c>
    </row>
    <row r="21">
      <c r="A21" t="inlineStr">
        <is>
          <t>artix_7</t>
        </is>
      </c>
      <c r="B21" t="inlineStr"/>
      <c r="C21" t="inlineStr">
        <is>
          <t>GEOMEAN</t>
        </is>
      </c>
      <c r="D21">
        <f>GEOMEAN(D13:D20)</f>
        <v/>
      </c>
      <c r="E21">
        <f>GEOMEAN(E13:E20)</f>
        <v/>
      </c>
      <c r="F21">
        <f>GEOMEAN(F13:F20)</f>
        <v/>
      </c>
      <c r="G21">
        <f>GEOMEAN(G13:G20)</f>
        <v/>
      </c>
      <c r="H21">
        <f>GEOMEAN(H13:H20)</f>
        <v/>
      </c>
      <c r="I21">
        <f>GEOMEAN(I13:I20)</f>
        <v/>
      </c>
      <c r="J21">
        <f>GEOMEAN(J13:J20)</f>
        <v/>
      </c>
      <c r="K21">
        <f>GEOMEAN(K13:K20)</f>
        <v/>
      </c>
    </row>
    <row r="22">
      <c r="A22" t="inlineStr">
        <is>
          <t>artix_7</t>
        </is>
      </c>
      <c r="B22" t="inlineStr"/>
      <c r="C22" t="inlineStr">
        <is>
          <t>UNROUTES</t>
        </is>
      </c>
      <c r="D22">
        <f>8 - COUNT(F13:F20)</f>
        <v/>
      </c>
    </row>
    <row r="23">
      <c r="A23" t="inlineStr"/>
    </row>
    <row r="24">
      <c r="A24" t="inlineStr">
        <is>
          <t>titan</t>
        </is>
      </c>
      <c r="B24" t="inlineStr">
        <is>
          <t>stratixiv_arch.timing.xml</t>
        </is>
      </c>
      <c r="C24" t="inlineStr">
        <is>
          <t>LU230_stratixiv_arch_timing.blif</t>
        </is>
      </c>
      <c r="D24">
        <f>IF(OR('titan_ap'!H2=-1, 'titan_no_ap'!H2=-1), "", 'titan_ap'!F2/'titan_no_ap'!F2)</f>
        <v/>
      </c>
      <c r="E24">
        <f>IF(OR('titan_ap'!H2=-1, 'titan_no_ap'!H2=-1), "", 'titan_ap'!G2/'titan_no_ap'!G2)</f>
        <v/>
      </c>
      <c r="F24">
        <f>IF(OR('titan_ap'!H2=-1, 'titan_no_ap'!H2=-1), "", 'titan_ap'!H2/'titan_no_ap'!H2)</f>
        <v/>
      </c>
      <c r="G24">
        <f>IF(OR('titan_ap'!H2=-1, 'titan_no_ap'!H2=-1), "", 'titan_ap'!J2/'titan_no_ap'!J2)</f>
        <v/>
      </c>
      <c r="H24">
        <f>IF(OR('titan_ap'!H2=-1, 'titan_no_ap'!H2=-1), "", 'titan_ap'!K2/'titan_no_ap'!K2)</f>
        <v/>
      </c>
      <c r="I24">
        <f>IF(OR('titan_ap'!H2=-1, 'titan_no_ap'!H2=-1), "", 'titan_ap'!L2/'titan_no_ap'!L2)</f>
        <v/>
      </c>
      <c r="J24">
        <f>IF(OR('titan_ap'!H2=-1, 'titan_no_ap'!H2=-1), "", 'titan_ap'!AC2/'titan_no_ap'!AC2)</f>
        <v/>
      </c>
      <c r="K24">
        <f>IF(OR('titan_ap'!H2=-1, 'titan_no_ap'!H2=-1), "", 'titan_ap'!AD2/'titan_no_ap'!AD2)</f>
        <v/>
      </c>
    </row>
    <row r="25">
      <c r="A25" t="inlineStr">
        <is>
          <t>titan</t>
        </is>
      </c>
      <c r="B25" t="inlineStr">
        <is>
          <t>stratixiv_arch.timing.xml</t>
        </is>
      </c>
      <c r="C25" t="inlineStr">
        <is>
          <t>LU_Network_stratixiv_arch_timing.blif</t>
        </is>
      </c>
      <c r="D25">
        <f>IF(OR('titan_ap'!H3=-1, 'titan_no_ap'!H3=-1), "", 'titan_ap'!F3/'titan_no_ap'!F3)</f>
        <v/>
      </c>
      <c r="E25">
        <f>IF(OR('titan_ap'!H3=-1, 'titan_no_ap'!H3=-1), "", 'titan_ap'!G3/'titan_no_ap'!G3)</f>
        <v/>
      </c>
      <c r="F25">
        <f>IF(OR('titan_ap'!H3=-1, 'titan_no_ap'!H3=-1), "", 'titan_ap'!H3/'titan_no_ap'!H3)</f>
        <v/>
      </c>
      <c r="G25">
        <f>IF(OR('titan_ap'!H3=-1, 'titan_no_ap'!H3=-1), "", 'titan_ap'!J3/'titan_no_ap'!J3)</f>
        <v/>
      </c>
      <c r="H25">
        <f>IF(OR('titan_ap'!H3=-1, 'titan_no_ap'!H3=-1), "", 'titan_ap'!K3/'titan_no_ap'!K3)</f>
        <v/>
      </c>
      <c r="I25">
        <f>IF(OR('titan_ap'!H3=-1, 'titan_no_ap'!H3=-1), "", 'titan_ap'!L3/'titan_no_ap'!L3)</f>
        <v/>
      </c>
      <c r="J25">
        <f>IF(OR('titan_ap'!H3=-1, 'titan_no_ap'!H3=-1), "", 'titan_ap'!AC3/'titan_no_ap'!AC3)</f>
        <v/>
      </c>
      <c r="K25">
        <f>IF(OR('titan_ap'!H3=-1, 'titan_no_ap'!H3=-1), "", 'titan_ap'!AD3/'titan_no_ap'!AD3)</f>
        <v/>
      </c>
    </row>
    <row r="26">
      <c r="A26" t="inlineStr">
        <is>
          <t>titan</t>
        </is>
      </c>
      <c r="B26" t="inlineStr">
        <is>
          <t>stratixiv_arch.timing.xml</t>
        </is>
      </c>
      <c r="C26" t="inlineStr">
        <is>
          <t>SLAM_spheric_stratixiv_arch_timing.blif</t>
        </is>
      </c>
      <c r="D26">
        <f>IF(OR('titan_ap'!H4=-1, 'titan_no_ap'!H4=-1), "", 'titan_ap'!F4/'titan_no_ap'!F4)</f>
        <v/>
      </c>
      <c r="E26">
        <f>IF(OR('titan_ap'!H4=-1, 'titan_no_ap'!H4=-1), "", 'titan_ap'!G4/'titan_no_ap'!G4)</f>
        <v/>
      </c>
      <c r="F26">
        <f>IF(OR('titan_ap'!H4=-1, 'titan_no_ap'!H4=-1), "", 'titan_ap'!H4/'titan_no_ap'!H4)</f>
        <v/>
      </c>
      <c r="G26">
        <f>IF(OR('titan_ap'!H4=-1, 'titan_no_ap'!H4=-1), "", 'titan_ap'!J4/'titan_no_ap'!J4)</f>
        <v/>
      </c>
      <c r="H26">
        <f>IF(OR('titan_ap'!H4=-1, 'titan_no_ap'!H4=-1), "", 'titan_ap'!K4/'titan_no_ap'!K4)</f>
        <v/>
      </c>
      <c r="I26">
        <f>IF(OR('titan_ap'!H4=-1, 'titan_no_ap'!H4=-1), "", 'titan_ap'!L4/'titan_no_ap'!L4)</f>
        <v/>
      </c>
      <c r="J26">
        <f>IF(OR('titan_ap'!H4=-1, 'titan_no_ap'!H4=-1), "", 'titan_ap'!AC4/'titan_no_ap'!AC4)</f>
        <v/>
      </c>
      <c r="K26">
        <f>IF(OR('titan_ap'!H4=-1, 'titan_no_ap'!H4=-1), "", 'titan_ap'!AD4/'titan_no_ap'!AD4)</f>
        <v/>
      </c>
    </row>
    <row r="27">
      <c r="A27" t="inlineStr">
        <is>
          <t>titan</t>
        </is>
      </c>
      <c r="B27" t="inlineStr">
        <is>
          <t>stratixiv_arch.timing.xml</t>
        </is>
      </c>
      <c r="C27" t="inlineStr">
        <is>
          <t>bitcoin_miner_stratixiv_arch_timing.blif</t>
        </is>
      </c>
      <c r="D27">
        <f>IF(OR('titan_ap'!H5=-1, 'titan_no_ap'!H5=-1), "", 'titan_ap'!F5/'titan_no_ap'!F5)</f>
        <v/>
      </c>
      <c r="E27">
        <f>IF(OR('titan_ap'!H5=-1, 'titan_no_ap'!H5=-1), "", 'titan_ap'!G5/'titan_no_ap'!G5)</f>
        <v/>
      </c>
      <c r="F27">
        <f>IF(OR('titan_ap'!H5=-1, 'titan_no_ap'!H5=-1), "", 'titan_ap'!H5/'titan_no_ap'!H5)</f>
        <v/>
      </c>
      <c r="G27">
        <f>IF(OR('titan_ap'!H5=-1, 'titan_no_ap'!H5=-1), "", 'titan_ap'!J5/'titan_no_ap'!J5)</f>
        <v/>
      </c>
      <c r="H27">
        <f>IF(OR('titan_ap'!H5=-1, 'titan_no_ap'!H5=-1), "", 'titan_ap'!K5/'titan_no_ap'!K5)</f>
        <v/>
      </c>
      <c r="I27">
        <f>IF(OR('titan_ap'!H5=-1, 'titan_no_ap'!H5=-1), "", 'titan_ap'!L5/'titan_no_ap'!L5)</f>
        <v/>
      </c>
      <c r="J27">
        <f>IF(OR('titan_ap'!H5=-1, 'titan_no_ap'!H5=-1), "", 'titan_ap'!AC5/'titan_no_ap'!AC5)</f>
        <v/>
      </c>
      <c r="K27">
        <f>IF(OR('titan_ap'!H5=-1, 'titan_no_ap'!H5=-1), "", 'titan_ap'!AD5/'titan_no_ap'!AD5)</f>
        <v/>
      </c>
    </row>
    <row r="28">
      <c r="A28" t="inlineStr">
        <is>
          <t>titan</t>
        </is>
      </c>
      <c r="B28" t="inlineStr">
        <is>
          <t>stratixiv_arch.timing.xml</t>
        </is>
      </c>
      <c r="C28" t="inlineStr">
        <is>
          <t>bitonic_mesh_stratixiv_arch_timing.blif</t>
        </is>
      </c>
      <c r="D28">
        <f>IF(OR('titan_ap'!H6=-1, 'titan_no_ap'!H6=-1), "", 'titan_ap'!F6/'titan_no_ap'!F6)</f>
        <v/>
      </c>
      <c r="E28">
        <f>IF(OR('titan_ap'!H6=-1, 'titan_no_ap'!H6=-1), "", 'titan_ap'!G6/'titan_no_ap'!G6)</f>
        <v/>
      </c>
      <c r="F28">
        <f>IF(OR('titan_ap'!H6=-1, 'titan_no_ap'!H6=-1), "", 'titan_ap'!H6/'titan_no_ap'!H6)</f>
        <v/>
      </c>
      <c r="G28">
        <f>IF(OR('titan_ap'!H6=-1, 'titan_no_ap'!H6=-1), "", 'titan_ap'!J6/'titan_no_ap'!J6)</f>
        <v/>
      </c>
      <c r="H28">
        <f>IF(OR('titan_ap'!H6=-1, 'titan_no_ap'!H6=-1), "", 'titan_ap'!K6/'titan_no_ap'!K6)</f>
        <v/>
      </c>
      <c r="I28">
        <f>IF(OR('titan_ap'!H6=-1, 'titan_no_ap'!H6=-1), "", 'titan_ap'!L6/'titan_no_ap'!L6)</f>
        <v/>
      </c>
      <c r="J28">
        <f>IF(OR('titan_ap'!H6=-1, 'titan_no_ap'!H6=-1), "", 'titan_ap'!AC6/'titan_no_ap'!AC6)</f>
        <v/>
      </c>
      <c r="K28">
        <f>IF(OR('titan_ap'!H6=-1, 'titan_no_ap'!H6=-1), "", 'titan_ap'!AD6/'titan_no_ap'!AD6)</f>
        <v/>
      </c>
    </row>
    <row r="29">
      <c r="A29" t="inlineStr">
        <is>
          <t>titan</t>
        </is>
      </c>
      <c r="B29" t="inlineStr">
        <is>
          <t>stratixiv_arch.timing.xml</t>
        </is>
      </c>
      <c r="C29" t="inlineStr">
        <is>
          <t>cholesky_bdti_stratixiv_arch_timing.blif</t>
        </is>
      </c>
      <c r="D29">
        <f>IF(OR('titan_ap'!H7=-1, 'titan_no_ap'!H7=-1), "", 'titan_ap'!F7/'titan_no_ap'!F7)</f>
        <v/>
      </c>
      <c r="E29">
        <f>IF(OR('titan_ap'!H7=-1, 'titan_no_ap'!H7=-1), "", 'titan_ap'!G7/'titan_no_ap'!G7)</f>
        <v/>
      </c>
      <c r="F29">
        <f>IF(OR('titan_ap'!H7=-1, 'titan_no_ap'!H7=-1), "", 'titan_ap'!H7/'titan_no_ap'!H7)</f>
        <v/>
      </c>
      <c r="G29">
        <f>IF(OR('titan_ap'!H7=-1, 'titan_no_ap'!H7=-1), "", 'titan_ap'!J7/'titan_no_ap'!J7)</f>
        <v/>
      </c>
      <c r="H29">
        <f>IF(OR('titan_ap'!H7=-1, 'titan_no_ap'!H7=-1), "", 'titan_ap'!K7/'titan_no_ap'!K7)</f>
        <v/>
      </c>
      <c r="I29">
        <f>IF(OR('titan_ap'!H7=-1, 'titan_no_ap'!H7=-1), "", 'titan_ap'!L7/'titan_no_ap'!L7)</f>
        <v/>
      </c>
      <c r="J29">
        <f>IF(OR('titan_ap'!H7=-1, 'titan_no_ap'!H7=-1), "", 'titan_ap'!AC7/'titan_no_ap'!AC7)</f>
        <v/>
      </c>
      <c r="K29">
        <f>IF(OR('titan_ap'!H7=-1, 'titan_no_ap'!H7=-1), "", 'titan_ap'!AD7/'titan_no_ap'!AD7)</f>
        <v/>
      </c>
    </row>
    <row r="30">
      <c r="A30" t="inlineStr">
        <is>
          <t>titan</t>
        </is>
      </c>
      <c r="B30" t="inlineStr">
        <is>
          <t>stratixiv_arch.timing.xml</t>
        </is>
      </c>
      <c r="C30" t="inlineStr">
        <is>
          <t>cholesky_mc_stratixiv_arch_timing.blif</t>
        </is>
      </c>
      <c r="D30">
        <f>IF(OR('titan_ap'!H8=-1, 'titan_no_ap'!H8=-1), "", 'titan_ap'!F8/'titan_no_ap'!F8)</f>
        <v/>
      </c>
      <c r="E30">
        <f>IF(OR('titan_ap'!H8=-1, 'titan_no_ap'!H8=-1), "", 'titan_ap'!G8/'titan_no_ap'!G8)</f>
        <v/>
      </c>
      <c r="F30">
        <f>IF(OR('titan_ap'!H8=-1, 'titan_no_ap'!H8=-1), "", 'titan_ap'!H8/'titan_no_ap'!H8)</f>
        <v/>
      </c>
      <c r="G30">
        <f>IF(OR('titan_ap'!H8=-1, 'titan_no_ap'!H8=-1), "", 'titan_ap'!J8/'titan_no_ap'!J8)</f>
        <v/>
      </c>
      <c r="H30">
        <f>IF(OR('titan_ap'!H8=-1, 'titan_no_ap'!H8=-1), "", 'titan_ap'!K8/'titan_no_ap'!K8)</f>
        <v/>
      </c>
      <c r="I30">
        <f>IF(OR('titan_ap'!H8=-1, 'titan_no_ap'!H8=-1), "", 'titan_ap'!L8/'titan_no_ap'!L8)</f>
        <v/>
      </c>
      <c r="J30">
        <f>IF(OR('titan_ap'!H8=-1, 'titan_no_ap'!H8=-1), "", 'titan_ap'!AC8/'titan_no_ap'!AC8)</f>
        <v/>
      </c>
      <c r="K30">
        <f>IF(OR('titan_ap'!H8=-1, 'titan_no_ap'!H8=-1), "", 'titan_ap'!AD8/'titan_no_ap'!AD8)</f>
        <v/>
      </c>
    </row>
    <row r="31">
      <c r="A31" t="inlineStr">
        <is>
          <t>titan</t>
        </is>
      </c>
      <c r="B31" t="inlineStr">
        <is>
          <t>stratixiv_arch.timing.xml</t>
        </is>
      </c>
      <c r="C31" t="inlineStr">
        <is>
          <t>dart_stratixiv_arch_timing.blif</t>
        </is>
      </c>
      <c r="D31">
        <f>IF(OR('titan_ap'!H9=-1, 'titan_no_ap'!H9=-1), "", 'titan_ap'!F9/'titan_no_ap'!F9)</f>
        <v/>
      </c>
      <c r="E31">
        <f>IF(OR('titan_ap'!H9=-1, 'titan_no_ap'!H9=-1), "", 'titan_ap'!G9/'titan_no_ap'!G9)</f>
        <v/>
      </c>
      <c r="F31">
        <f>IF(OR('titan_ap'!H9=-1, 'titan_no_ap'!H9=-1), "", 'titan_ap'!H9/'titan_no_ap'!H9)</f>
        <v/>
      </c>
      <c r="G31">
        <f>IF(OR('titan_ap'!H9=-1, 'titan_no_ap'!H9=-1), "", 'titan_ap'!J9/'titan_no_ap'!J9)</f>
        <v/>
      </c>
      <c r="H31">
        <f>IF(OR('titan_ap'!H9=-1, 'titan_no_ap'!H9=-1), "", 'titan_ap'!K9/'titan_no_ap'!K9)</f>
        <v/>
      </c>
      <c r="I31">
        <f>IF(OR('titan_ap'!H9=-1, 'titan_no_ap'!H9=-1), "", 'titan_ap'!L9/'titan_no_ap'!L9)</f>
        <v/>
      </c>
      <c r="J31">
        <f>IF(OR('titan_ap'!H9=-1, 'titan_no_ap'!H9=-1), "", 'titan_ap'!AC9/'titan_no_ap'!AC9)</f>
        <v/>
      </c>
      <c r="K31">
        <f>IF(OR('titan_ap'!H9=-1, 'titan_no_ap'!H9=-1), "", 'titan_ap'!AD9/'titan_no_ap'!AD9)</f>
        <v/>
      </c>
    </row>
    <row r="32">
      <c r="A32" t="inlineStr">
        <is>
          <t>titan</t>
        </is>
      </c>
      <c r="B32" t="inlineStr">
        <is>
          <t>stratixiv_arch.timing.xml</t>
        </is>
      </c>
      <c r="C32" t="inlineStr">
        <is>
          <t>denoise_stratixiv_arch_timing.blif</t>
        </is>
      </c>
      <c r="D32">
        <f>IF(OR('titan_ap'!H10=-1, 'titan_no_ap'!H10=-1), "", 'titan_ap'!F10/'titan_no_ap'!F10)</f>
        <v/>
      </c>
      <c r="E32">
        <f>IF(OR('titan_ap'!H10=-1, 'titan_no_ap'!H10=-1), "", 'titan_ap'!G10/'titan_no_ap'!G10)</f>
        <v/>
      </c>
      <c r="F32">
        <f>IF(OR('titan_ap'!H10=-1, 'titan_no_ap'!H10=-1), "", 'titan_ap'!H10/'titan_no_ap'!H10)</f>
        <v/>
      </c>
      <c r="G32">
        <f>IF(OR('titan_ap'!H10=-1, 'titan_no_ap'!H10=-1), "", 'titan_ap'!J10/'titan_no_ap'!J10)</f>
        <v/>
      </c>
      <c r="H32">
        <f>IF(OR('titan_ap'!H10=-1, 'titan_no_ap'!H10=-1), "", 'titan_ap'!K10/'titan_no_ap'!K10)</f>
        <v/>
      </c>
      <c r="I32">
        <f>IF(OR('titan_ap'!H10=-1, 'titan_no_ap'!H10=-1), "", 'titan_ap'!L10/'titan_no_ap'!L10)</f>
        <v/>
      </c>
      <c r="J32">
        <f>IF(OR('titan_ap'!H10=-1, 'titan_no_ap'!H10=-1), "", 'titan_ap'!AC10/'titan_no_ap'!AC10)</f>
        <v/>
      </c>
      <c r="K32">
        <f>IF(OR('titan_ap'!H10=-1, 'titan_no_ap'!H10=-1), "", 'titan_ap'!AD10/'titan_no_ap'!AD10)</f>
        <v/>
      </c>
    </row>
    <row r="33">
      <c r="A33" t="inlineStr">
        <is>
          <t>titan</t>
        </is>
      </c>
      <c r="B33" t="inlineStr">
        <is>
          <t>stratixiv_arch.timing.xml</t>
        </is>
      </c>
      <c r="C33" t="inlineStr">
        <is>
          <t>des90_stratixiv_arch_timing.blif</t>
        </is>
      </c>
      <c r="D33">
        <f>IF(OR('titan_ap'!H11=-1, 'titan_no_ap'!H11=-1), "", 'titan_ap'!F11/'titan_no_ap'!F11)</f>
        <v/>
      </c>
      <c r="E33">
        <f>IF(OR('titan_ap'!H11=-1, 'titan_no_ap'!H11=-1), "", 'titan_ap'!G11/'titan_no_ap'!G11)</f>
        <v/>
      </c>
      <c r="F33">
        <f>IF(OR('titan_ap'!H11=-1, 'titan_no_ap'!H11=-1), "", 'titan_ap'!H11/'titan_no_ap'!H11)</f>
        <v/>
      </c>
      <c r="G33">
        <f>IF(OR('titan_ap'!H11=-1, 'titan_no_ap'!H11=-1), "", 'titan_ap'!J11/'titan_no_ap'!J11)</f>
        <v/>
      </c>
      <c r="H33">
        <f>IF(OR('titan_ap'!H11=-1, 'titan_no_ap'!H11=-1), "", 'titan_ap'!K11/'titan_no_ap'!K11)</f>
        <v/>
      </c>
      <c r="I33">
        <f>IF(OR('titan_ap'!H11=-1, 'titan_no_ap'!H11=-1), "", 'titan_ap'!L11/'titan_no_ap'!L11)</f>
        <v/>
      </c>
      <c r="J33">
        <f>IF(OR('titan_ap'!H11=-1, 'titan_no_ap'!H11=-1), "", 'titan_ap'!AC11/'titan_no_ap'!AC11)</f>
        <v/>
      </c>
      <c r="K33">
        <f>IF(OR('titan_ap'!H11=-1, 'titan_no_ap'!H11=-1), "", 'titan_ap'!AD11/'titan_no_ap'!AD11)</f>
        <v/>
      </c>
    </row>
    <row r="34">
      <c r="A34" t="inlineStr">
        <is>
          <t>titan</t>
        </is>
      </c>
      <c r="B34" t="inlineStr">
        <is>
          <t>stratixiv_arch.timing.xml</t>
        </is>
      </c>
      <c r="C34" t="inlineStr">
        <is>
          <t>directrf_stratixiv_arch_timing.blif</t>
        </is>
      </c>
      <c r="D34">
        <f>IF(OR('titan_ap'!H12=-1, 'titan_no_ap'!H12=-1), "", 'titan_ap'!F12/'titan_no_ap'!F12)</f>
        <v/>
      </c>
      <c r="E34">
        <f>IF(OR('titan_ap'!H12=-1, 'titan_no_ap'!H12=-1), "", 'titan_ap'!G12/'titan_no_ap'!G12)</f>
        <v/>
      </c>
      <c r="F34">
        <f>IF(OR('titan_ap'!H12=-1, 'titan_no_ap'!H12=-1), "", 'titan_ap'!H12/'titan_no_ap'!H12)</f>
        <v/>
      </c>
      <c r="G34">
        <f>IF(OR('titan_ap'!H12=-1, 'titan_no_ap'!H12=-1), "", 'titan_ap'!J12/'titan_no_ap'!J12)</f>
        <v/>
      </c>
      <c r="H34">
        <f>IF(OR('titan_ap'!H12=-1, 'titan_no_ap'!H12=-1), "", 'titan_ap'!K12/'titan_no_ap'!K12)</f>
        <v/>
      </c>
      <c r="I34">
        <f>IF(OR('titan_ap'!H12=-1, 'titan_no_ap'!H12=-1), "", 'titan_ap'!L12/'titan_no_ap'!L12)</f>
        <v/>
      </c>
      <c r="J34">
        <f>IF(OR('titan_ap'!H12=-1, 'titan_no_ap'!H12=-1), "", 'titan_ap'!AC12/'titan_no_ap'!AC12)</f>
        <v/>
      </c>
      <c r="K34">
        <f>IF(OR('titan_ap'!H12=-1, 'titan_no_ap'!H12=-1), "", 'titan_ap'!AD12/'titan_no_ap'!AD12)</f>
        <v/>
      </c>
    </row>
    <row r="35">
      <c r="A35" t="inlineStr">
        <is>
          <t>titan</t>
        </is>
      </c>
      <c r="B35" t="inlineStr">
        <is>
          <t>stratixiv_arch.timing.xml</t>
        </is>
      </c>
      <c r="C35" t="inlineStr">
        <is>
          <t>gsm_switch_stratixiv_arch_timing.blif</t>
        </is>
      </c>
      <c r="D35">
        <f>IF(OR('titan_ap'!H13=-1, 'titan_no_ap'!H13=-1), "", 'titan_ap'!F13/'titan_no_ap'!F13)</f>
        <v/>
      </c>
      <c r="E35">
        <f>IF(OR('titan_ap'!H13=-1, 'titan_no_ap'!H13=-1), "", 'titan_ap'!G13/'titan_no_ap'!G13)</f>
        <v/>
      </c>
      <c r="F35">
        <f>IF(OR('titan_ap'!H13=-1, 'titan_no_ap'!H13=-1), "", 'titan_ap'!H13/'titan_no_ap'!H13)</f>
        <v/>
      </c>
      <c r="G35">
        <f>IF(OR('titan_ap'!H13=-1, 'titan_no_ap'!H13=-1), "", 'titan_ap'!J13/'titan_no_ap'!J13)</f>
        <v/>
      </c>
      <c r="H35">
        <f>IF(OR('titan_ap'!H13=-1, 'titan_no_ap'!H13=-1), "", 'titan_ap'!K13/'titan_no_ap'!K13)</f>
        <v/>
      </c>
      <c r="I35">
        <f>IF(OR('titan_ap'!H13=-1, 'titan_no_ap'!H13=-1), "", 'titan_ap'!L13/'titan_no_ap'!L13)</f>
        <v/>
      </c>
      <c r="J35">
        <f>IF(OR('titan_ap'!H13=-1, 'titan_no_ap'!H13=-1), "", 'titan_ap'!AC13/'titan_no_ap'!AC13)</f>
        <v/>
      </c>
      <c r="K35">
        <f>IF(OR('titan_ap'!H13=-1, 'titan_no_ap'!H13=-1), "", 'titan_ap'!AD13/'titan_no_ap'!AD13)</f>
        <v/>
      </c>
    </row>
    <row r="36">
      <c r="A36" t="inlineStr">
        <is>
          <t>titan</t>
        </is>
      </c>
      <c r="B36" t="inlineStr">
        <is>
          <t>stratixiv_arch.timing.xml</t>
        </is>
      </c>
      <c r="C36" t="inlineStr">
        <is>
          <t>mes_noc_stratixiv_arch_timing.blif</t>
        </is>
      </c>
      <c r="D36">
        <f>IF(OR('titan_ap'!H14=-1, 'titan_no_ap'!H14=-1), "", 'titan_ap'!F14/'titan_no_ap'!F14)</f>
        <v/>
      </c>
      <c r="E36">
        <f>IF(OR('titan_ap'!H14=-1, 'titan_no_ap'!H14=-1), "", 'titan_ap'!G14/'titan_no_ap'!G14)</f>
        <v/>
      </c>
      <c r="F36">
        <f>IF(OR('titan_ap'!H14=-1, 'titan_no_ap'!H14=-1), "", 'titan_ap'!H14/'titan_no_ap'!H14)</f>
        <v/>
      </c>
      <c r="G36">
        <f>IF(OR('titan_ap'!H14=-1, 'titan_no_ap'!H14=-1), "", 'titan_ap'!J14/'titan_no_ap'!J14)</f>
        <v/>
      </c>
      <c r="H36">
        <f>IF(OR('titan_ap'!H14=-1, 'titan_no_ap'!H14=-1), "", 'titan_ap'!K14/'titan_no_ap'!K14)</f>
        <v/>
      </c>
      <c r="I36">
        <f>IF(OR('titan_ap'!H14=-1, 'titan_no_ap'!H14=-1), "", 'titan_ap'!L14/'titan_no_ap'!L14)</f>
        <v/>
      </c>
      <c r="J36">
        <f>IF(OR('titan_ap'!H14=-1, 'titan_no_ap'!H14=-1), "", 'titan_ap'!AC14/'titan_no_ap'!AC14)</f>
        <v/>
      </c>
      <c r="K36">
        <f>IF(OR('titan_ap'!H14=-1, 'titan_no_ap'!H14=-1), "", 'titan_ap'!AD14/'titan_no_ap'!AD14)</f>
        <v/>
      </c>
    </row>
    <row r="37">
      <c r="A37" t="inlineStr">
        <is>
          <t>titan</t>
        </is>
      </c>
      <c r="B37" t="inlineStr">
        <is>
          <t>stratixiv_arch.timing.xml</t>
        </is>
      </c>
      <c r="C37" t="inlineStr">
        <is>
          <t>minres_stratixiv_arch_timing.blif</t>
        </is>
      </c>
      <c r="D37">
        <f>IF(OR('titan_ap'!H15=-1, 'titan_no_ap'!H15=-1), "", 'titan_ap'!F15/'titan_no_ap'!F15)</f>
        <v/>
      </c>
      <c r="E37">
        <f>IF(OR('titan_ap'!H15=-1, 'titan_no_ap'!H15=-1), "", 'titan_ap'!G15/'titan_no_ap'!G15)</f>
        <v/>
      </c>
      <c r="F37">
        <f>IF(OR('titan_ap'!H15=-1, 'titan_no_ap'!H15=-1), "", 'titan_ap'!H15/'titan_no_ap'!H15)</f>
        <v/>
      </c>
      <c r="G37">
        <f>IF(OR('titan_ap'!H15=-1, 'titan_no_ap'!H15=-1), "", 'titan_ap'!J15/'titan_no_ap'!J15)</f>
        <v/>
      </c>
      <c r="H37">
        <f>IF(OR('titan_ap'!H15=-1, 'titan_no_ap'!H15=-1), "", 'titan_ap'!K15/'titan_no_ap'!K15)</f>
        <v/>
      </c>
      <c r="I37">
        <f>IF(OR('titan_ap'!H15=-1, 'titan_no_ap'!H15=-1), "", 'titan_ap'!L15/'titan_no_ap'!L15)</f>
        <v/>
      </c>
      <c r="J37">
        <f>IF(OR('titan_ap'!H15=-1, 'titan_no_ap'!H15=-1), "", 'titan_ap'!AC15/'titan_no_ap'!AC15)</f>
        <v/>
      </c>
      <c r="K37">
        <f>IF(OR('titan_ap'!H15=-1, 'titan_no_ap'!H15=-1), "", 'titan_ap'!AD15/'titan_no_ap'!AD15)</f>
        <v/>
      </c>
    </row>
    <row r="38">
      <c r="A38" t="inlineStr">
        <is>
          <t>titan</t>
        </is>
      </c>
      <c r="B38" t="inlineStr">
        <is>
          <t>stratixiv_arch.timing.xml</t>
        </is>
      </c>
      <c r="C38" t="inlineStr">
        <is>
          <t>neuron_stratixiv_arch_timing.blif</t>
        </is>
      </c>
      <c r="D38">
        <f>IF(OR('titan_ap'!H16=-1, 'titan_no_ap'!H16=-1), "", 'titan_ap'!F16/'titan_no_ap'!F16)</f>
        <v/>
      </c>
      <c r="E38">
        <f>IF(OR('titan_ap'!H16=-1, 'titan_no_ap'!H16=-1), "", 'titan_ap'!G16/'titan_no_ap'!G16)</f>
        <v/>
      </c>
      <c r="F38">
        <f>IF(OR('titan_ap'!H16=-1, 'titan_no_ap'!H16=-1), "", 'titan_ap'!H16/'titan_no_ap'!H16)</f>
        <v/>
      </c>
      <c r="G38">
        <f>IF(OR('titan_ap'!H16=-1, 'titan_no_ap'!H16=-1), "", 'titan_ap'!J16/'titan_no_ap'!J16)</f>
        <v/>
      </c>
      <c r="H38">
        <f>IF(OR('titan_ap'!H16=-1, 'titan_no_ap'!H16=-1), "", 'titan_ap'!K16/'titan_no_ap'!K16)</f>
        <v/>
      </c>
      <c r="I38">
        <f>IF(OR('titan_ap'!H16=-1, 'titan_no_ap'!H16=-1), "", 'titan_ap'!L16/'titan_no_ap'!L16)</f>
        <v/>
      </c>
      <c r="J38">
        <f>IF(OR('titan_ap'!H16=-1, 'titan_no_ap'!H16=-1), "", 'titan_ap'!AC16/'titan_no_ap'!AC16)</f>
        <v/>
      </c>
      <c r="K38">
        <f>IF(OR('titan_ap'!H16=-1, 'titan_no_ap'!H16=-1), "", 'titan_ap'!AD16/'titan_no_ap'!AD16)</f>
        <v/>
      </c>
    </row>
    <row r="39">
      <c r="A39" t="inlineStr">
        <is>
          <t>titan</t>
        </is>
      </c>
      <c r="B39" t="inlineStr">
        <is>
          <t>stratixiv_arch.timing.xml</t>
        </is>
      </c>
      <c r="C39" t="inlineStr">
        <is>
          <t>openCV_stratixiv_arch_timing.blif</t>
        </is>
      </c>
      <c r="D39">
        <f>IF(OR('titan_ap'!H17=-1, 'titan_no_ap'!H17=-1), "", 'titan_ap'!F17/'titan_no_ap'!F17)</f>
        <v/>
      </c>
      <c r="E39">
        <f>IF(OR('titan_ap'!H17=-1, 'titan_no_ap'!H17=-1), "", 'titan_ap'!G17/'titan_no_ap'!G17)</f>
        <v/>
      </c>
      <c r="F39">
        <f>IF(OR('titan_ap'!H17=-1, 'titan_no_ap'!H17=-1), "", 'titan_ap'!H17/'titan_no_ap'!H17)</f>
        <v/>
      </c>
      <c r="G39">
        <f>IF(OR('titan_ap'!H17=-1, 'titan_no_ap'!H17=-1), "", 'titan_ap'!J17/'titan_no_ap'!J17)</f>
        <v/>
      </c>
      <c r="H39">
        <f>IF(OR('titan_ap'!H17=-1, 'titan_no_ap'!H17=-1), "", 'titan_ap'!K17/'titan_no_ap'!K17)</f>
        <v/>
      </c>
      <c r="I39">
        <f>IF(OR('titan_ap'!H17=-1, 'titan_no_ap'!H17=-1), "", 'titan_ap'!L17/'titan_no_ap'!L17)</f>
        <v/>
      </c>
      <c r="J39">
        <f>IF(OR('titan_ap'!H17=-1, 'titan_no_ap'!H17=-1), "", 'titan_ap'!AC17/'titan_no_ap'!AC17)</f>
        <v/>
      </c>
      <c r="K39">
        <f>IF(OR('titan_ap'!H17=-1, 'titan_no_ap'!H17=-1), "", 'titan_ap'!AD17/'titan_no_ap'!AD17)</f>
        <v/>
      </c>
    </row>
    <row r="40">
      <c r="A40" t="inlineStr">
        <is>
          <t>titan</t>
        </is>
      </c>
      <c r="B40" t="inlineStr">
        <is>
          <t>stratixiv_arch.timing.xml</t>
        </is>
      </c>
      <c r="C40" t="inlineStr">
        <is>
          <t>segmentation_stratixiv_arch_timing.blif</t>
        </is>
      </c>
      <c r="D40">
        <f>IF(OR('titan_ap'!H18=-1, 'titan_no_ap'!H18=-1), "", 'titan_ap'!F18/'titan_no_ap'!F18)</f>
        <v/>
      </c>
      <c r="E40">
        <f>IF(OR('titan_ap'!H18=-1, 'titan_no_ap'!H18=-1), "", 'titan_ap'!G18/'titan_no_ap'!G18)</f>
        <v/>
      </c>
      <c r="F40">
        <f>IF(OR('titan_ap'!H18=-1, 'titan_no_ap'!H18=-1), "", 'titan_ap'!H18/'titan_no_ap'!H18)</f>
        <v/>
      </c>
      <c r="G40">
        <f>IF(OR('titan_ap'!H18=-1, 'titan_no_ap'!H18=-1), "", 'titan_ap'!J18/'titan_no_ap'!J18)</f>
        <v/>
      </c>
      <c r="H40">
        <f>IF(OR('titan_ap'!H18=-1, 'titan_no_ap'!H18=-1), "", 'titan_ap'!K18/'titan_no_ap'!K18)</f>
        <v/>
      </c>
      <c r="I40">
        <f>IF(OR('titan_ap'!H18=-1, 'titan_no_ap'!H18=-1), "", 'titan_ap'!L18/'titan_no_ap'!L18)</f>
        <v/>
      </c>
      <c r="J40">
        <f>IF(OR('titan_ap'!H18=-1, 'titan_no_ap'!H18=-1), "", 'titan_ap'!AC18/'titan_no_ap'!AC18)</f>
        <v/>
      </c>
      <c r="K40">
        <f>IF(OR('titan_ap'!H18=-1, 'titan_no_ap'!H18=-1), "", 'titan_ap'!AD18/'titan_no_ap'!AD18)</f>
        <v/>
      </c>
    </row>
    <row r="41">
      <c r="A41" t="inlineStr">
        <is>
          <t>titan</t>
        </is>
      </c>
      <c r="B41" t="inlineStr">
        <is>
          <t>stratixiv_arch.timing.xml</t>
        </is>
      </c>
      <c r="C41" t="inlineStr">
        <is>
          <t>sparcT1_chip2_stratixiv_arch_timing.blif</t>
        </is>
      </c>
      <c r="D41">
        <f>IF(OR('titan_ap'!H19=-1, 'titan_no_ap'!H19=-1), "", 'titan_ap'!F19/'titan_no_ap'!F19)</f>
        <v/>
      </c>
      <c r="E41">
        <f>IF(OR('titan_ap'!H19=-1, 'titan_no_ap'!H19=-1), "", 'titan_ap'!G19/'titan_no_ap'!G19)</f>
        <v/>
      </c>
      <c r="F41">
        <f>IF(OR('titan_ap'!H19=-1, 'titan_no_ap'!H19=-1), "", 'titan_ap'!H19/'titan_no_ap'!H19)</f>
        <v/>
      </c>
      <c r="G41">
        <f>IF(OR('titan_ap'!H19=-1, 'titan_no_ap'!H19=-1), "", 'titan_ap'!J19/'titan_no_ap'!J19)</f>
        <v/>
      </c>
      <c r="H41">
        <f>IF(OR('titan_ap'!H19=-1, 'titan_no_ap'!H19=-1), "", 'titan_ap'!K19/'titan_no_ap'!K19)</f>
        <v/>
      </c>
      <c r="I41">
        <f>IF(OR('titan_ap'!H19=-1, 'titan_no_ap'!H19=-1), "", 'titan_ap'!L19/'titan_no_ap'!L19)</f>
        <v/>
      </c>
      <c r="J41">
        <f>IF(OR('titan_ap'!H19=-1, 'titan_no_ap'!H19=-1), "", 'titan_ap'!AC19/'titan_no_ap'!AC19)</f>
        <v/>
      </c>
      <c r="K41">
        <f>IF(OR('titan_ap'!H19=-1, 'titan_no_ap'!H19=-1), "", 'titan_ap'!AD19/'titan_no_ap'!AD19)</f>
        <v/>
      </c>
    </row>
    <row r="42">
      <c r="A42" t="inlineStr">
        <is>
          <t>titan</t>
        </is>
      </c>
      <c r="B42" t="inlineStr">
        <is>
          <t>stratixiv_arch.timing.xml</t>
        </is>
      </c>
      <c r="C42" t="inlineStr">
        <is>
          <t>sparcT1_core_stratixiv_arch_timing.blif</t>
        </is>
      </c>
      <c r="D42">
        <f>IF(OR('titan_ap'!H20=-1, 'titan_no_ap'!H20=-1), "", 'titan_ap'!F20/'titan_no_ap'!F20)</f>
        <v/>
      </c>
      <c r="E42">
        <f>IF(OR('titan_ap'!H20=-1, 'titan_no_ap'!H20=-1), "", 'titan_ap'!G20/'titan_no_ap'!G20)</f>
        <v/>
      </c>
      <c r="F42">
        <f>IF(OR('titan_ap'!H20=-1, 'titan_no_ap'!H20=-1), "", 'titan_ap'!H20/'titan_no_ap'!H20)</f>
        <v/>
      </c>
      <c r="G42">
        <f>IF(OR('titan_ap'!H20=-1, 'titan_no_ap'!H20=-1), "", 'titan_ap'!J20/'titan_no_ap'!J20)</f>
        <v/>
      </c>
      <c r="H42">
        <f>IF(OR('titan_ap'!H20=-1, 'titan_no_ap'!H20=-1), "", 'titan_ap'!K20/'titan_no_ap'!K20)</f>
        <v/>
      </c>
      <c r="I42">
        <f>IF(OR('titan_ap'!H20=-1, 'titan_no_ap'!H20=-1), "", 'titan_ap'!L20/'titan_no_ap'!L20)</f>
        <v/>
      </c>
      <c r="J42">
        <f>IF(OR('titan_ap'!H20=-1, 'titan_no_ap'!H20=-1), "", 'titan_ap'!AC20/'titan_no_ap'!AC20)</f>
        <v/>
      </c>
      <c r="K42">
        <f>IF(OR('titan_ap'!H20=-1, 'titan_no_ap'!H20=-1), "", 'titan_ap'!AD20/'titan_no_ap'!AD20)</f>
        <v/>
      </c>
    </row>
    <row r="43">
      <c r="A43" t="inlineStr">
        <is>
          <t>titan</t>
        </is>
      </c>
      <c r="B43" t="inlineStr">
        <is>
          <t>stratixiv_arch.timing.xml</t>
        </is>
      </c>
      <c r="C43" t="inlineStr">
        <is>
          <t>sparcT2_core_stratixiv_arch_timing.blif</t>
        </is>
      </c>
      <c r="D43">
        <f>IF(OR('titan_ap'!H21=-1, 'titan_no_ap'!H21=-1), "", 'titan_ap'!F21/'titan_no_ap'!F21)</f>
        <v/>
      </c>
      <c r="E43">
        <f>IF(OR('titan_ap'!H21=-1, 'titan_no_ap'!H21=-1), "", 'titan_ap'!G21/'titan_no_ap'!G21)</f>
        <v/>
      </c>
      <c r="F43">
        <f>IF(OR('titan_ap'!H21=-1, 'titan_no_ap'!H21=-1), "", 'titan_ap'!H21/'titan_no_ap'!H21)</f>
        <v/>
      </c>
      <c r="G43">
        <f>IF(OR('titan_ap'!H21=-1, 'titan_no_ap'!H21=-1), "", 'titan_ap'!J21/'titan_no_ap'!J21)</f>
        <v/>
      </c>
      <c r="H43">
        <f>IF(OR('titan_ap'!H21=-1, 'titan_no_ap'!H21=-1), "", 'titan_ap'!K21/'titan_no_ap'!K21)</f>
        <v/>
      </c>
      <c r="I43">
        <f>IF(OR('titan_ap'!H21=-1, 'titan_no_ap'!H21=-1), "", 'titan_ap'!L21/'titan_no_ap'!L21)</f>
        <v/>
      </c>
      <c r="J43">
        <f>IF(OR('titan_ap'!H21=-1, 'titan_no_ap'!H21=-1), "", 'titan_ap'!AC21/'titan_no_ap'!AC21)</f>
        <v/>
      </c>
      <c r="K43">
        <f>IF(OR('titan_ap'!H21=-1, 'titan_no_ap'!H21=-1), "", 'titan_ap'!AD21/'titan_no_ap'!AD21)</f>
        <v/>
      </c>
    </row>
    <row r="44">
      <c r="A44" t="inlineStr">
        <is>
          <t>titan</t>
        </is>
      </c>
      <c r="B44" t="inlineStr">
        <is>
          <t>stratixiv_arch.timing.xml</t>
        </is>
      </c>
      <c r="C44" t="inlineStr">
        <is>
          <t>stap_qrd_stratixiv_arch_timing.blif</t>
        </is>
      </c>
      <c r="D44">
        <f>IF(OR('titan_ap'!H22=-1, 'titan_no_ap'!H22=-1), "", 'titan_ap'!F22/'titan_no_ap'!F22)</f>
        <v/>
      </c>
      <c r="E44">
        <f>IF(OR('titan_ap'!H22=-1, 'titan_no_ap'!H22=-1), "", 'titan_ap'!G22/'titan_no_ap'!G22)</f>
        <v/>
      </c>
      <c r="F44">
        <f>IF(OR('titan_ap'!H22=-1, 'titan_no_ap'!H22=-1), "", 'titan_ap'!H22/'titan_no_ap'!H22)</f>
        <v/>
      </c>
      <c r="G44">
        <f>IF(OR('titan_ap'!H22=-1, 'titan_no_ap'!H22=-1), "", 'titan_ap'!J22/'titan_no_ap'!J22)</f>
        <v/>
      </c>
      <c r="H44">
        <f>IF(OR('titan_ap'!H22=-1, 'titan_no_ap'!H22=-1), "", 'titan_ap'!K22/'titan_no_ap'!K22)</f>
        <v/>
      </c>
      <c r="I44">
        <f>IF(OR('titan_ap'!H22=-1, 'titan_no_ap'!H22=-1), "", 'titan_ap'!L22/'titan_no_ap'!L22)</f>
        <v/>
      </c>
      <c r="J44">
        <f>IF(OR('titan_ap'!H22=-1, 'titan_no_ap'!H22=-1), "", 'titan_ap'!AC22/'titan_no_ap'!AC22)</f>
        <v/>
      </c>
      <c r="K44">
        <f>IF(OR('titan_ap'!H22=-1, 'titan_no_ap'!H22=-1), "", 'titan_ap'!AD22/'titan_no_ap'!AD22)</f>
        <v/>
      </c>
    </row>
    <row r="45">
      <c r="A45" t="inlineStr">
        <is>
          <t>titan</t>
        </is>
      </c>
      <c r="B45" t="inlineStr">
        <is>
          <t>stratixiv_arch.timing.xml</t>
        </is>
      </c>
      <c r="C45" t="inlineStr">
        <is>
          <t>stereo_vision_stratixiv_arch_timing.blif</t>
        </is>
      </c>
      <c r="D45">
        <f>IF(OR('titan_ap'!H23=-1, 'titan_no_ap'!H23=-1), "", 'titan_ap'!F23/'titan_no_ap'!F23)</f>
        <v/>
      </c>
      <c r="E45">
        <f>IF(OR('titan_ap'!H23=-1, 'titan_no_ap'!H23=-1), "", 'titan_ap'!G23/'titan_no_ap'!G23)</f>
        <v/>
      </c>
      <c r="F45">
        <f>IF(OR('titan_ap'!H23=-1, 'titan_no_ap'!H23=-1), "", 'titan_ap'!H23/'titan_no_ap'!H23)</f>
        <v/>
      </c>
      <c r="G45">
        <f>IF(OR('titan_ap'!H23=-1, 'titan_no_ap'!H23=-1), "", 'titan_ap'!J23/'titan_no_ap'!J23)</f>
        <v/>
      </c>
      <c r="H45">
        <f>IF(OR('titan_ap'!H23=-1, 'titan_no_ap'!H23=-1), "", 'titan_ap'!K23/'titan_no_ap'!K23)</f>
        <v/>
      </c>
      <c r="I45">
        <f>IF(OR('titan_ap'!H23=-1, 'titan_no_ap'!H23=-1), "", 'titan_ap'!L23/'titan_no_ap'!L23)</f>
        <v/>
      </c>
      <c r="J45">
        <f>IF(OR('titan_ap'!H23=-1, 'titan_no_ap'!H23=-1), "", 'titan_ap'!AC23/'titan_no_ap'!AC23)</f>
        <v/>
      </c>
      <c r="K45">
        <f>IF(OR('titan_ap'!H23=-1, 'titan_no_ap'!H23=-1), "", 'titan_ap'!AD23/'titan_no_ap'!AD23)</f>
        <v/>
      </c>
    </row>
    <row r="46">
      <c r="A46" t="inlineStr">
        <is>
          <t>titan</t>
        </is>
      </c>
      <c r="B46" t="inlineStr">
        <is>
          <t>stratixiv_arch.timing.xml</t>
        </is>
      </c>
      <c r="C46" t="inlineStr">
        <is>
          <t>gaussianblur_stratixiv_arch_timing.blif</t>
        </is>
      </c>
      <c r="D46">
        <f>IF(OR('titan_ap'!H24=-1, 'titan_no_ap'!H24=-1), "", 'titan_ap'!F24/'titan_no_ap'!F24)</f>
        <v/>
      </c>
      <c r="E46">
        <f>IF(OR('titan_ap'!H24=-1, 'titan_no_ap'!H24=-1), "", 'titan_ap'!G24/'titan_no_ap'!G24)</f>
        <v/>
      </c>
      <c r="F46">
        <f>IF(OR('titan_ap'!H24=-1, 'titan_no_ap'!H24=-1), "", 'titan_ap'!H24/'titan_no_ap'!H24)</f>
        <v/>
      </c>
      <c r="G46">
        <f>IF(OR('titan_ap'!H24=-1, 'titan_no_ap'!H24=-1), "", 'titan_ap'!J24/'titan_no_ap'!J24)</f>
        <v/>
      </c>
      <c r="H46">
        <f>IF(OR('titan_ap'!H24=-1, 'titan_no_ap'!H24=-1), "", 'titan_ap'!K24/'titan_no_ap'!K24)</f>
        <v/>
      </c>
      <c r="I46">
        <f>IF(OR('titan_ap'!H24=-1, 'titan_no_ap'!H24=-1), "", 'titan_ap'!L24/'titan_no_ap'!L24)</f>
        <v/>
      </c>
      <c r="J46">
        <f>IF(OR('titan_ap'!H24=-1, 'titan_no_ap'!H24=-1), "", 'titan_ap'!AC24/'titan_no_ap'!AC24)</f>
        <v/>
      </c>
      <c r="K46">
        <f>IF(OR('titan_ap'!H24=-1, 'titan_no_ap'!H24=-1), "", 'titan_ap'!AD24/'titan_no_ap'!AD24)</f>
        <v/>
      </c>
    </row>
    <row r="47">
      <c r="A47" t="inlineStr">
        <is>
          <t>titan</t>
        </is>
      </c>
      <c r="B47" t="inlineStr"/>
      <c r="C47" t="inlineStr">
        <is>
          <t>GEOMEAN</t>
        </is>
      </c>
      <c r="D47">
        <f>GEOMEAN(D24:D46)</f>
        <v/>
      </c>
      <c r="E47">
        <f>GEOMEAN(E24:E46)</f>
        <v/>
      </c>
      <c r="F47">
        <f>GEOMEAN(F24:F46)</f>
        <v/>
      </c>
      <c r="G47">
        <f>GEOMEAN(G24:G46)</f>
        <v/>
      </c>
      <c r="H47">
        <f>GEOMEAN(H24:H46)</f>
        <v/>
      </c>
      <c r="I47">
        <f>GEOMEAN(I24:I46)</f>
        <v/>
      </c>
      <c r="J47">
        <f>GEOMEAN(J24:J46)</f>
        <v/>
      </c>
      <c r="K47">
        <f>GEOMEAN(K24:K46)</f>
        <v/>
      </c>
    </row>
    <row r="48">
      <c r="A48" t="inlineStr">
        <is>
          <t>titan</t>
        </is>
      </c>
      <c r="B48" t="inlineStr"/>
      <c r="C48" t="inlineStr">
        <is>
          <t>UNROUTES</t>
        </is>
      </c>
      <c r="D48">
        <f>23 - COUNT(F24:F46)</f>
        <v/>
      </c>
    </row>
    <row r="49">
      <c r="A49" t="inlineStr"/>
    </row>
    <row r="50">
      <c r="A50" t="inlineStr">
        <is>
          <t>koios</t>
        </is>
      </c>
      <c r="B50" t="inlineStr">
        <is>
          <t>k6FracN10LB_mem20K_complexDSP_customSB_22nm.xml</t>
        </is>
      </c>
      <c r="C50" t="inlineStr">
        <is>
          <t>attention_layer.v</t>
        </is>
      </c>
      <c r="D50">
        <f>IF(OR('koios_ap'!H2=-1, 'koios_no_ap'!H2=-1), "", 'koios_ap'!F2/'koios_no_ap'!F2)</f>
        <v/>
      </c>
      <c r="E50">
        <f>IF(OR('koios_ap'!H2=-1, 'koios_no_ap'!H2=-1), "", 'koios_ap'!G2/'koios_no_ap'!G2)</f>
        <v/>
      </c>
      <c r="F50">
        <f>IF(OR('koios_ap'!H2=-1, 'koios_no_ap'!H2=-1), "", 'koios_ap'!H2/'koios_no_ap'!H2)</f>
        <v/>
      </c>
      <c r="G50">
        <f>IF(OR('koios_ap'!H2=-1, 'koios_no_ap'!H2=-1), "", 'koios_ap'!J2/'koios_no_ap'!J2)</f>
        <v/>
      </c>
      <c r="H50">
        <f>IF(OR('koios_ap'!H2=-1, 'koios_no_ap'!H2=-1), "", 'koios_ap'!K2/'koios_no_ap'!K2)</f>
        <v/>
      </c>
      <c r="I50">
        <f>IF(OR('koios_ap'!H2=-1, 'koios_no_ap'!H2=-1), "", 'koios_ap'!L2/'koios_no_ap'!L2)</f>
        <v/>
      </c>
      <c r="J50">
        <f>IF(OR('koios_ap'!H2=-1, 'koios_no_ap'!H2=-1), "", 'koios_ap'!AC2/'koios_no_ap'!AC2)</f>
        <v/>
      </c>
      <c r="K50">
        <f>IF(OR('koios_ap'!H2=-1, 'koios_no_ap'!H2=-1), "", 'koios_ap'!AD2/'koios_no_ap'!AD2)</f>
        <v/>
      </c>
    </row>
    <row r="51">
      <c r="A51" t="inlineStr">
        <is>
          <t>koios</t>
        </is>
      </c>
      <c r="B51" t="inlineStr">
        <is>
          <t>k6FracN10LB_mem20K_complexDSP_customSB_22nm.xml</t>
        </is>
      </c>
      <c r="C51" t="inlineStr">
        <is>
          <t>bnn.v</t>
        </is>
      </c>
      <c r="D51">
        <f>IF(OR('koios_ap'!H3=-1, 'koios_no_ap'!H3=-1), "", 'koios_ap'!F3/'koios_no_ap'!F3)</f>
        <v/>
      </c>
      <c r="E51">
        <f>IF(OR('koios_ap'!H3=-1, 'koios_no_ap'!H3=-1), "", 'koios_ap'!G3/'koios_no_ap'!G3)</f>
        <v/>
      </c>
      <c r="F51">
        <f>IF(OR('koios_ap'!H3=-1, 'koios_no_ap'!H3=-1), "", 'koios_ap'!H3/'koios_no_ap'!H3)</f>
        <v/>
      </c>
      <c r="G51">
        <f>IF(OR('koios_ap'!H3=-1, 'koios_no_ap'!H3=-1), "", 'koios_ap'!J3/'koios_no_ap'!J3)</f>
        <v/>
      </c>
      <c r="H51">
        <f>IF(OR('koios_ap'!H3=-1, 'koios_no_ap'!H3=-1), "", 'koios_ap'!K3/'koios_no_ap'!K3)</f>
        <v/>
      </c>
      <c r="I51">
        <f>IF(OR('koios_ap'!H3=-1, 'koios_no_ap'!H3=-1), "", 'koios_ap'!L3/'koios_no_ap'!L3)</f>
        <v/>
      </c>
      <c r="J51">
        <f>IF(OR('koios_ap'!H3=-1, 'koios_no_ap'!H3=-1), "", 'koios_ap'!AC3/'koios_no_ap'!AC3)</f>
        <v/>
      </c>
      <c r="K51">
        <f>IF(OR('koios_ap'!H3=-1, 'koios_no_ap'!H3=-1), "", 'koios_ap'!AD3/'koios_no_ap'!AD3)</f>
        <v/>
      </c>
    </row>
    <row r="52">
      <c r="A52" t="inlineStr">
        <is>
          <t>koios</t>
        </is>
      </c>
      <c r="B52" t="inlineStr">
        <is>
          <t>k6FracN10LB_mem20K_complexDSP_customSB_22nm.xml</t>
        </is>
      </c>
      <c r="C52" t="inlineStr">
        <is>
          <t>bwave_like.fixed.large.v</t>
        </is>
      </c>
      <c r="D52">
        <f>IF(OR('koios_ap'!H4=-1, 'koios_no_ap'!H4=-1), "", 'koios_ap'!F4/'koios_no_ap'!F4)</f>
        <v/>
      </c>
      <c r="E52">
        <f>IF(OR('koios_ap'!H4=-1, 'koios_no_ap'!H4=-1), "", 'koios_ap'!G4/'koios_no_ap'!G4)</f>
        <v/>
      </c>
      <c r="F52">
        <f>IF(OR('koios_ap'!H4=-1, 'koios_no_ap'!H4=-1), "", 'koios_ap'!H4/'koios_no_ap'!H4)</f>
        <v/>
      </c>
      <c r="G52">
        <f>IF(OR('koios_ap'!H4=-1, 'koios_no_ap'!H4=-1), "", 'koios_ap'!J4/'koios_no_ap'!J4)</f>
        <v/>
      </c>
      <c r="H52">
        <f>IF(OR('koios_ap'!H4=-1, 'koios_no_ap'!H4=-1), "", 'koios_ap'!K4/'koios_no_ap'!K4)</f>
        <v/>
      </c>
      <c r="I52">
        <f>IF(OR('koios_ap'!H4=-1, 'koios_no_ap'!H4=-1), "", 'koios_ap'!L4/'koios_no_ap'!L4)</f>
        <v/>
      </c>
      <c r="J52">
        <f>IF(OR('koios_ap'!H4=-1, 'koios_no_ap'!H4=-1), "", 'koios_ap'!AC4/'koios_no_ap'!AC4)</f>
        <v/>
      </c>
      <c r="K52">
        <f>IF(OR('koios_ap'!H4=-1, 'koios_no_ap'!H4=-1), "", 'koios_ap'!AD4/'koios_no_ap'!AD4)</f>
        <v/>
      </c>
    </row>
    <row r="53">
      <c r="A53" t="inlineStr">
        <is>
          <t>koios</t>
        </is>
      </c>
      <c r="B53" t="inlineStr">
        <is>
          <t>k6FracN10LB_mem20K_complexDSP_customSB_22nm.xml</t>
        </is>
      </c>
      <c r="C53" t="inlineStr">
        <is>
          <t>bwave_like.fixed.small.v</t>
        </is>
      </c>
      <c r="D53">
        <f>IF(OR('koios_ap'!H5=-1, 'koios_no_ap'!H5=-1), "", 'koios_ap'!F5/'koios_no_ap'!F5)</f>
        <v/>
      </c>
      <c r="E53">
        <f>IF(OR('koios_ap'!H5=-1, 'koios_no_ap'!H5=-1), "", 'koios_ap'!G5/'koios_no_ap'!G5)</f>
        <v/>
      </c>
      <c r="F53">
        <f>IF(OR('koios_ap'!H5=-1, 'koios_no_ap'!H5=-1), "", 'koios_ap'!H5/'koios_no_ap'!H5)</f>
        <v/>
      </c>
      <c r="G53">
        <f>IF(OR('koios_ap'!H5=-1, 'koios_no_ap'!H5=-1), "", 'koios_ap'!J5/'koios_no_ap'!J5)</f>
        <v/>
      </c>
      <c r="H53">
        <f>IF(OR('koios_ap'!H5=-1, 'koios_no_ap'!H5=-1), "", 'koios_ap'!K5/'koios_no_ap'!K5)</f>
        <v/>
      </c>
      <c r="I53">
        <f>IF(OR('koios_ap'!H5=-1, 'koios_no_ap'!H5=-1), "", 'koios_ap'!L5/'koios_no_ap'!L5)</f>
        <v/>
      </c>
      <c r="J53">
        <f>IF(OR('koios_ap'!H5=-1, 'koios_no_ap'!H5=-1), "", 'koios_ap'!AC5/'koios_no_ap'!AC5)</f>
        <v/>
      </c>
      <c r="K53">
        <f>IF(OR('koios_ap'!H5=-1, 'koios_no_ap'!H5=-1), "", 'koios_ap'!AD5/'koios_no_ap'!AD5)</f>
        <v/>
      </c>
    </row>
    <row r="54">
      <c r="A54" t="inlineStr">
        <is>
          <t>koios</t>
        </is>
      </c>
      <c r="B54" t="inlineStr">
        <is>
          <t>k6FracN10LB_mem20K_complexDSP_customSB_22nm.xml</t>
        </is>
      </c>
      <c r="C54" t="inlineStr">
        <is>
          <t>bwave_like.float.large.v</t>
        </is>
      </c>
      <c r="D54">
        <f>IF(OR('koios_ap'!H6=-1, 'koios_no_ap'!H6=-1), "", 'koios_ap'!F6/'koios_no_ap'!F6)</f>
        <v/>
      </c>
      <c r="E54">
        <f>IF(OR('koios_ap'!H6=-1, 'koios_no_ap'!H6=-1), "", 'koios_ap'!G6/'koios_no_ap'!G6)</f>
        <v/>
      </c>
      <c r="F54">
        <f>IF(OR('koios_ap'!H6=-1, 'koios_no_ap'!H6=-1), "", 'koios_ap'!H6/'koios_no_ap'!H6)</f>
        <v/>
      </c>
      <c r="G54">
        <f>IF(OR('koios_ap'!H6=-1, 'koios_no_ap'!H6=-1), "", 'koios_ap'!J6/'koios_no_ap'!J6)</f>
        <v/>
      </c>
      <c r="H54">
        <f>IF(OR('koios_ap'!H6=-1, 'koios_no_ap'!H6=-1), "", 'koios_ap'!K6/'koios_no_ap'!K6)</f>
        <v/>
      </c>
      <c r="I54">
        <f>IF(OR('koios_ap'!H6=-1, 'koios_no_ap'!H6=-1), "", 'koios_ap'!L6/'koios_no_ap'!L6)</f>
        <v/>
      </c>
      <c r="J54">
        <f>IF(OR('koios_ap'!H6=-1, 'koios_no_ap'!H6=-1), "", 'koios_ap'!AC6/'koios_no_ap'!AC6)</f>
        <v/>
      </c>
      <c r="K54">
        <f>IF(OR('koios_ap'!H6=-1, 'koios_no_ap'!H6=-1), "", 'koios_ap'!AD6/'koios_no_ap'!AD6)</f>
        <v/>
      </c>
    </row>
    <row r="55">
      <c r="A55" t="inlineStr">
        <is>
          <t>koios</t>
        </is>
      </c>
      <c r="B55" t="inlineStr">
        <is>
          <t>k6FracN10LB_mem20K_complexDSP_customSB_22nm.xml</t>
        </is>
      </c>
      <c r="C55" t="inlineStr">
        <is>
          <t>bwave_like.float.small.v</t>
        </is>
      </c>
      <c r="D55">
        <f>IF(OR('koios_ap'!H7=-1, 'koios_no_ap'!H7=-1), "", 'koios_ap'!F7/'koios_no_ap'!F7)</f>
        <v/>
      </c>
      <c r="E55">
        <f>IF(OR('koios_ap'!H7=-1, 'koios_no_ap'!H7=-1), "", 'koios_ap'!G7/'koios_no_ap'!G7)</f>
        <v/>
      </c>
      <c r="F55">
        <f>IF(OR('koios_ap'!H7=-1, 'koios_no_ap'!H7=-1), "", 'koios_ap'!H7/'koios_no_ap'!H7)</f>
        <v/>
      </c>
      <c r="G55">
        <f>IF(OR('koios_ap'!H7=-1, 'koios_no_ap'!H7=-1), "", 'koios_ap'!J7/'koios_no_ap'!J7)</f>
        <v/>
      </c>
      <c r="H55">
        <f>IF(OR('koios_ap'!H7=-1, 'koios_no_ap'!H7=-1), "", 'koios_ap'!K7/'koios_no_ap'!K7)</f>
        <v/>
      </c>
      <c r="I55">
        <f>IF(OR('koios_ap'!H7=-1, 'koios_no_ap'!H7=-1), "", 'koios_ap'!L7/'koios_no_ap'!L7)</f>
        <v/>
      </c>
      <c r="J55">
        <f>IF(OR('koios_ap'!H7=-1, 'koios_no_ap'!H7=-1), "", 'koios_ap'!AC7/'koios_no_ap'!AC7)</f>
        <v/>
      </c>
      <c r="K55">
        <f>IF(OR('koios_ap'!H7=-1, 'koios_no_ap'!H7=-1), "", 'koios_ap'!AD7/'koios_no_ap'!AD7)</f>
        <v/>
      </c>
    </row>
    <row r="56">
      <c r="A56" t="inlineStr">
        <is>
          <t>koios</t>
        </is>
      </c>
      <c r="B56" t="inlineStr">
        <is>
          <t>k6FracN10LB_mem20K_complexDSP_customSB_22nm.xml</t>
        </is>
      </c>
      <c r="C56" t="inlineStr">
        <is>
          <t>clstm_like.large.v</t>
        </is>
      </c>
      <c r="D56">
        <f>IF(OR('koios_ap'!H8=-1, 'koios_no_ap'!H8=-1), "", 'koios_ap'!F8/'koios_no_ap'!F8)</f>
        <v/>
      </c>
      <c r="E56">
        <f>IF(OR('koios_ap'!H8=-1, 'koios_no_ap'!H8=-1), "", 'koios_ap'!G8/'koios_no_ap'!G8)</f>
        <v/>
      </c>
      <c r="F56">
        <f>IF(OR('koios_ap'!H8=-1, 'koios_no_ap'!H8=-1), "", 'koios_ap'!H8/'koios_no_ap'!H8)</f>
        <v/>
      </c>
      <c r="G56">
        <f>IF(OR('koios_ap'!H8=-1, 'koios_no_ap'!H8=-1), "", 'koios_ap'!J8/'koios_no_ap'!J8)</f>
        <v/>
      </c>
      <c r="H56">
        <f>IF(OR('koios_ap'!H8=-1, 'koios_no_ap'!H8=-1), "", 'koios_ap'!K8/'koios_no_ap'!K8)</f>
        <v/>
      </c>
      <c r="I56">
        <f>IF(OR('koios_ap'!H8=-1, 'koios_no_ap'!H8=-1), "", 'koios_ap'!L8/'koios_no_ap'!L8)</f>
        <v/>
      </c>
      <c r="J56">
        <f>IF(OR('koios_ap'!H8=-1, 'koios_no_ap'!H8=-1), "", 'koios_ap'!AC8/'koios_no_ap'!AC8)</f>
        <v/>
      </c>
      <c r="K56">
        <f>IF(OR('koios_ap'!H8=-1, 'koios_no_ap'!H8=-1), "", 'koios_ap'!AD8/'koios_no_ap'!AD8)</f>
        <v/>
      </c>
    </row>
    <row r="57">
      <c r="A57" t="inlineStr">
        <is>
          <t>koios</t>
        </is>
      </c>
      <c r="B57" t="inlineStr">
        <is>
          <t>k6FracN10LB_mem20K_complexDSP_customSB_22nm.xml</t>
        </is>
      </c>
      <c r="C57" t="inlineStr">
        <is>
          <t>clstm_like.medium.v</t>
        </is>
      </c>
      <c r="D57">
        <f>IF(OR('koios_ap'!H9=-1, 'koios_no_ap'!H9=-1), "", 'koios_ap'!F9/'koios_no_ap'!F9)</f>
        <v/>
      </c>
      <c r="E57">
        <f>IF(OR('koios_ap'!H9=-1, 'koios_no_ap'!H9=-1), "", 'koios_ap'!G9/'koios_no_ap'!G9)</f>
        <v/>
      </c>
      <c r="F57">
        <f>IF(OR('koios_ap'!H9=-1, 'koios_no_ap'!H9=-1), "", 'koios_ap'!H9/'koios_no_ap'!H9)</f>
        <v/>
      </c>
      <c r="G57">
        <f>IF(OR('koios_ap'!H9=-1, 'koios_no_ap'!H9=-1), "", 'koios_ap'!J9/'koios_no_ap'!J9)</f>
        <v/>
      </c>
      <c r="H57">
        <f>IF(OR('koios_ap'!H9=-1, 'koios_no_ap'!H9=-1), "", 'koios_ap'!K9/'koios_no_ap'!K9)</f>
        <v/>
      </c>
      <c r="I57">
        <f>IF(OR('koios_ap'!H9=-1, 'koios_no_ap'!H9=-1), "", 'koios_ap'!L9/'koios_no_ap'!L9)</f>
        <v/>
      </c>
      <c r="J57">
        <f>IF(OR('koios_ap'!H9=-1, 'koios_no_ap'!H9=-1), "", 'koios_ap'!AC9/'koios_no_ap'!AC9)</f>
        <v/>
      </c>
      <c r="K57">
        <f>IF(OR('koios_ap'!H9=-1, 'koios_no_ap'!H9=-1), "", 'koios_ap'!AD9/'koios_no_ap'!AD9)</f>
        <v/>
      </c>
    </row>
    <row r="58">
      <c r="A58" t="inlineStr">
        <is>
          <t>koios</t>
        </is>
      </c>
      <c r="B58" t="inlineStr">
        <is>
          <t>k6FracN10LB_mem20K_complexDSP_customSB_22nm.xml</t>
        </is>
      </c>
      <c r="C58" t="inlineStr">
        <is>
          <t>clstm_like.small.v</t>
        </is>
      </c>
      <c r="D58">
        <f>IF(OR('koios_ap'!H10=-1, 'koios_no_ap'!H10=-1), "", 'koios_ap'!F10/'koios_no_ap'!F10)</f>
        <v/>
      </c>
      <c r="E58">
        <f>IF(OR('koios_ap'!H10=-1, 'koios_no_ap'!H10=-1), "", 'koios_ap'!G10/'koios_no_ap'!G10)</f>
        <v/>
      </c>
      <c r="F58">
        <f>IF(OR('koios_ap'!H10=-1, 'koios_no_ap'!H10=-1), "", 'koios_ap'!H10/'koios_no_ap'!H10)</f>
        <v/>
      </c>
      <c r="G58">
        <f>IF(OR('koios_ap'!H10=-1, 'koios_no_ap'!H10=-1), "", 'koios_ap'!J10/'koios_no_ap'!J10)</f>
        <v/>
      </c>
      <c r="H58">
        <f>IF(OR('koios_ap'!H10=-1, 'koios_no_ap'!H10=-1), "", 'koios_ap'!K10/'koios_no_ap'!K10)</f>
        <v/>
      </c>
      <c r="I58">
        <f>IF(OR('koios_ap'!H10=-1, 'koios_no_ap'!H10=-1), "", 'koios_ap'!L10/'koios_no_ap'!L10)</f>
        <v/>
      </c>
      <c r="J58">
        <f>IF(OR('koios_ap'!H10=-1, 'koios_no_ap'!H10=-1), "", 'koios_ap'!AC10/'koios_no_ap'!AC10)</f>
        <v/>
      </c>
      <c r="K58">
        <f>IF(OR('koios_ap'!H10=-1, 'koios_no_ap'!H10=-1), "", 'koios_ap'!AD10/'koios_no_ap'!AD10)</f>
        <v/>
      </c>
    </row>
    <row r="59">
      <c r="A59" t="inlineStr">
        <is>
          <t>koios</t>
        </is>
      </c>
      <c r="B59" t="inlineStr">
        <is>
          <t>k6FracN10LB_mem20K_complexDSP_customSB_22nm.xml</t>
        </is>
      </c>
      <c r="C59" t="inlineStr">
        <is>
          <t>conv_layer.v</t>
        </is>
      </c>
      <c r="D59">
        <f>IF(OR('koios_ap'!H11=-1, 'koios_no_ap'!H11=-1), "", 'koios_ap'!F11/'koios_no_ap'!F11)</f>
        <v/>
      </c>
      <c r="E59">
        <f>IF(OR('koios_ap'!H11=-1, 'koios_no_ap'!H11=-1), "", 'koios_ap'!G11/'koios_no_ap'!G11)</f>
        <v/>
      </c>
      <c r="F59">
        <f>IF(OR('koios_ap'!H11=-1, 'koios_no_ap'!H11=-1), "", 'koios_ap'!H11/'koios_no_ap'!H11)</f>
        <v/>
      </c>
      <c r="G59">
        <f>IF(OR('koios_ap'!H11=-1, 'koios_no_ap'!H11=-1), "", 'koios_ap'!J11/'koios_no_ap'!J11)</f>
        <v/>
      </c>
      <c r="H59">
        <f>IF(OR('koios_ap'!H11=-1, 'koios_no_ap'!H11=-1), "", 'koios_ap'!K11/'koios_no_ap'!K11)</f>
        <v/>
      </c>
      <c r="I59">
        <f>IF(OR('koios_ap'!H11=-1, 'koios_no_ap'!H11=-1), "", 'koios_ap'!L11/'koios_no_ap'!L11)</f>
        <v/>
      </c>
      <c r="J59">
        <f>IF(OR('koios_ap'!H11=-1, 'koios_no_ap'!H11=-1), "", 'koios_ap'!AC11/'koios_no_ap'!AC11)</f>
        <v/>
      </c>
      <c r="K59">
        <f>IF(OR('koios_ap'!H11=-1, 'koios_no_ap'!H11=-1), "", 'koios_ap'!AD11/'koios_no_ap'!AD11)</f>
        <v/>
      </c>
    </row>
    <row r="60">
      <c r="A60" t="inlineStr">
        <is>
          <t>koios</t>
        </is>
      </c>
      <c r="B60" t="inlineStr">
        <is>
          <t>k6FracN10LB_mem20K_complexDSP_customSB_22nm.xml</t>
        </is>
      </c>
      <c r="C60" t="inlineStr">
        <is>
          <t>conv_layer_hls.v</t>
        </is>
      </c>
      <c r="D60">
        <f>IF(OR('koios_ap'!H12=-1, 'koios_no_ap'!H12=-1), "", 'koios_ap'!F12/'koios_no_ap'!F12)</f>
        <v/>
      </c>
      <c r="E60">
        <f>IF(OR('koios_ap'!H12=-1, 'koios_no_ap'!H12=-1), "", 'koios_ap'!G12/'koios_no_ap'!G12)</f>
        <v/>
      </c>
      <c r="F60">
        <f>IF(OR('koios_ap'!H12=-1, 'koios_no_ap'!H12=-1), "", 'koios_ap'!H12/'koios_no_ap'!H12)</f>
        <v/>
      </c>
      <c r="G60">
        <f>IF(OR('koios_ap'!H12=-1, 'koios_no_ap'!H12=-1), "", 'koios_ap'!J12/'koios_no_ap'!J12)</f>
        <v/>
      </c>
      <c r="H60">
        <f>IF(OR('koios_ap'!H12=-1, 'koios_no_ap'!H12=-1), "", 'koios_ap'!K12/'koios_no_ap'!K12)</f>
        <v/>
      </c>
      <c r="I60">
        <f>IF(OR('koios_ap'!H12=-1, 'koios_no_ap'!H12=-1), "", 'koios_ap'!L12/'koios_no_ap'!L12)</f>
        <v/>
      </c>
      <c r="J60">
        <f>IF(OR('koios_ap'!H12=-1, 'koios_no_ap'!H12=-1), "", 'koios_ap'!AC12/'koios_no_ap'!AC12)</f>
        <v/>
      </c>
      <c r="K60">
        <f>IF(OR('koios_ap'!H12=-1, 'koios_no_ap'!H12=-1), "", 'koios_ap'!AD12/'koios_no_ap'!AD12)</f>
        <v/>
      </c>
    </row>
    <row r="61">
      <c r="A61" t="inlineStr">
        <is>
          <t>koios</t>
        </is>
      </c>
      <c r="B61" t="inlineStr">
        <is>
          <t>k6FracN10LB_mem20K_complexDSP_customSB_22nm.xml</t>
        </is>
      </c>
      <c r="C61" t="inlineStr">
        <is>
          <t>dla_like.large.v</t>
        </is>
      </c>
      <c r="D61">
        <f>IF(OR('koios_ap'!H13=-1, 'koios_no_ap'!H13=-1), "", 'koios_ap'!F13/'koios_no_ap'!F13)</f>
        <v/>
      </c>
      <c r="E61">
        <f>IF(OR('koios_ap'!H13=-1, 'koios_no_ap'!H13=-1), "", 'koios_ap'!G13/'koios_no_ap'!G13)</f>
        <v/>
      </c>
      <c r="F61">
        <f>IF(OR('koios_ap'!H13=-1, 'koios_no_ap'!H13=-1), "", 'koios_ap'!H13/'koios_no_ap'!H13)</f>
        <v/>
      </c>
      <c r="G61">
        <f>IF(OR('koios_ap'!H13=-1, 'koios_no_ap'!H13=-1), "", 'koios_ap'!J13/'koios_no_ap'!J13)</f>
        <v/>
      </c>
      <c r="H61">
        <f>IF(OR('koios_ap'!H13=-1, 'koios_no_ap'!H13=-1), "", 'koios_ap'!K13/'koios_no_ap'!K13)</f>
        <v/>
      </c>
      <c r="I61">
        <f>IF(OR('koios_ap'!H13=-1, 'koios_no_ap'!H13=-1), "", 'koios_ap'!L13/'koios_no_ap'!L13)</f>
        <v/>
      </c>
      <c r="J61">
        <f>IF(OR('koios_ap'!H13=-1, 'koios_no_ap'!H13=-1), "", 'koios_ap'!AC13/'koios_no_ap'!AC13)</f>
        <v/>
      </c>
      <c r="K61">
        <f>IF(OR('koios_ap'!H13=-1, 'koios_no_ap'!H13=-1), "", 'koios_ap'!AD13/'koios_no_ap'!AD13)</f>
        <v/>
      </c>
    </row>
    <row r="62">
      <c r="A62" t="inlineStr">
        <is>
          <t>koios</t>
        </is>
      </c>
      <c r="B62" t="inlineStr">
        <is>
          <t>k6FracN10LB_mem20K_complexDSP_customSB_22nm.xml</t>
        </is>
      </c>
      <c r="C62" t="inlineStr">
        <is>
          <t>dla_like.medium.v</t>
        </is>
      </c>
      <c r="D62">
        <f>IF(OR('koios_ap'!H14=-1, 'koios_no_ap'!H14=-1), "", 'koios_ap'!F14/'koios_no_ap'!F14)</f>
        <v/>
      </c>
      <c r="E62">
        <f>IF(OR('koios_ap'!H14=-1, 'koios_no_ap'!H14=-1), "", 'koios_ap'!G14/'koios_no_ap'!G14)</f>
        <v/>
      </c>
      <c r="F62">
        <f>IF(OR('koios_ap'!H14=-1, 'koios_no_ap'!H14=-1), "", 'koios_ap'!H14/'koios_no_ap'!H14)</f>
        <v/>
      </c>
      <c r="G62">
        <f>IF(OR('koios_ap'!H14=-1, 'koios_no_ap'!H14=-1), "", 'koios_ap'!J14/'koios_no_ap'!J14)</f>
        <v/>
      </c>
      <c r="H62">
        <f>IF(OR('koios_ap'!H14=-1, 'koios_no_ap'!H14=-1), "", 'koios_ap'!K14/'koios_no_ap'!K14)</f>
        <v/>
      </c>
      <c r="I62">
        <f>IF(OR('koios_ap'!H14=-1, 'koios_no_ap'!H14=-1), "", 'koios_ap'!L14/'koios_no_ap'!L14)</f>
        <v/>
      </c>
      <c r="J62">
        <f>IF(OR('koios_ap'!H14=-1, 'koios_no_ap'!H14=-1), "", 'koios_ap'!AC14/'koios_no_ap'!AC14)</f>
        <v/>
      </c>
      <c r="K62">
        <f>IF(OR('koios_ap'!H14=-1, 'koios_no_ap'!H14=-1), "", 'koios_ap'!AD14/'koios_no_ap'!AD14)</f>
        <v/>
      </c>
    </row>
    <row r="63">
      <c r="A63" t="inlineStr">
        <is>
          <t>koios</t>
        </is>
      </c>
      <c r="B63" t="inlineStr">
        <is>
          <t>k6FracN10LB_mem20K_complexDSP_customSB_22nm.xml</t>
        </is>
      </c>
      <c r="C63" t="inlineStr">
        <is>
          <t>dla_like.small.v</t>
        </is>
      </c>
      <c r="D63">
        <f>IF(OR('koios_ap'!H15=-1, 'koios_no_ap'!H15=-1), "", 'koios_ap'!F15/'koios_no_ap'!F15)</f>
        <v/>
      </c>
      <c r="E63">
        <f>IF(OR('koios_ap'!H15=-1, 'koios_no_ap'!H15=-1), "", 'koios_ap'!G15/'koios_no_ap'!G15)</f>
        <v/>
      </c>
      <c r="F63">
        <f>IF(OR('koios_ap'!H15=-1, 'koios_no_ap'!H15=-1), "", 'koios_ap'!H15/'koios_no_ap'!H15)</f>
        <v/>
      </c>
      <c r="G63">
        <f>IF(OR('koios_ap'!H15=-1, 'koios_no_ap'!H15=-1), "", 'koios_ap'!J15/'koios_no_ap'!J15)</f>
        <v/>
      </c>
      <c r="H63">
        <f>IF(OR('koios_ap'!H15=-1, 'koios_no_ap'!H15=-1), "", 'koios_ap'!K15/'koios_no_ap'!K15)</f>
        <v/>
      </c>
      <c r="I63">
        <f>IF(OR('koios_ap'!H15=-1, 'koios_no_ap'!H15=-1), "", 'koios_ap'!L15/'koios_no_ap'!L15)</f>
        <v/>
      </c>
      <c r="J63">
        <f>IF(OR('koios_ap'!H15=-1, 'koios_no_ap'!H15=-1), "", 'koios_ap'!AC15/'koios_no_ap'!AC15)</f>
        <v/>
      </c>
      <c r="K63">
        <f>IF(OR('koios_ap'!H15=-1, 'koios_no_ap'!H15=-1), "", 'koios_ap'!AD15/'koios_no_ap'!AD15)</f>
        <v/>
      </c>
    </row>
    <row r="64">
      <c r="A64" t="inlineStr">
        <is>
          <t>koios</t>
        </is>
      </c>
      <c r="B64" t="inlineStr">
        <is>
          <t>k6FracN10LB_mem20K_complexDSP_customSB_22nm.xml</t>
        </is>
      </c>
      <c r="C64" t="inlineStr">
        <is>
          <t>dnnweaver.v</t>
        </is>
      </c>
      <c r="D64">
        <f>IF(OR('koios_ap'!H16=-1, 'koios_no_ap'!H16=-1), "", 'koios_ap'!F16/'koios_no_ap'!F16)</f>
        <v/>
      </c>
      <c r="E64">
        <f>IF(OR('koios_ap'!H16=-1, 'koios_no_ap'!H16=-1), "", 'koios_ap'!G16/'koios_no_ap'!G16)</f>
        <v/>
      </c>
      <c r="F64">
        <f>IF(OR('koios_ap'!H16=-1, 'koios_no_ap'!H16=-1), "", 'koios_ap'!H16/'koios_no_ap'!H16)</f>
        <v/>
      </c>
      <c r="G64">
        <f>IF(OR('koios_ap'!H16=-1, 'koios_no_ap'!H16=-1), "", 'koios_ap'!J16/'koios_no_ap'!J16)</f>
        <v/>
      </c>
      <c r="H64">
        <f>IF(OR('koios_ap'!H16=-1, 'koios_no_ap'!H16=-1), "", 'koios_ap'!K16/'koios_no_ap'!K16)</f>
        <v/>
      </c>
      <c r="I64">
        <f>IF(OR('koios_ap'!H16=-1, 'koios_no_ap'!H16=-1), "", 'koios_ap'!L16/'koios_no_ap'!L16)</f>
        <v/>
      </c>
      <c r="J64">
        <f>IF(OR('koios_ap'!H16=-1, 'koios_no_ap'!H16=-1), "", 'koios_ap'!AC16/'koios_no_ap'!AC16)</f>
        <v/>
      </c>
      <c r="K64">
        <f>IF(OR('koios_ap'!H16=-1, 'koios_no_ap'!H16=-1), "", 'koios_ap'!AD16/'koios_no_ap'!AD16)</f>
        <v/>
      </c>
    </row>
    <row r="65">
      <c r="A65" t="inlineStr">
        <is>
          <t>koios</t>
        </is>
      </c>
      <c r="B65" t="inlineStr">
        <is>
          <t>k6FracN10LB_mem20K_complexDSP_customSB_22nm.xml</t>
        </is>
      </c>
      <c r="C65" t="inlineStr">
        <is>
          <t>eltwise_layer.v</t>
        </is>
      </c>
      <c r="D65">
        <f>IF(OR('koios_ap'!H17=-1, 'koios_no_ap'!H17=-1), "", 'koios_ap'!F17/'koios_no_ap'!F17)</f>
        <v/>
      </c>
      <c r="E65">
        <f>IF(OR('koios_ap'!H17=-1, 'koios_no_ap'!H17=-1), "", 'koios_ap'!G17/'koios_no_ap'!G17)</f>
        <v/>
      </c>
      <c r="F65">
        <f>IF(OR('koios_ap'!H17=-1, 'koios_no_ap'!H17=-1), "", 'koios_ap'!H17/'koios_no_ap'!H17)</f>
        <v/>
      </c>
      <c r="G65">
        <f>IF(OR('koios_ap'!H17=-1, 'koios_no_ap'!H17=-1), "", 'koios_ap'!J17/'koios_no_ap'!J17)</f>
        <v/>
      </c>
      <c r="H65">
        <f>IF(OR('koios_ap'!H17=-1, 'koios_no_ap'!H17=-1), "", 'koios_ap'!K17/'koios_no_ap'!K17)</f>
        <v/>
      </c>
      <c r="I65">
        <f>IF(OR('koios_ap'!H17=-1, 'koios_no_ap'!H17=-1), "", 'koios_ap'!L17/'koios_no_ap'!L17)</f>
        <v/>
      </c>
      <c r="J65">
        <f>IF(OR('koios_ap'!H17=-1, 'koios_no_ap'!H17=-1), "", 'koios_ap'!AC17/'koios_no_ap'!AC17)</f>
        <v/>
      </c>
      <c r="K65">
        <f>IF(OR('koios_ap'!H17=-1, 'koios_no_ap'!H17=-1), "", 'koios_ap'!AD17/'koios_no_ap'!AD17)</f>
        <v/>
      </c>
    </row>
    <row r="66">
      <c r="A66" t="inlineStr">
        <is>
          <t>koios</t>
        </is>
      </c>
      <c r="B66" t="inlineStr">
        <is>
          <t>k6FracN10LB_mem20K_complexDSP_customSB_22nm.xml</t>
        </is>
      </c>
      <c r="C66" t="inlineStr">
        <is>
          <t>gemm_layer.v</t>
        </is>
      </c>
      <c r="D66">
        <f>IF(OR('koios_ap'!H18=-1, 'koios_no_ap'!H18=-1), "", 'koios_ap'!F18/'koios_no_ap'!F18)</f>
        <v/>
      </c>
      <c r="E66">
        <f>IF(OR('koios_ap'!H18=-1, 'koios_no_ap'!H18=-1), "", 'koios_ap'!G18/'koios_no_ap'!G18)</f>
        <v/>
      </c>
      <c r="F66">
        <f>IF(OR('koios_ap'!H18=-1, 'koios_no_ap'!H18=-1), "", 'koios_ap'!H18/'koios_no_ap'!H18)</f>
        <v/>
      </c>
      <c r="G66">
        <f>IF(OR('koios_ap'!H18=-1, 'koios_no_ap'!H18=-1), "", 'koios_ap'!J18/'koios_no_ap'!J18)</f>
        <v/>
      </c>
      <c r="H66">
        <f>IF(OR('koios_ap'!H18=-1, 'koios_no_ap'!H18=-1), "", 'koios_ap'!K18/'koios_no_ap'!K18)</f>
        <v/>
      </c>
      <c r="I66">
        <f>IF(OR('koios_ap'!H18=-1, 'koios_no_ap'!H18=-1), "", 'koios_ap'!L18/'koios_no_ap'!L18)</f>
        <v/>
      </c>
      <c r="J66">
        <f>IF(OR('koios_ap'!H18=-1, 'koios_no_ap'!H18=-1), "", 'koios_ap'!AC18/'koios_no_ap'!AC18)</f>
        <v/>
      </c>
      <c r="K66">
        <f>IF(OR('koios_ap'!H18=-1, 'koios_no_ap'!H18=-1), "", 'koios_ap'!AD18/'koios_no_ap'!AD18)</f>
        <v/>
      </c>
    </row>
    <row r="67">
      <c r="A67" t="inlineStr">
        <is>
          <t>koios</t>
        </is>
      </c>
      <c r="B67" t="inlineStr">
        <is>
          <t>k6FracN10LB_mem20K_complexDSP_customSB_22nm.xml</t>
        </is>
      </c>
      <c r="C67" t="inlineStr">
        <is>
          <t>lenet.v</t>
        </is>
      </c>
      <c r="D67">
        <f>IF(OR('koios_ap'!H19=-1, 'koios_no_ap'!H19=-1), "", 'koios_ap'!F19/'koios_no_ap'!F19)</f>
        <v/>
      </c>
      <c r="E67">
        <f>IF(OR('koios_ap'!H19=-1, 'koios_no_ap'!H19=-1), "", 'koios_ap'!G19/'koios_no_ap'!G19)</f>
        <v/>
      </c>
      <c r="F67">
        <f>IF(OR('koios_ap'!H19=-1, 'koios_no_ap'!H19=-1), "", 'koios_ap'!H19/'koios_no_ap'!H19)</f>
        <v/>
      </c>
      <c r="G67">
        <f>IF(OR('koios_ap'!H19=-1, 'koios_no_ap'!H19=-1), "", 'koios_ap'!J19/'koios_no_ap'!J19)</f>
        <v/>
      </c>
      <c r="H67">
        <f>IF(OR('koios_ap'!H19=-1, 'koios_no_ap'!H19=-1), "", 'koios_ap'!K19/'koios_no_ap'!K19)</f>
        <v/>
      </c>
      <c r="I67">
        <f>IF(OR('koios_ap'!H19=-1, 'koios_no_ap'!H19=-1), "", 'koios_ap'!L19/'koios_no_ap'!L19)</f>
        <v/>
      </c>
      <c r="J67">
        <f>IF(OR('koios_ap'!H19=-1, 'koios_no_ap'!H19=-1), "", 'koios_ap'!AC19/'koios_no_ap'!AC19)</f>
        <v/>
      </c>
      <c r="K67">
        <f>IF(OR('koios_ap'!H19=-1, 'koios_no_ap'!H19=-1), "", 'koios_ap'!AD19/'koios_no_ap'!AD19)</f>
        <v/>
      </c>
    </row>
    <row r="68">
      <c r="A68" t="inlineStr">
        <is>
          <t>koios</t>
        </is>
      </c>
      <c r="B68" t="inlineStr">
        <is>
          <t>k6FracN10LB_mem20K_complexDSP_customSB_22nm.xml</t>
        </is>
      </c>
      <c r="C68" t="inlineStr">
        <is>
          <t>lstm.v</t>
        </is>
      </c>
      <c r="D68">
        <f>IF(OR('koios_ap'!H20=-1, 'koios_no_ap'!H20=-1), "", 'koios_ap'!F20/'koios_no_ap'!F20)</f>
        <v/>
      </c>
      <c r="E68">
        <f>IF(OR('koios_ap'!H20=-1, 'koios_no_ap'!H20=-1), "", 'koios_ap'!G20/'koios_no_ap'!G20)</f>
        <v/>
      </c>
      <c r="F68">
        <f>IF(OR('koios_ap'!H20=-1, 'koios_no_ap'!H20=-1), "", 'koios_ap'!H20/'koios_no_ap'!H20)</f>
        <v/>
      </c>
      <c r="G68">
        <f>IF(OR('koios_ap'!H20=-1, 'koios_no_ap'!H20=-1), "", 'koios_ap'!J20/'koios_no_ap'!J20)</f>
        <v/>
      </c>
      <c r="H68">
        <f>IF(OR('koios_ap'!H20=-1, 'koios_no_ap'!H20=-1), "", 'koios_ap'!K20/'koios_no_ap'!K20)</f>
        <v/>
      </c>
      <c r="I68">
        <f>IF(OR('koios_ap'!H20=-1, 'koios_no_ap'!H20=-1), "", 'koios_ap'!L20/'koios_no_ap'!L20)</f>
        <v/>
      </c>
      <c r="J68">
        <f>IF(OR('koios_ap'!H20=-1, 'koios_no_ap'!H20=-1), "", 'koios_ap'!AC20/'koios_no_ap'!AC20)</f>
        <v/>
      </c>
      <c r="K68">
        <f>IF(OR('koios_ap'!H20=-1, 'koios_no_ap'!H20=-1), "", 'koios_ap'!AD20/'koios_no_ap'!AD20)</f>
        <v/>
      </c>
    </row>
    <row r="69">
      <c r="A69" t="inlineStr">
        <is>
          <t>koios</t>
        </is>
      </c>
      <c r="B69" t="inlineStr">
        <is>
          <t>k6FracN10LB_mem20K_complexDSP_customSB_22nm.xml</t>
        </is>
      </c>
      <c r="C69" t="inlineStr">
        <is>
          <t>reduction_layer.v</t>
        </is>
      </c>
      <c r="D69">
        <f>IF(OR('koios_ap'!H21=-1, 'koios_no_ap'!H21=-1), "", 'koios_ap'!F21/'koios_no_ap'!F21)</f>
        <v/>
      </c>
      <c r="E69">
        <f>IF(OR('koios_ap'!H21=-1, 'koios_no_ap'!H21=-1), "", 'koios_ap'!G21/'koios_no_ap'!G21)</f>
        <v/>
      </c>
      <c r="F69">
        <f>IF(OR('koios_ap'!H21=-1, 'koios_no_ap'!H21=-1), "", 'koios_ap'!H21/'koios_no_ap'!H21)</f>
        <v/>
      </c>
      <c r="G69">
        <f>IF(OR('koios_ap'!H21=-1, 'koios_no_ap'!H21=-1), "", 'koios_ap'!J21/'koios_no_ap'!J21)</f>
        <v/>
      </c>
      <c r="H69">
        <f>IF(OR('koios_ap'!H21=-1, 'koios_no_ap'!H21=-1), "", 'koios_ap'!K21/'koios_no_ap'!K21)</f>
        <v/>
      </c>
      <c r="I69">
        <f>IF(OR('koios_ap'!H21=-1, 'koios_no_ap'!H21=-1), "", 'koios_ap'!L21/'koios_no_ap'!L21)</f>
        <v/>
      </c>
      <c r="J69">
        <f>IF(OR('koios_ap'!H21=-1, 'koios_no_ap'!H21=-1), "", 'koios_ap'!AC21/'koios_no_ap'!AC21)</f>
        <v/>
      </c>
      <c r="K69">
        <f>IF(OR('koios_ap'!H21=-1, 'koios_no_ap'!H21=-1), "", 'koios_ap'!AD21/'koios_no_ap'!AD21)</f>
        <v/>
      </c>
    </row>
    <row r="70">
      <c r="A70" t="inlineStr">
        <is>
          <t>koios</t>
        </is>
      </c>
      <c r="B70" t="inlineStr">
        <is>
          <t>k6FracN10LB_mem20K_complexDSP_customSB_22nm.xml</t>
        </is>
      </c>
      <c r="C70" t="inlineStr">
        <is>
          <t>robot_rl.v</t>
        </is>
      </c>
      <c r="D70">
        <f>IF(OR('koios_ap'!H22=-1, 'koios_no_ap'!H22=-1), "", 'koios_ap'!F22/'koios_no_ap'!F22)</f>
        <v/>
      </c>
      <c r="E70">
        <f>IF(OR('koios_ap'!H22=-1, 'koios_no_ap'!H22=-1), "", 'koios_ap'!G22/'koios_no_ap'!G22)</f>
        <v/>
      </c>
      <c r="F70">
        <f>IF(OR('koios_ap'!H22=-1, 'koios_no_ap'!H22=-1), "", 'koios_ap'!H22/'koios_no_ap'!H22)</f>
        <v/>
      </c>
      <c r="G70">
        <f>IF(OR('koios_ap'!H22=-1, 'koios_no_ap'!H22=-1), "", 'koios_ap'!J22/'koios_no_ap'!J22)</f>
        <v/>
      </c>
      <c r="H70">
        <f>IF(OR('koios_ap'!H22=-1, 'koios_no_ap'!H22=-1), "", 'koios_ap'!K22/'koios_no_ap'!K22)</f>
        <v/>
      </c>
      <c r="I70">
        <f>IF(OR('koios_ap'!H22=-1, 'koios_no_ap'!H22=-1), "", 'koios_ap'!L22/'koios_no_ap'!L22)</f>
        <v/>
      </c>
      <c r="J70">
        <f>IF(OR('koios_ap'!H22=-1, 'koios_no_ap'!H22=-1), "", 'koios_ap'!AC22/'koios_no_ap'!AC22)</f>
        <v/>
      </c>
      <c r="K70">
        <f>IF(OR('koios_ap'!H22=-1, 'koios_no_ap'!H22=-1), "", 'koios_ap'!AD22/'koios_no_ap'!AD22)</f>
        <v/>
      </c>
    </row>
    <row r="71">
      <c r="A71" t="inlineStr">
        <is>
          <t>koios</t>
        </is>
      </c>
      <c r="B71" t="inlineStr">
        <is>
          <t>k6FracN10LB_mem20K_complexDSP_customSB_22nm.xml</t>
        </is>
      </c>
      <c r="C71" t="inlineStr">
        <is>
          <t>softmax.v</t>
        </is>
      </c>
      <c r="D71">
        <f>IF(OR('koios_ap'!H23=-1, 'koios_no_ap'!H23=-1), "", 'koios_ap'!F23/'koios_no_ap'!F23)</f>
        <v/>
      </c>
      <c r="E71">
        <f>IF(OR('koios_ap'!H23=-1, 'koios_no_ap'!H23=-1), "", 'koios_ap'!G23/'koios_no_ap'!G23)</f>
        <v/>
      </c>
      <c r="F71">
        <f>IF(OR('koios_ap'!H23=-1, 'koios_no_ap'!H23=-1), "", 'koios_ap'!H23/'koios_no_ap'!H23)</f>
        <v/>
      </c>
      <c r="G71">
        <f>IF(OR('koios_ap'!H23=-1, 'koios_no_ap'!H23=-1), "", 'koios_ap'!J23/'koios_no_ap'!J23)</f>
        <v/>
      </c>
      <c r="H71">
        <f>IF(OR('koios_ap'!H23=-1, 'koios_no_ap'!H23=-1), "", 'koios_ap'!K23/'koios_no_ap'!K23)</f>
        <v/>
      </c>
      <c r="I71">
        <f>IF(OR('koios_ap'!H23=-1, 'koios_no_ap'!H23=-1), "", 'koios_ap'!L23/'koios_no_ap'!L23)</f>
        <v/>
      </c>
      <c r="J71">
        <f>IF(OR('koios_ap'!H23=-1, 'koios_no_ap'!H23=-1), "", 'koios_ap'!AC23/'koios_no_ap'!AC23)</f>
        <v/>
      </c>
      <c r="K71">
        <f>IF(OR('koios_ap'!H23=-1, 'koios_no_ap'!H23=-1), "", 'koios_ap'!AD23/'koios_no_ap'!AD23)</f>
        <v/>
      </c>
    </row>
    <row r="72">
      <c r="A72" t="inlineStr">
        <is>
          <t>koios</t>
        </is>
      </c>
      <c r="B72" t="inlineStr">
        <is>
          <t>k6FracN10LB_mem20K_complexDSP_customSB_22nm.xml</t>
        </is>
      </c>
      <c r="C72" t="inlineStr">
        <is>
          <t>spmv.v</t>
        </is>
      </c>
      <c r="D72">
        <f>IF(OR('koios_ap'!H24=-1, 'koios_no_ap'!H24=-1), "", 'koios_ap'!F24/'koios_no_ap'!F24)</f>
        <v/>
      </c>
      <c r="E72">
        <f>IF(OR('koios_ap'!H24=-1, 'koios_no_ap'!H24=-1), "", 'koios_ap'!G24/'koios_no_ap'!G24)</f>
        <v/>
      </c>
      <c r="F72">
        <f>IF(OR('koios_ap'!H24=-1, 'koios_no_ap'!H24=-1), "", 'koios_ap'!H24/'koios_no_ap'!H24)</f>
        <v/>
      </c>
      <c r="G72">
        <f>IF(OR('koios_ap'!H24=-1, 'koios_no_ap'!H24=-1), "", 'koios_ap'!J24/'koios_no_ap'!J24)</f>
        <v/>
      </c>
      <c r="H72">
        <f>IF(OR('koios_ap'!H24=-1, 'koios_no_ap'!H24=-1), "", 'koios_ap'!K24/'koios_no_ap'!K24)</f>
        <v/>
      </c>
      <c r="I72">
        <f>IF(OR('koios_ap'!H24=-1, 'koios_no_ap'!H24=-1), "", 'koios_ap'!L24/'koios_no_ap'!L24)</f>
        <v/>
      </c>
      <c r="J72">
        <f>IF(OR('koios_ap'!H24=-1, 'koios_no_ap'!H24=-1), "", 'koios_ap'!AC24/'koios_no_ap'!AC24)</f>
        <v/>
      </c>
      <c r="K72">
        <f>IF(OR('koios_ap'!H24=-1, 'koios_no_ap'!H24=-1), "", 'koios_ap'!AD24/'koios_no_ap'!AD24)</f>
        <v/>
      </c>
    </row>
    <row r="73">
      <c r="A73" t="inlineStr">
        <is>
          <t>koios</t>
        </is>
      </c>
      <c r="B73" t="inlineStr">
        <is>
          <t>k6FracN10LB_mem20K_complexDSP_customSB_22nm.xml</t>
        </is>
      </c>
      <c r="C73" t="inlineStr">
        <is>
          <t>tdarknet_like.large.v</t>
        </is>
      </c>
      <c r="D73">
        <f>IF(OR('koios_ap'!H25=-1, 'koios_no_ap'!H25=-1), "", 'koios_ap'!F25/'koios_no_ap'!F25)</f>
        <v/>
      </c>
      <c r="E73">
        <f>IF(OR('koios_ap'!H25=-1, 'koios_no_ap'!H25=-1), "", 'koios_ap'!G25/'koios_no_ap'!G25)</f>
        <v/>
      </c>
      <c r="F73">
        <f>IF(OR('koios_ap'!H25=-1, 'koios_no_ap'!H25=-1), "", 'koios_ap'!H25/'koios_no_ap'!H25)</f>
        <v/>
      </c>
      <c r="G73">
        <f>IF(OR('koios_ap'!H25=-1, 'koios_no_ap'!H25=-1), "", 'koios_ap'!J25/'koios_no_ap'!J25)</f>
        <v/>
      </c>
      <c r="H73">
        <f>IF(OR('koios_ap'!H25=-1, 'koios_no_ap'!H25=-1), "", 'koios_ap'!K25/'koios_no_ap'!K25)</f>
        <v/>
      </c>
      <c r="I73">
        <f>IF(OR('koios_ap'!H25=-1, 'koios_no_ap'!H25=-1), "", 'koios_ap'!L25/'koios_no_ap'!L25)</f>
        <v/>
      </c>
      <c r="J73">
        <f>IF(OR('koios_ap'!H25=-1, 'koios_no_ap'!H25=-1), "", 'koios_ap'!AC25/'koios_no_ap'!AC25)</f>
        <v/>
      </c>
      <c r="K73">
        <f>IF(OR('koios_ap'!H25=-1, 'koios_no_ap'!H25=-1), "", 'koios_ap'!AD25/'koios_no_ap'!AD25)</f>
        <v/>
      </c>
    </row>
    <row r="74">
      <c r="A74" t="inlineStr">
        <is>
          <t>koios</t>
        </is>
      </c>
      <c r="B74" t="inlineStr">
        <is>
          <t>k6FracN10LB_mem20K_complexDSP_customSB_22nm.xml</t>
        </is>
      </c>
      <c r="C74" t="inlineStr">
        <is>
          <t>tdarknet_like.small.v</t>
        </is>
      </c>
      <c r="D74">
        <f>IF(OR('koios_ap'!H26=-1, 'koios_no_ap'!H26=-1), "", 'koios_ap'!F26/'koios_no_ap'!F26)</f>
        <v/>
      </c>
      <c r="E74">
        <f>IF(OR('koios_ap'!H26=-1, 'koios_no_ap'!H26=-1), "", 'koios_ap'!G26/'koios_no_ap'!G26)</f>
        <v/>
      </c>
      <c r="F74">
        <f>IF(OR('koios_ap'!H26=-1, 'koios_no_ap'!H26=-1), "", 'koios_ap'!H26/'koios_no_ap'!H26)</f>
        <v/>
      </c>
      <c r="G74">
        <f>IF(OR('koios_ap'!H26=-1, 'koios_no_ap'!H26=-1), "", 'koios_ap'!J26/'koios_no_ap'!J26)</f>
        <v/>
      </c>
      <c r="H74">
        <f>IF(OR('koios_ap'!H26=-1, 'koios_no_ap'!H26=-1), "", 'koios_ap'!K26/'koios_no_ap'!K26)</f>
        <v/>
      </c>
      <c r="I74">
        <f>IF(OR('koios_ap'!H26=-1, 'koios_no_ap'!H26=-1), "", 'koios_ap'!L26/'koios_no_ap'!L26)</f>
        <v/>
      </c>
      <c r="J74">
        <f>IF(OR('koios_ap'!H26=-1, 'koios_no_ap'!H26=-1), "", 'koios_ap'!AC26/'koios_no_ap'!AC26)</f>
        <v/>
      </c>
      <c r="K74">
        <f>IF(OR('koios_ap'!H26=-1, 'koios_no_ap'!H26=-1), "", 'koios_ap'!AD26/'koios_no_ap'!AD26)</f>
        <v/>
      </c>
    </row>
    <row r="75">
      <c r="A75" t="inlineStr">
        <is>
          <t>koios</t>
        </is>
      </c>
      <c r="B75" t="inlineStr">
        <is>
          <t>k6FracN10LB_mem20K_complexDSP_customSB_22nm.xml</t>
        </is>
      </c>
      <c r="C75" t="inlineStr">
        <is>
          <t>tpu_like.large.os.v</t>
        </is>
      </c>
      <c r="D75">
        <f>IF(OR('koios_ap'!H27=-1, 'koios_no_ap'!H27=-1), "", 'koios_ap'!F27/'koios_no_ap'!F27)</f>
        <v/>
      </c>
      <c r="E75">
        <f>IF(OR('koios_ap'!H27=-1, 'koios_no_ap'!H27=-1), "", 'koios_ap'!G27/'koios_no_ap'!G27)</f>
        <v/>
      </c>
      <c r="F75">
        <f>IF(OR('koios_ap'!H27=-1, 'koios_no_ap'!H27=-1), "", 'koios_ap'!H27/'koios_no_ap'!H27)</f>
        <v/>
      </c>
      <c r="G75">
        <f>IF(OR('koios_ap'!H27=-1, 'koios_no_ap'!H27=-1), "", 'koios_ap'!J27/'koios_no_ap'!J27)</f>
        <v/>
      </c>
      <c r="H75">
        <f>IF(OR('koios_ap'!H27=-1, 'koios_no_ap'!H27=-1), "", 'koios_ap'!K27/'koios_no_ap'!K27)</f>
        <v/>
      </c>
      <c r="I75">
        <f>IF(OR('koios_ap'!H27=-1, 'koios_no_ap'!H27=-1), "", 'koios_ap'!L27/'koios_no_ap'!L27)</f>
        <v/>
      </c>
      <c r="J75">
        <f>IF(OR('koios_ap'!H27=-1, 'koios_no_ap'!H27=-1), "", 'koios_ap'!AC27/'koios_no_ap'!AC27)</f>
        <v/>
      </c>
      <c r="K75">
        <f>IF(OR('koios_ap'!H27=-1, 'koios_no_ap'!H27=-1), "", 'koios_ap'!AD27/'koios_no_ap'!AD27)</f>
        <v/>
      </c>
    </row>
    <row r="76">
      <c r="A76" t="inlineStr">
        <is>
          <t>koios</t>
        </is>
      </c>
      <c r="B76" t="inlineStr">
        <is>
          <t>k6FracN10LB_mem20K_complexDSP_customSB_22nm.xml</t>
        </is>
      </c>
      <c r="C76" t="inlineStr">
        <is>
          <t>tpu_like.large.ws.v</t>
        </is>
      </c>
      <c r="D76">
        <f>IF(OR('koios_ap'!H28=-1, 'koios_no_ap'!H28=-1), "", 'koios_ap'!F28/'koios_no_ap'!F28)</f>
        <v/>
      </c>
      <c r="E76">
        <f>IF(OR('koios_ap'!H28=-1, 'koios_no_ap'!H28=-1), "", 'koios_ap'!G28/'koios_no_ap'!G28)</f>
        <v/>
      </c>
      <c r="F76">
        <f>IF(OR('koios_ap'!H28=-1, 'koios_no_ap'!H28=-1), "", 'koios_ap'!H28/'koios_no_ap'!H28)</f>
        <v/>
      </c>
      <c r="G76">
        <f>IF(OR('koios_ap'!H28=-1, 'koios_no_ap'!H28=-1), "", 'koios_ap'!J28/'koios_no_ap'!J28)</f>
        <v/>
      </c>
      <c r="H76">
        <f>IF(OR('koios_ap'!H28=-1, 'koios_no_ap'!H28=-1), "", 'koios_ap'!K28/'koios_no_ap'!K28)</f>
        <v/>
      </c>
      <c r="I76">
        <f>IF(OR('koios_ap'!H28=-1, 'koios_no_ap'!H28=-1), "", 'koios_ap'!L28/'koios_no_ap'!L28)</f>
        <v/>
      </c>
      <c r="J76">
        <f>IF(OR('koios_ap'!H28=-1, 'koios_no_ap'!H28=-1), "", 'koios_ap'!AC28/'koios_no_ap'!AC28)</f>
        <v/>
      </c>
      <c r="K76">
        <f>IF(OR('koios_ap'!H28=-1, 'koios_no_ap'!H28=-1), "", 'koios_ap'!AD28/'koios_no_ap'!AD28)</f>
        <v/>
      </c>
    </row>
    <row r="77">
      <c r="A77" t="inlineStr">
        <is>
          <t>koios</t>
        </is>
      </c>
      <c r="B77" t="inlineStr">
        <is>
          <t>k6FracN10LB_mem20K_complexDSP_customSB_22nm.xml</t>
        </is>
      </c>
      <c r="C77" t="inlineStr">
        <is>
          <t>tpu_like.small.os.v</t>
        </is>
      </c>
      <c r="D77">
        <f>IF(OR('koios_ap'!H29=-1, 'koios_no_ap'!H29=-1), "", 'koios_ap'!F29/'koios_no_ap'!F29)</f>
        <v/>
      </c>
      <c r="E77">
        <f>IF(OR('koios_ap'!H29=-1, 'koios_no_ap'!H29=-1), "", 'koios_ap'!G29/'koios_no_ap'!G29)</f>
        <v/>
      </c>
      <c r="F77">
        <f>IF(OR('koios_ap'!H29=-1, 'koios_no_ap'!H29=-1), "", 'koios_ap'!H29/'koios_no_ap'!H29)</f>
        <v/>
      </c>
      <c r="G77">
        <f>IF(OR('koios_ap'!H29=-1, 'koios_no_ap'!H29=-1), "", 'koios_ap'!J29/'koios_no_ap'!J29)</f>
        <v/>
      </c>
      <c r="H77">
        <f>IF(OR('koios_ap'!H29=-1, 'koios_no_ap'!H29=-1), "", 'koios_ap'!K29/'koios_no_ap'!K29)</f>
        <v/>
      </c>
      <c r="I77">
        <f>IF(OR('koios_ap'!H29=-1, 'koios_no_ap'!H29=-1), "", 'koios_ap'!L29/'koios_no_ap'!L29)</f>
        <v/>
      </c>
      <c r="J77">
        <f>IF(OR('koios_ap'!H29=-1, 'koios_no_ap'!H29=-1), "", 'koios_ap'!AC29/'koios_no_ap'!AC29)</f>
        <v/>
      </c>
      <c r="K77">
        <f>IF(OR('koios_ap'!H29=-1, 'koios_no_ap'!H29=-1), "", 'koios_ap'!AD29/'koios_no_ap'!AD29)</f>
        <v/>
      </c>
    </row>
    <row r="78">
      <c r="A78" t="inlineStr">
        <is>
          <t>koios</t>
        </is>
      </c>
      <c r="B78" t="inlineStr">
        <is>
          <t>k6FracN10LB_mem20K_complexDSP_customSB_22nm.xml</t>
        </is>
      </c>
      <c r="C78" t="inlineStr">
        <is>
          <t>tpu_like.small.ws.v</t>
        </is>
      </c>
      <c r="D78">
        <f>IF(OR('koios_ap'!H30=-1, 'koios_no_ap'!H30=-1), "", 'koios_ap'!F30/'koios_no_ap'!F30)</f>
        <v/>
      </c>
      <c r="E78">
        <f>IF(OR('koios_ap'!H30=-1, 'koios_no_ap'!H30=-1), "", 'koios_ap'!G30/'koios_no_ap'!G30)</f>
        <v/>
      </c>
      <c r="F78">
        <f>IF(OR('koios_ap'!H30=-1, 'koios_no_ap'!H30=-1), "", 'koios_ap'!H30/'koios_no_ap'!H30)</f>
        <v/>
      </c>
      <c r="G78">
        <f>IF(OR('koios_ap'!H30=-1, 'koios_no_ap'!H30=-1), "", 'koios_ap'!J30/'koios_no_ap'!J30)</f>
        <v/>
      </c>
      <c r="H78">
        <f>IF(OR('koios_ap'!H30=-1, 'koios_no_ap'!H30=-1), "", 'koios_ap'!K30/'koios_no_ap'!K30)</f>
        <v/>
      </c>
      <c r="I78">
        <f>IF(OR('koios_ap'!H30=-1, 'koios_no_ap'!H30=-1), "", 'koios_ap'!L30/'koios_no_ap'!L30)</f>
        <v/>
      </c>
      <c r="J78">
        <f>IF(OR('koios_ap'!H30=-1, 'koios_no_ap'!H30=-1), "", 'koios_ap'!AC30/'koios_no_ap'!AC30)</f>
        <v/>
      </c>
      <c r="K78">
        <f>IF(OR('koios_ap'!H30=-1, 'koios_no_ap'!H30=-1), "", 'koios_ap'!AD30/'koios_no_ap'!AD30)</f>
        <v/>
      </c>
    </row>
    <row r="79">
      <c r="A79" t="inlineStr">
        <is>
          <t>koios</t>
        </is>
      </c>
      <c r="B79" t="inlineStr"/>
      <c r="C79" t="inlineStr">
        <is>
          <t>GEOMEAN</t>
        </is>
      </c>
      <c r="D79">
        <f>GEOMEAN(D50:D78)</f>
        <v/>
      </c>
      <c r="E79">
        <f>GEOMEAN(E50:E78)</f>
        <v/>
      </c>
      <c r="F79">
        <f>GEOMEAN(F50:F78)</f>
        <v/>
      </c>
      <c r="G79">
        <f>GEOMEAN(G50:G78)</f>
        <v/>
      </c>
      <c r="H79">
        <f>GEOMEAN(H50:H78)</f>
        <v/>
      </c>
      <c r="I79">
        <f>GEOMEAN(I50:I78)</f>
        <v/>
      </c>
      <c r="J79">
        <f>GEOMEAN(J50:J78)</f>
        <v/>
      </c>
      <c r="K79">
        <f>GEOMEAN(K50:K78)</f>
        <v/>
      </c>
    </row>
    <row r="80">
      <c r="A80" t="inlineStr">
        <is>
          <t>koios</t>
        </is>
      </c>
      <c r="B80" t="inlineStr"/>
      <c r="C80" t="inlineStr">
        <is>
          <t>UNROUTES</t>
        </is>
      </c>
      <c r="D80">
        <f>29 - COUNT(F50:F78)</f>
        <v/>
      </c>
    </row>
    <row r="81">
      <c r="A81" t="inlineStr"/>
    </row>
    <row r="82">
      <c r="A82" t="inlineStr">
        <is>
          <t>titanium_s10</t>
        </is>
      </c>
      <c r="B82" t="inlineStr">
        <is>
          <t>stratix10_arch.timing.xml</t>
        </is>
      </c>
      <c r="C82" t="inlineStr">
        <is>
          <t>ASU_LRN_stratix10_arch_timing.blif</t>
        </is>
      </c>
      <c r="D82">
        <f>IF(OR('titanium_s10_ap'!H2=-1, 'titanium_s10_no_ap'!H2=-1), "", 'titanium_s10_ap'!F2/'titanium_s10_no_ap'!F2)</f>
        <v/>
      </c>
      <c r="E82">
        <f>IF(OR('titanium_s10_ap'!H2=-1, 'titanium_s10_no_ap'!H2=-1), "", 'titanium_s10_ap'!G2/'titanium_s10_no_ap'!G2)</f>
        <v/>
      </c>
      <c r="F82">
        <f>IF(OR('titanium_s10_ap'!H2=-1, 'titanium_s10_no_ap'!H2=-1), "", 'titanium_s10_ap'!H2/'titanium_s10_no_ap'!H2)</f>
        <v/>
      </c>
      <c r="G82">
        <f>IF(OR('titanium_s10_ap'!H2=-1, 'titanium_s10_no_ap'!H2=-1), "", 'titanium_s10_ap'!J2/'titanium_s10_no_ap'!J2)</f>
        <v/>
      </c>
      <c r="H82">
        <f>IF(OR('titanium_s10_ap'!H2=-1, 'titanium_s10_no_ap'!H2=-1), "", 'titanium_s10_ap'!K2/'titanium_s10_no_ap'!K2)</f>
        <v/>
      </c>
      <c r="I82">
        <f>IF(OR('titanium_s10_ap'!H2=-1, 'titanium_s10_no_ap'!H2=-1), "", 'titanium_s10_ap'!L2/'titanium_s10_no_ap'!L2)</f>
        <v/>
      </c>
      <c r="J82">
        <f>IF(OR('titanium_s10_ap'!H2=-1, 'titanium_s10_no_ap'!H2=-1), "", 'titanium_s10_ap'!AC2/'titanium_s10_no_ap'!AC2)</f>
        <v/>
      </c>
      <c r="K82">
        <f>IF(OR('titanium_s10_ap'!H2=-1, 'titanium_s10_no_ap'!H2=-1), "", 'titanium_s10_ap'!AD2/'titanium_s10_no_ap'!AD2)</f>
        <v/>
      </c>
    </row>
    <row r="83">
      <c r="A83" t="inlineStr">
        <is>
          <t>titanium_s10</t>
        </is>
      </c>
      <c r="B83" t="inlineStr">
        <is>
          <t>stratix10_arch.timing.xml</t>
        </is>
      </c>
      <c r="C83" t="inlineStr">
        <is>
          <t>ChainNN_LRN_LG_stratix10_arch_timing.blif</t>
        </is>
      </c>
      <c r="D83">
        <f>IF(OR('titanium_s10_ap'!H3=-1, 'titanium_s10_no_ap'!H3=-1), "", 'titanium_s10_ap'!F3/'titanium_s10_no_ap'!F3)</f>
        <v/>
      </c>
      <c r="E83">
        <f>IF(OR('titanium_s10_ap'!H3=-1, 'titanium_s10_no_ap'!H3=-1), "", 'titanium_s10_ap'!G3/'titanium_s10_no_ap'!G3)</f>
        <v/>
      </c>
      <c r="F83">
        <f>IF(OR('titanium_s10_ap'!H3=-1, 'titanium_s10_no_ap'!H3=-1), "", 'titanium_s10_ap'!H3/'titanium_s10_no_ap'!H3)</f>
        <v/>
      </c>
      <c r="G83">
        <f>IF(OR('titanium_s10_ap'!H3=-1, 'titanium_s10_no_ap'!H3=-1), "", 'titanium_s10_ap'!J3/'titanium_s10_no_ap'!J3)</f>
        <v/>
      </c>
      <c r="H83">
        <f>IF(OR('titanium_s10_ap'!H3=-1, 'titanium_s10_no_ap'!H3=-1), "", 'titanium_s10_ap'!K3/'titanium_s10_no_ap'!K3)</f>
        <v/>
      </c>
      <c r="I83">
        <f>IF(OR('titanium_s10_ap'!H3=-1, 'titanium_s10_no_ap'!H3=-1), "", 'titanium_s10_ap'!L3/'titanium_s10_no_ap'!L3)</f>
        <v/>
      </c>
      <c r="J83">
        <f>IF(OR('titanium_s10_ap'!H3=-1, 'titanium_s10_no_ap'!H3=-1), "", 'titanium_s10_ap'!AC3/'titanium_s10_no_ap'!AC3)</f>
        <v/>
      </c>
      <c r="K83">
        <f>IF(OR('titanium_s10_ap'!H3=-1, 'titanium_s10_no_ap'!H3=-1), "", 'titanium_s10_ap'!AD3/'titanium_s10_no_ap'!AD3)</f>
        <v/>
      </c>
    </row>
    <row r="84">
      <c r="A84" t="inlineStr">
        <is>
          <t>titanium_s10</t>
        </is>
      </c>
      <c r="B84" t="inlineStr">
        <is>
          <t>stratix10_arch.timing.xml</t>
        </is>
      </c>
      <c r="C84" t="inlineStr">
        <is>
          <t>ChainNN_ELT_LG_stratix10_arch_timing.blif</t>
        </is>
      </c>
      <c r="D84">
        <f>IF(OR('titanium_s10_ap'!H4=-1, 'titanium_s10_no_ap'!H4=-1), "", 'titanium_s10_ap'!F4/'titanium_s10_no_ap'!F4)</f>
        <v/>
      </c>
      <c r="E84">
        <f>IF(OR('titanium_s10_ap'!H4=-1, 'titanium_s10_no_ap'!H4=-1), "", 'titanium_s10_ap'!G4/'titanium_s10_no_ap'!G4)</f>
        <v/>
      </c>
      <c r="F84">
        <f>IF(OR('titanium_s10_ap'!H4=-1, 'titanium_s10_no_ap'!H4=-1), "", 'titanium_s10_ap'!H4/'titanium_s10_no_ap'!H4)</f>
        <v/>
      </c>
      <c r="G84">
        <f>IF(OR('titanium_s10_ap'!H4=-1, 'titanium_s10_no_ap'!H4=-1), "", 'titanium_s10_ap'!J4/'titanium_s10_no_ap'!J4)</f>
        <v/>
      </c>
      <c r="H84">
        <f>IF(OR('titanium_s10_ap'!H4=-1, 'titanium_s10_no_ap'!H4=-1), "", 'titanium_s10_ap'!K4/'titanium_s10_no_ap'!K4)</f>
        <v/>
      </c>
      <c r="I84">
        <f>IF(OR('titanium_s10_ap'!H4=-1, 'titanium_s10_no_ap'!H4=-1), "", 'titanium_s10_ap'!L4/'titanium_s10_no_ap'!L4)</f>
        <v/>
      </c>
      <c r="J84">
        <f>IF(OR('titanium_s10_ap'!H4=-1, 'titanium_s10_no_ap'!H4=-1), "", 'titanium_s10_ap'!AC4/'titanium_s10_no_ap'!AC4)</f>
        <v/>
      </c>
      <c r="K84">
        <f>IF(OR('titanium_s10_ap'!H4=-1, 'titanium_s10_no_ap'!H4=-1), "", 'titanium_s10_ap'!AD4/'titanium_s10_no_ap'!AD4)</f>
        <v/>
      </c>
    </row>
    <row r="85">
      <c r="A85" t="inlineStr">
        <is>
          <t>titanium_s10</t>
        </is>
      </c>
      <c r="B85" t="inlineStr">
        <is>
          <t>stratix10_arch.timing.xml</t>
        </is>
      </c>
      <c r="C85" t="inlineStr">
        <is>
          <t>ChainNN_BSC_LG_stratix10_arch_timing.blif</t>
        </is>
      </c>
      <c r="D85">
        <f>IF(OR('titanium_s10_ap'!H5=-1, 'titanium_s10_no_ap'!H5=-1), "", 'titanium_s10_ap'!F5/'titanium_s10_no_ap'!F5)</f>
        <v/>
      </c>
      <c r="E85">
        <f>IF(OR('titanium_s10_ap'!H5=-1, 'titanium_s10_no_ap'!H5=-1), "", 'titanium_s10_ap'!G5/'titanium_s10_no_ap'!G5)</f>
        <v/>
      </c>
      <c r="F85">
        <f>IF(OR('titanium_s10_ap'!H5=-1, 'titanium_s10_no_ap'!H5=-1), "", 'titanium_s10_ap'!H5/'titanium_s10_no_ap'!H5)</f>
        <v/>
      </c>
      <c r="G85">
        <f>IF(OR('titanium_s10_ap'!H5=-1, 'titanium_s10_no_ap'!H5=-1), "", 'titanium_s10_ap'!J5/'titanium_s10_no_ap'!J5)</f>
        <v/>
      </c>
      <c r="H85">
        <f>IF(OR('titanium_s10_ap'!H5=-1, 'titanium_s10_no_ap'!H5=-1), "", 'titanium_s10_ap'!K5/'titanium_s10_no_ap'!K5)</f>
        <v/>
      </c>
      <c r="I85">
        <f>IF(OR('titanium_s10_ap'!H5=-1, 'titanium_s10_no_ap'!H5=-1), "", 'titanium_s10_ap'!L5/'titanium_s10_no_ap'!L5)</f>
        <v/>
      </c>
      <c r="J85">
        <f>IF(OR('titanium_s10_ap'!H5=-1, 'titanium_s10_no_ap'!H5=-1), "", 'titanium_s10_ap'!AC5/'titanium_s10_no_ap'!AC5)</f>
        <v/>
      </c>
      <c r="K85">
        <f>IF(OR('titanium_s10_ap'!H5=-1, 'titanium_s10_no_ap'!H5=-1), "", 'titanium_s10_ap'!AD5/'titanium_s10_no_ap'!AD5)</f>
        <v/>
      </c>
    </row>
    <row r="86">
      <c r="A86" t="inlineStr">
        <is>
          <t>titanium_s10</t>
        </is>
      </c>
      <c r="B86" t="inlineStr">
        <is>
          <t>stratix10_arch.timing.xml</t>
        </is>
      </c>
      <c r="C86" t="inlineStr">
        <is>
          <t>rocket17_stratix10_arch_timing.blif</t>
        </is>
      </c>
      <c r="D86">
        <f>IF(OR('titanium_s10_ap'!H6=-1, 'titanium_s10_no_ap'!H6=-1), "", 'titanium_s10_ap'!F6/'titanium_s10_no_ap'!F6)</f>
        <v/>
      </c>
      <c r="E86">
        <f>IF(OR('titanium_s10_ap'!H6=-1, 'titanium_s10_no_ap'!H6=-1), "", 'titanium_s10_ap'!G6/'titanium_s10_no_ap'!G6)</f>
        <v/>
      </c>
      <c r="F86">
        <f>IF(OR('titanium_s10_ap'!H6=-1, 'titanium_s10_no_ap'!H6=-1), "", 'titanium_s10_ap'!H6/'titanium_s10_no_ap'!H6)</f>
        <v/>
      </c>
      <c r="G86">
        <f>IF(OR('titanium_s10_ap'!H6=-1, 'titanium_s10_no_ap'!H6=-1), "", 'titanium_s10_ap'!J6/'titanium_s10_no_ap'!J6)</f>
        <v/>
      </c>
      <c r="H86">
        <f>IF(OR('titanium_s10_ap'!H6=-1, 'titanium_s10_no_ap'!H6=-1), "", 'titanium_s10_ap'!K6/'titanium_s10_no_ap'!K6)</f>
        <v/>
      </c>
      <c r="I86">
        <f>IF(OR('titanium_s10_ap'!H6=-1, 'titanium_s10_no_ap'!H6=-1), "", 'titanium_s10_ap'!L6/'titanium_s10_no_ap'!L6)</f>
        <v/>
      </c>
      <c r="J86">
        <f>IF(OR('titanium_s10_ap'!H6=-1, 'titanium_s10_no_ap'!H6=-1), "", 'titanium_s10_ap'!AC6/'titanium_s10_no_ap'!AC6)</f>
        <v/>
      </c>
      <c r="K86">
        <f>IF(OR('titanium_s10_ap'!H6=-1, 'titanium_s10_no_ap'!H6=-1), "", 'titanium_s10_ap'!AD6/'titanium_s10_no_ap'!AD6)</f>
        <v/>
      </c>
    </row>
    <row r="87">
      <c r="A87" t="inlineStr">
        <is>
          <t>titanium_s10</t>
        </is>
      </c>
      <c r="B87" t="inlineStr">
        <is>
          <t>stratix10_arch.timing.xml</t>
        </is>
      </c>
      <c r="C87" t="inlineStr">
        <is>
          <t>ASU_ELT_stratix10_arch_timing.blif</t>
        </is>
      </c>
      <c r="D87">
        <f>IF(OR('titanium_s10_ap'!H7=-1, 'titanium_s10_no_ap'!H7=-1), "", 'titanium_s10_ap'!F7/'titanium_s10_no_ap'!F7)</f>
        <v/>
      </c>
      <c r="E87">
        <f>IF(OR('titanium_s10_ap'!H7=-1, 'titanium_s10_no_ap'!H7=-1), "", 'titanium_s10_ap'!G7/'titanium_s10_no_ap'!G7)</f>
        <v/>
      </c>
      <c r="F87">
        <f>IF(OR('titanium_s10_ap'!H7=-1, 'titanium_s10_no_ap'!H7=-1), "", 'titanium_s10_ap'!H7/'titanium_s10_no_ap'!H7)</f>
        <v/>
      </c>
      <c r="G87">
        <f>IF(OR('titanium_s10_ap'!H7=-1, 'titanium_s10_no_ap'!H7=-1), "", 'titanium_s10_ap'!J7/'titanium_s10_no_ap'!J7)</f>
        <v/>
      </c>
      <c r="H87">
        <f>IF(OR('titanium_s10_ap'!H7=-1, 'titanium_s10_no_ap'!H7=-1), "", 'titanium_s10_ap'!K7/'titanium_s10_no_ap'!K7)</f>
        <v/>
      </c>
      <c r="I87">
        <f>IF(OR('titanium_s10_ap'!H7=-1, 'titanium_s10_no_ap'!H7=-1), "", 'titanium_s10_ap'!L7/'titanium_s10_no_ap'!L7)</f>
        <v/>
      </c>
      <c r="J87">
        <f>IF(OR('titanium_s10_ap'!H7=-1, 'titanium_s10_no_ap'!H7=-1), "", 'titanium_s10_ap'!AC7/'titanium_s10_no_ap'!AC7)</f>
        <v/>
      </c>
      <c r="K87">
        <f>IF(OR('titanium_s10_ap'!H7=-1, 'titanium_s10_no_ap'!H7=-1), "", 'titanium_s10_ap'!AD7/'titanium_s10_no_ap'!AD7)</f>
        <v/>
      </c>
    </row>
    <row r="88">
      <c r="A88" t="inlineStr">
        <is>
          <t>titanium_s10</t>
        </is>
      </c>
      <c r="B88" t="inlineStr">
        <is>
          <t>stratix10_arch.timing.xml</t>
        </is>
      </c>
      <c r="C88" t="inlineStr">
        <is>
          <t>ASU_BSC_stratix10_arch_timing.blif</t>
        </is>
      </c>
      <c r="D88">
        <f>IF(OR('titanium_s10_ap'!H8=-1, 'titanium_s10_no_ap'!H8=-1), "", 'titanium_s10_ap'!F8/'titanium_s10_no_ap'!F8)</f>
        <v/>
      </c>
      <c r="E88">
        <f>IF(OR('titanium_s10_ap'!H8=-1, 'titanium_s10_no_ap'!H8=-1), "", 'titanium_s10_ap'!G8/'titanium_s10_no_ap'!G8)</f>
        <v/>
      </c>
      <c r="F88">
        <f>IF(OR('titanium_s10_ap'!H8=-1, 'titanium_s10_no_ap'!H8=-1), "", 'titanium_s10_ap'!H8/'titanium_s10_no_ap'!H8)</f>
        <v/>
      </c>
      <c r="G88">
        <f>IF(OR('titanium_s10_ap'!H8=-1, 'titanium_s10_no_ap'!H8=-1), "", 'titanium_s10_ap'!J8/'titanium_s10_no_ap'!J8)</f>
        <v/>
      </c>
      <c r="H88">
        <f>IF(OR('titanium_s10_ap'!H8=-1, 'titanium_s10_no_ap'!H8=-1), "", 'titanium_s10_ap'!K8/'titanium_s10_no_ap'!K8)</f>
        <v/>
      </c>
      <c r="I88">
        <f>IF(OR('titanium_s10_ap'!H8=-1, 'titanium_s10_no_ap'!H8=-1), "", 'titanium_s10_ap'!L8/'titanium_s10_no_ap'!L8)</f>
        <v/>
      </c>
      <c r="J88">
        <f>IF(OR('titanium_s10_ap'!H8=-1, 'titanium_s10_no_ap'!H8=-1), "", 'titanium_s10_ap'!AC8/'titanium_s10_no_ap'!AC8)</f>
        <v/>
      </c>
      <c r="K88">
        <f>IF(OR('titanium_s10_ap'!H8=-1, 'titanium_s10_no_ap'!H8=-1), "", 'titanium_s10_ap'!AD8/'titanium_s10_no_ap'!AD8)</f>
        <v/>
      </c>
    </row>
    <row r="89">
      <c r="A89" t="inlineStr">
        <is>
          <t>titanium_s10</t>
        </is>
      </c>
      <c r="B89" t="inlineStr">
        <is>
          <t>stratix10_arch.timing.xml</t>
        </is>
      </c>
      <c r="C89" t="inlineStr">
        <is>
          <t>tdfir_stratix10_arch_timing.blif</t>
        </is>
      </c>
      <c r="D89">
        <f>IF(OR('titanium_s10_ap'!H9=-1, 'titanium_s10_no_ap'!H9=-1), "", 'titanium_s10_ap'!F9/'titanium_s10_no_ap'!F9)</f>
        <v/>
      </c>
      <c r="E89">
        <f>IF(OR('titanium_s10_ap'!H9=-1, 'titanium_s10_no_ap'!H9=-1), "", 'titanium_s10_ap'!G9/'titanium_s10_no_ap'!G9)</f>
        <v/>
      </c>
      <c r="F89">
        <f>IF(OR('titanium_s10_ap'!H9=-1, 'titanium_s10_no_ap'!H9=-1), "", 'titanium_s10_ap'!H9/'titanium_s10_no_ap'!H9)</f>
        <v/>
      </c>
      <c r="G89">
        <f>IF(OR('titanium_s10_ap'!H9=-1, 'titanium_s10_no_ap'!H9=-1), "", 'titanium_s10_ap'!J9/'titanium_s10_no_ap'!J9)</f>
        <v/>
      </c>
      <c r="H89">
        <f>IF(OR('titanium_s10_ap'!H9=-1, 'titanium_s10_no_ap'!H9=-1), "", 'titanium_s10_ap'!K9/'titanium_s10_no_ap'!K9)</f>
        <v/>
      </c>
      <c r="I89">
        <f>IF(OR('titanium_s10_ap'!H9=-1, 'titanium_s10_no_ap'!H9=-1), "", 'titanium_s10_ap'!L9/'titanium_s10_no_ap'!L9)</f>
        <v/>
      </c>
      <c r="J89">
        <f>IF(OR('titanium_s10_ap'!H9=-1, 'titanium_s10_no_ap'!H9=-1), "", 'titanium_s10_ap'!AC9/'titanium_s10_no_ap'!AC9)</f>
        <v/>
      </c>
      <c r="K89">
        <f>IF(OR('titanium_s10_ap'!H9=-1, 'titanium_s10_no_ap'!H9=-1), "", 'titanium_s10_ap'!AD9/'titanium_s10_no_ap'!AD9)</f>
        <v/>
      </c>
    </row>
    <row r="90">
      <c r="A90" t="inlineStr">
        <is>
          <t>titanium_s10</t>
        </is>
      </c>
      <c r="B90" t="inlineStr">
        <is>
          <t>stratix10_arch.timing.xml</t>
        </is>
      </c>
      <c r="C90" t="inlineStr">
        <is>
          <t>pricing_stratix10_arch_timing.blif</t>
        </is>
      </c>
      <c r="D90">
        <f>IF(OR('titanium_s10_ap'!H10=-1, 'titanium_s10_no_ap'!H10=-1), "", 'titanium_s10_ap'!F10/'titanium_s10_no_ap'!F10)</f>
        <v/>
      </c>
      <c r="E90">
        <f>IF(OR('titanium_s10_ap'!H10=-1, 'titanium_s10_no_ap'!H10=-1), "", 'titanium_s10_ap'!G10/'titanium_s10_no_ap'!G10)</f>
        <v/>
      </c>
      <c r="F90">
        <f>IF(OR('titanium_s10_ap'!H10=-1, 'titanium_s10_no_ap'!H10=-1), "", 'titanium_s10_ap'!H10/'titanium_s10_no_ap'!H10)</f>
        <v/>
      </c>
      <c r="G90">
        <f>IF(OR('titanium_s10_ap'!H10=-1, 'titanium_s10_no_ap'!H10=-1), "", 'titanium_s10_ap'!J10/'titanium_s10_no_ap'!J10)</f>
        <v/>
      </c>
      <c r="H90">
        <f>IF(OR('titanium_s10_ap'!H10=-1, 'titanium_s10_no_ap'!H10=-1), "", 'titanium_s10_ap'!K10/'titanium_s10_no_ap'!K10)</f>
        <v/>
      </c>
      <c r="I90">
        <f>IF(OR('titanium_s10_ap'!H10=-1, 'titanium_s10_no_ap'!H10=-1), "", 'titanium_s10_ap'!L10/'titanium_s10_no_ap'!L10)</f>
        <v/>
      </c>
      <c r="J90">
        <f>IF(OR('titanium_s10_ap'!H10=-1, 'titanium_s10_no_ap'!H10=-1), "", 'titanium_s10_ap'!AC10/'titanium_s10_no_ap'!AC10)</f>
        <v/>
      </c>
      <c r="K90">
        <f>IF(OR('titanium_s10_ap'!H10=-1, 'titanium_s10_no_ap'!H10=-1), "", 'titanium_s10_ap'!AD10/'titanium_s10_no_ap'!AD10)</f>
        <v/>
      </c>
    </row>
    <row r="91">
      <c r="A91" t="inlineStr">
        <is>
          <t>titanium_s10</t>
        </is>
      </c>
      <c r="B91" t="inlineStr">
        <is>
          <t>stratix10_arch.timing.xml</t>
        </is>
      </c>
      <c r="C91" t="inlineStr">
        <is>
          <t>mem_tester_stratix10_arch_timing.blif</t>
        </is>
      </c>
      <c r="D91">
        <f>IF(OR('titanium_s10_ap'!H11=-1, 'titanium_s10_no_ap'!H11=-1), "", 'titanium_s10_ap'!F11/'titanium_s10_no_ap'!F11)</f>
        <v/>
      </c>
      <c r="E91">
        <f>IF(OR('titanium_s10_ap'!H11=-1, 'titanium_s10_no_ap'!H11=-1), "", 'titanium_s10_ap'!G11/'titanium_s10_no_ap'!G11)</f>
        <v/>
      </c>
      <c r="F91">
        <f>IF(OR('titanium_s10_ap'!H11=-1, 'titanium_s10_no_ap'!H11=-1), "", 'titanium_s10_ap'!H11/'titanium_s10_no_ap'!H11)</f>
        <v/>
      </c>
      <c r="G91">
        <f>IF(OR('titanium_s10_ap'!H11=-1, 'titanium_s10_no_ap'!H11=-1), "", 'titanium_s10_ap'!J11/'titanium_s10_no_ap'!J11)</f>
        <v/>
      </c>
      <c r="H91">
        <f>IF(OR('titanium_s10_ap'!H11=-1, 'titanium_s10_no_ap'!H11=-1), "", 'titanium_s10_ap'!K11/'titanium_s10_no_ap'!K11)</f>
        <v/>
      </c>
      <c r="I91">
        <f>IF(OR('titanium_s10_ap'!H11=-1, 'titanium_s10_no_ap'!H11=-1), "", 'titanium_s10_ap'!L11/'titanium_s10_no_ap'!L11)</f>
        <v/>
      </c>
      <c r="J91">
        <f>IF(OR('titanium_s10_ap'!H11=-1, 'titanium_s10_no_ap'!H11=-1), "", 'titanium_s10_ap'!AC11/'titanium_s10_no_ap'!AC11)</f>
        <v/>
      </c>
      <c r="K91">
        <f>IF(OR('titanium_s10_ap'!H11=-1, 'titanium_s10_no_ap'!H11=-1), "", 'titanium_s10_ap'!AD11/'titanium_s10_no_ap'!AD11)</f>
        <v/>
      </c>
    </row>
    <row r="92">
      <c r="A92" t="inlineStr">
        <is>
          <t>titanium_s10</t>
        </is>
      </c>
      <c r="B92" t="inlineStr">
        <is>
          <t>stratix10_arch.timing.xml</t>
        </is>
      </c>
      <c r="C92" t="inlineStr">
        <is>
          <t>mandelbrot_stratix10_arch_timing.blif</t>
        </is>
      </c>
      <c r="D92">
        <f>IF(OR('titanium_s10_ap'!H12=-1, 'titanium_s10_no_ap'!H12=-1), "", 'titanium_s10_ap'!F12/'titanium_s10_no_ap'!F12)</f>
        <v/>
      </c>
      <c r="E92">
        <f>IF(OR('titanium_s10_ap'!H12=-1, 'titanium_s10_no_ap'!H12=-1), "", 'titanium_s10_ap'!G12/'titanium_s10_no_ap'!G12)</f>
        <v/>
      </c>
      <c r="F92">
        <f>IF(OR('titanium_s10_ap'!H12=-1, 'titanium_s10_no_ap'!H12=-1), "", 'titanium_s10_ap'!H12/'titanium_s10_no_ap'!H12)</f>
        <v/>
      </c>
      <c r="G92">
        <f>IF(OR('titanium_s10_ap'!H12=-1, 'titanium_s10_no_ap'!H12=-1), "", 'titanium_s10_ap'!J12/'titanium_s10_no_ap'!J12)</f>
        <v/>
      </c>
      <c r="H92">
        <f>IF(OR('titanium_s10_ap'!H12=-1, 'titanium_s10_no_ap'!H12=-1), "", 'titanium_s10_ap'!K12/'titanium_s10_no_ap'!K12)</f>
        <v/>
      </c>
      <c r="I92">
        <f>IF(OR('titanium_s10_ap'!H12=-1, 'titanium_s10_no_ap'!H12=-1), "", 'titanium_s10_ap'!L12/'titanium_s10_no_ap'!L12)</f>
        <v/>
      </c>
      <c r="J92">
        <f>IF(OR('titanium_s10_ap'!H12=-1, 'titanium_s10_no_ap'!H12=-1), "", 'titanium_s10_ap'!AC12/'titanium_s10_no_ap'!AC12)</f>
        <v/>
      </c>
      <c r="K92">
        <f>IF(OR('titanium_s10_ap'!H12=-1, 'titanium_s10_no_ap'!H12=-1), "", 'titanium_s10_ap'!AD12/'titanium_s10_no_ap'!AD12)</f>
        <v/>
      </c>
    </row>
    <row r="93">
      <c r="A93" t="inlineStr">
        <is>
          <t>titanium_s10</t>
        </is>
      </c>
      <c r="B93" t="inlineStr">
        <is>
          <t>stratix10_arch.timing.xml</t>
        </is>
      </c>
      <c r="C93" t="inlineStr">
        <is>
          <t>channelizer_stratix10_arch_timing.blif</t>
        </is>
      </c>
      <c r="D93">
        <f>IF(OR('titanium_s10_ap'!H13=-1, 'titanium_s10_no_ap'!H13=-1), "", 'titanium_s10_ap'!F13/'titanium_s10_no_ap'!F13)</f>
        <v/>
      </c>
      <c r="E93">
        <f>IF(OR('titanium_s10_ap'!H13=-1, 'titanium_s10_no_ap'!H13=-1), "", 'titanium_s10_ap'!G13/'titanium_s10_no_ap'!G13)</f>
        <v/>
      </c>
      <c r="F93">
        <f>IF(OR('titanium_s10_ap'!H13=-1, 'titanium_s10_no_ap'!H13=-1), "", 'titanium_s10_ap'!H13/'titanium_s10_no_ap'!H13)</f>
        <v/>
      </c>
      <c r="G93">
        <f>IF(OR('titanium_s10_ap'!H13=-1, 'titanium_s10_no_ap'!H13=-1), "", 'titanium_s10_ap'!J13/'titanium_s10_no_ap'!J13)</f>
        <v/>
      </c>
      <c r="H93">
        <f>IF(OR('titanium_s10_ap'!H13=-1, 'titanium_s10_no_ap'!H13=-1), "", 'titanium_s10_ap'!K13/'titanium_s10_no_ap'!K13)</f>
        <v/>
      </c>
      <c r="I93">
        <f>IF(OR('titanium_s10_ap'!H13=-1, 'titanium_s10_no_ap'!H13=-1), "", 'titanium_s10_ap'!L13/'titanium_s10_no_ap'!L13)</f>
        <v/>
      </c>
      <c r="J93">
        <f>IF(OR('titanium_s10_ap'!H13=-1, 'titanium_s10_no_ap'!H13=-1), "", 'titanium_s10_ap'!AC13/'titanium_s10_no_ap'!AC13)</f>
        <v/>
      </c>
      <c r="K93">
        <f>IF(OR('titanium_s10_ap'!H13=-1, 'titanium_s10_no_ap'!H13=-1), "", 'titanium_s10_ap'!AD13/'titanium_s10_no_ap'!AD13)</f>
        <v/>
      </c>
    </row>
    <row r="94">
      <c r="A94" t="inlineStr">
        <is>
          <t>titanium_s10</t>
        </is>
      </c>
      <c r="B94" t="inlineStr">
        <is>
          <t>stratix10_arch.timing.xml</t>
        </is>
      </c>
      <c r="C94" t="inlineStr">
        <is>
          <t>fft1d_offchip_stratix10_arch_timing.blif</t>
        </is>
      </c>
      <c r="D94">
        <f>IF(OR('titanium_s10_ap'!H14=-1, 'titanium_s10_no_ap'!H14=-1), "", 'titanium_s10_ap'!F14/'titanium_s10_no_ap'!F14)</f>
        <v/>
      </c>
      <c r="E94">
        <f>IF(OR('titanium_s10_ap'!H14=-1, 'titanium_s10_no_ap'!H14=-1), "", 'titanium_s10_ap'!G14/'titanium_s10_no_ap'!G14)</f>
        <v/>
      </c>
      <c r="F94">
        <f>IF(OR('titanium_s10_ap'!H14=-1, 'titanium_s10_no_ap'!H14=-1), "", 'titanium_s10_ap'!H14/'titanium_s10_no_ap'!H14)</f>
        <v/>
      </c>
      <c r="G94">
        <f>IF(OR('titanium_s10_ap'!H14=-1, 'titanium_s10_no_ap'!H14=-1), "", 'titanium_s10_ap'!J14/'titanium_s10_no_ap'!J14)</f>
        <v/>
      </c>
      <c r="H94">
        <f>IF(OR('titanium_s10_ap'!H14=-1, 'titanium_s10_no_ap'!H14=-1), "", 'titanium_s10_ap'!K14/'titanium_s10_no_ap'!K14)</f>
        <v/>
      </c>
      <c r="I94">
        <f>IF(OR('titanium_s10_ap'!H14=-1, 'titanium_s10_no_ap'!H14=-1), "", 'titanium_s10_ap'!L14/'titanium_s10_no_ap'!L14)</f>
        <v/>
      </c>
      <c r="J94">
        <f>IF(OR('titanium_s10_ap'!H14=-1, 'titanium_s10_no_ap'!H14=-1), "", 'titanium_s10_ap'!AC14/'titanium_s10_no_ap'!AC14)</f>
        <v/>
      </c>
      <c r="K94">
        <f>IF(OR('titanium_s10_ap'!H14=-1, 'titanium_s10_no_ap'!H14=-1), "", 'titanium_s10_ap'!AD14/'titanium_s10_no_ap'!AD14)</f>
        <v/>
      </c>
    </row>
    <row r="95">
      <c r="A95" t="inlineStr">
        <is>
          <t>titanium_s10</t>
        </is>
      </c>
      <c r="B95" t="inlineStr">
        <is>
          <t>stratix10_arch.timing.xml</t>
        </is>
      </c>
      <c r="C95" t="inlineStr">
        <is>
          <t>DLA_LRN_stratix10_arch_timing.blif</t>
        </is>
      </c>
      <c r="D95">
        <f>IF(OR('titanium_s10_ap'!H15=-1, 'titanium_s10_no_ap'!H15=-1), "", 'titanium_s10_ap'!F15/'titanium_s10_no_ap'!F15)</f>
        <v/>
      </c>
      <c r="E95">
        <f>IF(OR('titanium_s10_ap'!H15=-1, 'titanium_s10_no_ap'!H15=-1), "", 'titanium_s10_ap'!G15/'titanium_s10_no_ap'!G15)</f>
        <v/>
      </c>
      <c r="F95">
        <f>IF(OR('titanium_s10_ap'!H15=-1, 'titanium_s10_no_ap'!H15=-1), "", 'titanium_s10_ap'!H15/'titanium_s10_no_ap'!H15)</f>
        <v/>
      </c>
      <c r="G95">
        <f>IF(OR('titanium_s10_ap'!H15=-1, 'titanium_s10_no_ap'!H15=-1), "", 'titanium_s10_ap'!J15/'titanium_s10_no_ap'!J15)</f>
        <v/>
      </c>
      <c r="H95">
        <f>IF(OR('titanium_s10_ap'!H15=-1, 'titanium_s10_no_ap'!H15=-1), "", 'titanium_s10_ap'!K15/'titanium_s10_no_ap'!K15)</f>
        <v/>
      </c>
      <c r="I95">
        <f>IF(OR('titanium_s10_ap'!H15=-1, 'titanium_s10_no_ap'!H15=-1), "", 'titanium_s10_ap'!L15/'titanium_s10_no_ap'!L15)</f>
        <v/>
      </c>
      <c r="J95">
        <f>IF(OR('titanium_s10_ap'!H15=-1, 'titanium_s10_no_ap'!H15=-1), "", 'titanium_s10_ap'!AC15/'titanium_s10_no_ap'!AC15)</f>
        <v/>
      </c>
      <c r="K95">
        <f>IF(OR('titanium_s10_ap'!H15=-1, 'titanium_s10_no_ap'!H15=-1), "", 'titanium_s10_ap'!AD15/'titanium_s10_no_ap'!AD15)</f>
        <v/>
      </c>
    </row>
    <row r="96">
      <c r="A96" t="inlineStr">
        <is>
          <t>titanium_s10</t>
        </is>
      </c>
      <c r="B96" t="inlineStr">
        <is>
          <t>stratix10_arch.timing.xml</t>
        </is>
      </c>
      <c r="C96" t="inlineStr">
        <is>
          <t>matrix_mult_stratix10_arch_timing.blif</t>
        </is>
      </c>
      <c r="D96">
        <f>IF(OR('titanium_s10_ap'!H16=-1, 'titanium_s10_no_ap'!H16=-1), "", 'titanium_s10_ap'!F16/'titanium_s10_no_ap'!F16)</f>
        <v/>
      </c>
      <c r="E96">
        <f>IF(OR('titanium_s10_ap'!H16=-1, 'titanium_s10_no_ap'!H16=-1), "", 'titanium_s10_ap'!G16/'titanium_s10_no_ap'!G16)</f>
        <v/>
      </c>
      <c r="F96">
        <f>IF(OR('titanium_s10_ap'!H16=-1, 'titanium_s10_no_ap'!H16=-1), "", 'titanium_s10_ap'!H16/'titanium_s10_no_ap'!H16)</f>
        <v/>
      </c>
      <c r="G96">
        <f>IF(OR('titanium_s10_ap'!H16=-1, 'titanium_s10_no_ap'!H16=-1), "", 'titanium_s10_ap'!J16/'titanium_s10_no_ap'!J16)</f>
        <v/>
      </c>
      <c r="H96">
        <f>IF(OR('titanium_s10_ap'!H16=-1, 'titanium_s10_no_ap'!H16=-1), "", 'titanium_s10_ap'!K16/'titanium_s10_no_ap'!K16)</f>
        <v/>
      </c>
      <c r="I96">
        <f>IF(OR('titanium_s10_ap'!H16=-1, 'titanium_s10_no_ap'!H16=-1), "", 'titanium_s10_ap'!L16/'titanium_s10_no_ap'!L16)</f>
        <v/>
      </c>
      <c r="J96">
        <f>IF(OR('titanium_s10_ap'!H16=-1, 'titanium_s10_no_ap'!H16=-1), "", 'titanium_s10_ap'!AC16/'titanium_s10_no_ap'!AC16)</f>
        <v/>
      </c>
      <c r="K96">
        <f>IF(OR('titanium_s10_ap'!H16=-1, 'titanium_s10_no_ap'!H16=-1), "", 'titanium_s10_ap'!AD16/'titanium_s10_no_ap'!AD16)</f>
        <v/>
      </c>
    </row>
    <row r="97">
      <c r="A97" t="inlineStr">
        <is>
          <t>titanium_s10</t>
        </is>
      </c>
      <c r="B97" t="inlineStr">
        <is>
          <t>stratix10_arch.timing.xml</t>
        </is>
      </c>
      <c r="C97" t="inlineStr">
        <is>
          <t>fft1d_stratix10_arch_timing.blif</t>
        </is>
      </c>
      <c r="D97">
        <f>IF(OR('titanium_s10_ap'!H17=-1, 'titanium_s10_no_ap'!H17=-1), "", 'titanium_s10_ap'!F17/'titanium_s10_no_ap'!F17)</f>
        <v/>
      </c>
      <c r="E97">
        <f>IF(OR('titanium_s10_ap'!H17=-1, 'titanium_s10_no_ap'!H17=-1), "", 'titanium_s10_ap'!G17/'titanium_s10_no_ap'!G17)</f>
        <v/>
      </c>
      <c r="F97">
        <f>IF(OR('titanium_s10_ap'!H17=-1, 'titanium_s10_no_ap'!H17=-1), "", 'titanium_s10_ap'!H17/'titanium_s10_no_ap'!H17)</f>
        <v/>
      </c>
      <c r="G97">
        <f>IF(OR('titanium_s10_ap'!H17=-1, 'titanium_s10_no_ap'!H17=-1), "", 'titanium_s10_ap'!J17/'titanium_s10_no_ap'!J17)</f>
        <v/>
      </c>
      <c r="H97">
        <f>IF(OR('titanium_s10_ap'!H17=-1, 'titanium_s10_no_ap'!H17=-1), "", 'titanium_s10_ap'!K17/'titanium_s10_no_ap'!K17)</f>
        <v/>
      </c>
      <c r="I97">
        <f>IF(OR('titanium_s10_ap'!H17=-1, 'titanium_s10_no_ap'!H17=-1), "", 'titanium_s10_ap'!L17/'titanium_s10_no_ap'!L17)</f>
        <v/>
      </c>
      <c r="J97">
        <f>IF(OR('titanium_s10_ap'!H17=-1, 'titanium_s10_no_ap'!H17=-1), "", 'titanium_s10_ap'!AC17/'titanium_s10_no_ap'!AC17)</f>
        <v/>
      </c>
      <c r="K97">
        <f>IF(OR('titanium_s10_ap'!H17=-1, 'titanium_s10_no_ap'!H17=-1), "", 'titanium_s10_ap'!AD17/'titanium_s10_no_ap'!AD17)</f>
        <v/>
      </c>
    </row>
    <row r="98">
      <c r="A98" t="inlineStr">
        <is>
          <t>titanium_s10</t>
        </is>
      </c>
      <c r="B98" t="inlineStr">
        <is>
          <t>stratix10_arch.timing.xml</t>
        </is>
      </c>
      <c r="C98" t="inlineStr">
        <is>
          <t>fft2d_stratix10_arch_timing.blif</t>
        </is>
      </c>
      <c r="D98">
        <f>IF(OR('titanium_s10_ap'!H18=-1, 'titanium_s10_no_ap'!H18=-1), "", 'titanium_s10_ap'!F18/'titanium_s10_no_ap'!F18)</f>
        <v/>
      </c>
      <c r="E98">
        <f>IF(OR('titanium_s10_ap'!H18=-1, 'titanium_s10_no_ap'!H18=-1), "", 'titanium_s10_ap'!G18/'titanium_s10_no_ap'!G18)</f>
        <v/>
      </c>
      <c r="F98">
        <f>IF(OR('titanium_s10_ap'!H18=-1, 'titanium_s10_no_ap'!H18=-1), "", 'titanium_s10_ap'!H18/'titanium_s10_no_ap'!H18)</f>
        <v/>
      </c>
      <c r="G98">
        <f>IF(OR('titanium_s10_ap'!H18=-1, 'titanium_s10_no_ap'!H18=-1), "", 'titanium_s10_ap'!J18/'titanium_s10_no_ap'!J18)</f>
        <v/>
      </c>
      <c r="H98">
        <f>IF(OR('titanium_s10_ap'!H18=-1, 'titanium_s10_no_ap'!H18=-1), "", 'titanium_s10_ap'!K18/'titanium_s10_no_ap'!K18)</f>
        <v/>
      </c>
      <c r="I98">
        <f>IF(OR('titanium_s10_ap'!H18=-1, 'titanium_s10_no_ap'!H18=-1), "", 'titanium_s10_ap'!L18/'titanium_s10_no_ap'!L18)</f>
        <v/>
      </c>
      <c r="J98">
        <f>IF(OR('titanium_s10_ap'!H18=-1, 'titanium_s10_no_ap'!H18=-1), "", 'titanium_s10_ap'!AC18/'titanium_s10_no_ap'!AC18)</f>
        <v/>
      </c>
      <c r="K98">
        <f>IF(OR('titanium_s10_ap'!H18=-1, 'titanium_s10_no_ap'!H18=-1), "", 'titanium_s10_ap'!AD18/'titanium_s10_no_ap'!AD18)</f>
        <v/>
      </c>
    </row>
    <row r="99">
      <c r="A99" t="inlineStr">
        <is>
          <t>titanium_s10</t>
        </is>
      </c>
      <c r="B99" t="inlineStr">
        <is>
          <t>stratix10_arch.timing.xml</t>
        </is>
      </c>
      <c r="C99" t="inlineStr">
        <is>
          <t>DLA_ELT_stratix10_arch_timing.blif</t>
        </is>
      </c>
      <c r="D99">
        <f>IF(OR('titanium_s10_ap'!H19=-1, 'titanium_s10_no_ap'!H19=-1), "", 'titanium_s10_ap'!F19/'titanium_s10_no_ap'!F19)</f>
        <v/>
      </c>
      <c r="E99">
        <f>IF(OR('titanium_s10_ap'!H19=-1, 'titanium_s10_no_ap'!H19=-1), "", 'titanium_s10_ap'!G19/'titanium_s10_no_ap'!G19)</f>
        <v/>
      </c>
      <c r="F99">
        <f>IF(OR('titanium_s10_ap'!H19=-1, 'titanium_s10_no_ap'!H19=-1), "", 'titanium_s10_ap'!H19/'titanium_s10_no_ap'!H19)</f>
        <v/>
      </c>
      <c r="G99">
        <f>IF(OR('titanium_s10_ap'!H19=-1, 'titanium_s10_no_ap'!H19=-1), "", 'titanium_s10_ap'!J19/'titanium_s10_no_ap'!J19)</f>
        <v/>
      </c>
      <c r="H99">
        <f>IF(OR('titanium_s10_ap'!H19=-1, 'titanium_s10_no_ap'!H19=-1), "", 'titanium_s10_ap'!K19/'titanium_s10_no_ap'!K19)</f>
        <v/>
      </c>
      <c r="I99">
        <f>IF(OR('titanium_s10_ap'!H19=-1, 'titanium_s10_no_ap'!H19=-1), "", 'titanium_s10_ap'!L19/'titanium_s10_no_ap'!L19)</f>
        <v/>
      </c>
      <c r="J99">
        <f>IF(OR('titanium_s10_ap'!H19=-1, 'titanium_s10_no_ap'!H19=-1), "", 'titanium_s10_ap'!AC19/'titanium_s10_no_ap'!AC19)</f>
        <v/>
      </c>
      <c r="K99">
        <f>IF(OR('titanium_s10_ap'!H19=-1, 'titanium_s10_no_ap'!H19=-1), "", 'titanium_s10_ap'!AD19/'titanium_s10_no_ap'!AD19)</f>
        <v/>
      </c>
    </row>
    <row r="100">
      <c r="A100" t="inlineStr">
        <is>
          <t>titanium_s10</t>
        </is>
      </c>
      <c r="B100" t="inlineStr">
        <is>
          <t>stratix10_arch.timing.xml</t>
        </is>
      </c>
      <c r="C100" t="inlineStr">
        <is>
          <t>DLA_BSC_stratix10_arch_timing.blif</t>
        </is>
      </c>
      <c r="D100">
        <f>IF(OR('titanium_s10_ap'!H20=-1, 'titanium_s10_no_ap'!H20=-1), "", 'titanium_s10_ap'!F20/'titanium_s10_no_ap'!F20)</f>
        <v/>
      </c>
      <c r="E100">
        <f>IF(OR('titanium_s10_ap'!H20=-1, 'titanium_s10_no_ap'!H20=-1), "", 'titanium_s10_ap'!G20/'titanium_s10_no_ap'!G20)</f>
        <v/>
      </c>
      <c r="F100">
        <f>IF(OR('titanium_s10_ap'!H20=-1, 'titanium_s10_no_ap'!H20=-1), "", 'titanium_s10_ap'!H20/'titanium_s10_no_ap'!H20)</f>
        <v/>
      </c>
      <c r="G100">
        <f>IF(OR('titanium_s10_ap'!H20=-1, 'titanium_s10_no_ap'!H20=-1), "", 'titanium_s10_ap'!J20/'titanium_s10_no_ap'!J20)</f>
        <v/>
      </c>
      <c r="H100">
        <f>IF(OR('titanium_s10_ap'!H20=-1, 'titanium_s10_no_ap'!H20=-1), "", 'titanium_s10_ap'!K20/'titanium_s10_no_ap'!K20)</f>
        <v/>
      </c>
      <c r="I100">
        <f>IF(OR('titanium_s10_ap'!H20=-1, 'titanium_s10_no_ap'!H20=-1), "", 'titanium_s10_ap'!L20/'titanium_s10_no_ap'!L20)</f>
        <v/>
      </c>
      <c r="J100">
        <f>IF(OR('titanium_s10_ap'!H20=-1, 'titanium_s10_no_ap'!H20=-1), "", 'titanium_s10_ap'!AC20/'titanium_s10_no_ap'!AC20)</f>
        <v/>
      </c>
      <c r="K100">
        <f>IF(OR('titanium_s10_ap'!H20=-1, 'titanium_s10_no_ap'!H20=-1), "", 'titanium_s10_ap'!AD20/'titanium_s10_no_ap'!AD20)</f>
        <v/>
      </c>
    </row>
    <row r="101">
      <c r="A101" t="inlineStr">
        <is>
          <t>titanium_s10</t>
        </is>
      </c>
      <c r="B101" t="inlineStr">
        <is>
          <t>stratix10_arch.timing.xml</t>
        </is>
      </c>
      <c r="C101" t="inlineStr">
        <is>
          <t>jpeg_deco_stratix10_arch_timing.blif</t>
        </is>
      </c>
      <c r="D101">
        <f>IF(OR('titanium_s10_ap'!H21=-1, 'titanium_s10_no_ap'!H21=-1), "", 'titanium_s10_ap'!F21/'titanium_s10_no_ap'!F21)</f>
        <v/>
      </c>
      <c r="E101">
        <f>IF(OR('titanium_s10_ap'!H21=-1, 'titanium_s10_no_ap'!H21=-1), "", 'titanium_s10_ap'!G21/'titanium_s10_no_ap'!G21)</f>
        <v/>
      </c>
      <c r="F101">
        <f>IF(OR('titanium_s10_ap'!H21=-1, 'titanium_s10_no_ap'!H21=-1), "", 'titanium_s10_ap'!H21/'titanium_s10_no_ap'!H21)</f>
        <v/>
      </c>
      <c r="G101">
        <f>IF(OR('titanium_s10_ap'!H21=-1, 'titanium_s10_no_ap'!H21=-1), "", 'titanium_s10_ap'!J21/'titanium_s10_no_ap'!J21)</f>
        <v/>
      </c>
      <c r="H101">
        <f>IF(OR('titanium_s10_ap'!H21=-1, 'titanium_s10_no_ap'!H21=-1), "", 'titanium_s10_ap'!K21/'titanium_s10_no_ap'!K21)</f>
        <v/>
      </c>
      <c r="I101">
        <f>IF(OR('titanium_s10_ap'!H21=-1, 'titanium_s10_no_ap'!H21=-1), "", 'titanium_s10_ap'!L21/'titanium_s10_no_ap'!L21)</f>
        <v/>
      </c>
      <c r="J101">
        <f>IF(OR('titanium_s10_ap'!H21=-1, 'titanium_s10_no_ap'!H21=-1), "", 'titanium_s10_ap'!AC21/'titanium_s10_no_ap'!AC21)</f>
        <v/>
      </c>
      <c r="K101">
        <f>IF(OR('titanium_s10_ap'!H21=-1, 'titanium_s10_no_ap'!H21=-1), "", 'titanium_s10_ap'!AD21/'titanium_s10_no_ap'!AD21)</f>
        <v/>
      </c>
    </row>
    <row r="102">
      <c r="A102" t="inlineStr">
        <is>
          <t>titanium_s10</t>
        </is>
      </c>
      <c r="B102" t="inlineStr">
        <is>
          <t>stratix10_arch.timing.xml</t>
        </is>
      </c>
      <c r="C102" t="inlineStr">
        <is>
          <t>nyuzi_stratix10_arch_timing.blif</t>
        </is>
      </c>
      <c r="D102">
        <f>IF(OR('titanium_s10_ap'!H22=-1, 'titanium_s10_no_ap'!H22=-1), "", 'titanium_s10_ap'!F22/'titanium_s10_no_ap'!F22)</f>
        <v/>
      </c>
      <c r="E102">
        <f>IF(OR('titanium_s10_ap'!H22=-1, 'titanium_s10_no_ap'!H22=-1), "", 'titanium_s10_ap'!G22/'titanium_s10_no_ap'!G22)</f>
        <v/>
      </c>
      <c r="F102">
        <f>IF(OR('titanium_s10_ap'!H22=-1, 'titanium_s10_no_ap'!H22=-1), "", 'titanium_s10_ap'!H22/'titanium_s10_no_ap'!H22)</f>
        <v/>
      </c>
      <c r="G102">
        <f>IF(OR('titanium_s10_ap'!H22=-1, 'titanium_s10_no_ap'!H22=-1), "", 'titanium_s10_ap'!J22/'titanium_s10_no_ap'!J22)</f>
        <v/>
      </c>
      <c r="H102">
        <f>IF(OR('titanium_s10_ap'!H22=-1, 'titanium_s10_no_ap'!H22=-1), "", 'titanium_s10_ap'!K22/'titanium_s10_no_ap'!K22)</f>
        <v/>
      </c>
      <c r="I102">
        <f>IF(OR('titanium_s10_ap'!H22=-1, 'titanium_s10_no_ap'!H22=-1), "", 'titanium_s10_ap'!L22/'titanium_s10_no_ap'!L22)</f>
        <v/>
      </c>
      <c r="J102">
        <f>IF(OR('titanium_s10_ap'!H22=-1, 'titanium_s10_no_ap'!H22=-1), "", 'titanium_s10_ap'!AC22/'titanium_s10_no_ap'!AC22)</f>
        <v/>
      </c>
      <c r="K102">
        <f>IF(OR('titanium_s10_ap'!H22=-1, 'titanium_s10_no_ap'!H22=-1), "", 'titanium_s10_ap'!AD22/'titanium_s10_no_ap'!AD22)</f>
        <v/>
      </c>
    </row>
    <row r="103">
      <c r="A103" t="inlineStr">
        <is>
          <t>titanium_s10</t>
        </is>
      </c>
      <c r="B103" t="inlineStr">
        <is>
          <t>stratix10_arch.timing.xml</t>
        </is>
      </c>
      <c r="C103" t="inlineStr">
        <is>
          <t>sobel_stratix10_arch_timing.blif</t>
        </is>
      </c>
      <c r="D103">
        <f>IF(OR('titanium_s10_ap'!H23=-1, 'titanium_s10_no_ap'!H23=-1), "", 'titanium_s10_ap'!F23/'titanium_s10_no_ap'!F23)</f>
        <v/>
      </c>
      <c r="E103">
        <f>IF(OR('titanium_s10_ap'!H23=-1, 'titanium_s10_no_ap'!H23=-1), "", 'titanium_s10_ap'!G23/'titanium_s10_no_ap'!G23)</f>
        <v/>
      </c>
      <c r="F103">
        <f>IF(OR('titanium_s10_ap'!H23=-1, 'titanium_s10_no_ap'!H23=-1), "", 'titanium_s10_ap'!H23/'titanium_s10_no_ap'!H23)</f>
        <v/>
      </c>
      <c r="G103">
        <f>IF(OR('titanium_s10_ap'!H23=-1, 'titanium_s10_no_ap'!H23=-1), "", 'titanium_s10_ap'!J23/'titanium_s10_no_ap'!J23)</f>
        <v/>
      </c>
      <c r="H103">
        <f>IF(OR('titanium_s10_ap'!H23=-1, 'titanium_s10_no_ap'!H23=-1), "", 'titanium_s10_ap'!K23/'titanium_s10_no_ap'!K23)</f>
        <v/>
      </c>
      <c r="I103">
        <f>IF(OR('titanium_s10_ap'!H23=-1, 'titanium_s10_no_ap'!H23=-1), "", 'titanium_s10_ap'!L23/'titanium_s10_no_ap'!L23)</f>
        <v/>
      </c>
      <c r="J103">
        <f>IF(OR('titanium_s10_ap'!H23=-1, 'titanium_s10_no_ap'!H23=-1), "", 'titanium_s10_ap'!AC23/'titanium_s10_no_ap'!AC23)</f>
        <v/>
      </c>
      <c r="K103">
        <f>IF(OR('titanium_s10_ap'!H23=-1, 'titanium_s10_no_ap'!H23=-1), "", 'titanium_s10_ap'!AD23/'titanium_s10_no_ap'!AD23)</f>
        <v/>
      </c>
    </row>
    <row r="104">
      <c r="A104" t="inlineStr">
        <is>
          <t>titanium_s10</t>
        </is>
      </c>
      <c r="B104" t="inlineStr">
        <is>
          <t>stratix10_arch.timing.xml</t>
        </is>
      </c>
      <c r="C104" t="inlineStr">
        <is>
          <t>mem_tester_max_stratix10_arch_timing.blif</t>
        </is>
      </c>
      <c r="D104">
        <f>IF(OR('titanium_s10_ap'!H24=-1, 'titanium_s10_no_ap'!H24=-1), "", 'titanium_s10_ap'!F24/'titanium_s10_no_ap'!F24)</f>
        <v/>
      </c>
      <c r="E104">
        <f>IF(OR('titanium_s10_ap'!H24=-1, 'titanium_s10_no_ap'!H24=-1), "", 'titanium_s10_ap'!G24/'titanium_s10_no_ap'!G24)</f>
        <v/>
      </c>
      <c r="F104">
        <f>IF(OR('titanium_s10_ap'!H24=-1, 'titanium_s10_no_ap'!H24=-1), "", 'titanium_s10_ap'!H24/'titanium_s10_no_ap'!H24)</f>
        <v/>
      </c>
      <c r="G104">
        <f>IF(OR('titanium_s10_ap'!H24=-1, 'titanium_s10_no_ap'!H24=-1), "", 'titanium_s10_ap'!J24/'titanium_s10_no_ap'!J24)</f>
        <v/>
      </c>
      <c r="H104">
        <f>IF(OR('titanium_s10_ap'!H24=-1, 'titanium_s10_no_ap'!H24=-1), "", 'titanium_s10_ap'!K24/'titanium_s10_no_ap'!K24)</f>
        <v/>
      </c>
      <c r="I104">
        <f>IF(OR('titanium_s10_ap'!H24=-1, 'titanium_s10_no_ap'!H24=-1), "", 'titanium_s10_ap'!L24/'titanium_s10_no_ap'!L24)</f>
        <v/>
      </c>
      <c r="J104">
        <f>IF(OR('titanium_s10_ap'!H24=-1, 'titanium_s10_no_ap'!H24=-1), "", 'titanium_s10_ap'!AC24/'titanium_s10_no_ap'!AC24)</f>
        <v/>
      </c>
      <c r="K104">
        <f>IF(OR('titanium_s10_ap'!H24=-1, 'titanium_s10_no_ap'!H24=-1), "", 'titanium_s10_ap'!AD24/'titanium_s10_no_ap'!AD24)</f>
        <v/>
      </c>
    </row>
    <row r="105">
      <c r="A105" t="inlineStr">
        <is>
          <t>titanium_s10</t>
        </is>
      </c>
      <c r="B105" t="inlineStr">
        <is>
          <t>stratix10_arch.timing.xml</t>
        </is>
      </c>
      <c r="C105" t="inlineStr">
        <is>
          <t>rocket31_stratix10_arch_timing.blif</t>
        </is>
      </c>
      <c r="D105">
        <f>IF(OR('titanium_s10_ap'!H25=-1, 'titanium_s10_no_ap'!H25=-1), "", 'titanium_s10_ap'!F25/'titanium_s10_no_ap'!F25)</f>
        <v/>
      </c>
      <c r="E105">
        <f>IF(OR('titanium_s10_ap'!H25=-1, 'titanium_s10_no_ap'!H25=-1), "", 'titanium_s10_ap'!G25/'titanium_s10_no_ap'!G25)</f>
        <v/>
      </c>
      <c r="F105">
        <f>IF(OR('titanium_s10_ap'!H25=-1, 'titanium_s10_no_ap'!H25=-1), "", 'titanium_s10_ap'!H25/'titanium_s10_no_ap'!H25)</f>
        <v/>
      </c>
      <c r="G105">
        <f>IF(OR('titanium_s10_ap'!H25=-1, 'titanium_s10_no_ap'!H25=-1), "", 'titanium_s10_ap'!J25/'titanium_s10_no_ap'!J25)</f>
        <v/>
      </c>
      <c r="H105">
        <f>IF(OR('titanium_s10_ap'!H25=-1, 'titanium_s10_no_ap'!H25=-1), "", 'titanium_s10_ap'!K25/'titanium_s10_no_ap'!K25)</f>
        <v/>
      </c>
      <c r="I105">
        <f>IF(OR('titanium_s10_ap'!H25=-1, 'titanium_s10_no_ap'!H25=-1), "", 'titanium_s10_ap'!L25/'titanium_s10_no_ap'!L25)</f>
        <v/>
      </c>
      <c r="J105">
        <f>IF(OR('titanium_s10_ap'!H25=-1, 'titanium_s10_no_ap'!H25=-1), "", 'titanium_s10_ap'!AC25/'titanium_s10_no_ap'!AC25)</f>
        <v/>
      </c>
      <c r="K105">
        <f>IF(OR('titanium_s10_ap'!H25=-1, 'titanium_s10_no_ap'!H25=-1), "", 'titanium_s10_ap'!AD25/'titanium_s10_no_ap'!AD25)</f>
        <v/>
      </c>
    </row>
    <row r="106">
      <c r="A106" t="inlineStr">
        <is>
          <t>titanium_s10</t>
        </is>
      </c>
      <c r="B106" t="inlineStr">
        <is>
          <t>stratix10_arch.timing.xml</t>
        </is>
      </c>
      <c r="C106" t="inlineStr">
        <is>
          <t>neko_stratix10_arch_timing.blif</t>
        </is>
      </c>
      <c r="D106">
        <f>IF(OR('titanium_s10_ap'!H26=-1, 'titanium_s10_no_ap'!H26=-1), "", 'titanium_s10_ap'!F26/'titanium_s10_no_ap'!F26)</f>
        <v/>
      </c>
      <c r="E106">
        <f>IF(OR('titanium_s10_ap'!H26=-1, 'titanium_s10_no_ap'!H26=-1), "", 'titanium_s10_ap'!G26/'titanium_s10_no_ap'!G26)</f>
        <v/>
      </c>
      <c r="F106">
        <f>IF(OR('titanium_s10_ap'!H26=-1, 'titanium_s10_no_ap'!H26=-1), "", 'titanium_s10_ap'!H26/'titanium_s10_no_ap'!H26)</f>
        <v/>
      </c>
      <c r="G106">
        <f>IF(OR('titanium_s10_ap'!H26=-1, 'titanium_s10_no_ap'!H26=-1), "", 'titanium_s10_ap'!J26/'titanium_s10_no_ap'!J26)</f>
        <v/>
      </c>
      <c r="H106">
        <f>IF(OR('titanium_s10_ap'!H26=-1, 'titanium_s10_no_ap'!H26=-1), "", 'titanium_s10_ap'!K26/'titanium_s10_no_ap'!K26)</f>
        <v/>
      </c>
      <c r="I106">
        <f>IF(OR('titanium_s10_ap'!H26=-1, 'titanium_s10_no_ap'!H26=-1), "", 'titanium_s10_ap'!L26/'titanium_s10_no_ap'!L26)</f>
        <v/>
      </c>
      <c r="J106">
        <f>IF(OR('titanium_s10_ap'!H26=-1, 'titanium_s10_no_ap'!H26=-1), "", 'titanium_s10_ap'!AC26/'titanium_s10_no_ap'!AC26)</f>
        <v/>
      </c>
      <c r="K106">
        <f>IF(OR('titanium_s10_ap'!H26=-1, 'titanium_s10_no_ap'!H26=-1), "", 'titanium_s10_ap'!AD26/'titanium_s10_no_ap'!AD26)</f>
        <v/>
      </c>
    </row>
    <row r="107">
      <c r="A107" t="inlineStr">
        <is>
          <t>titanium_s10</t>
        </is>
      </c>
      <c r="B107" t="inlineStr"/>
      <c r="C107" t="inlineStr">
        <is>
          <t>GEOMEAN</t>
        </is>
      </c>
      <c r="D107">
        <f>GEOMEAN(D82:D106)</f>
        <v/>
      </c>
      <c r="E107">
        <f>GEOMEAN(E82:E106)</f>
        <v/>
      </c>
      <c r="F107">
        <f>GEOMEAN(F82:F106)</f>
        <v/>
      </c>
      <c r="G107">
        <f>GEOMEAN(G82:G106)</f>
        <v/>
      </c>
      <c r="H107">
        <f>GEOMEAN(H82:H106)</f>
        <v/>
      </c>
      <c r="I107">
        <f>GEOMEAN(I82:I106)</f>
        <v/>
      </c>
      <c r="J107">
        <f>GEOMEAN(J82:J106)</f>
        <v/>
      </c>
      <c r="K107">
        <f>GEOMEAN(K82:K106)</f>
        <v/>
      </c>
    </row>
    <row r="108">
      <c r="A108" t="inlineStr">
        <is>
          <t>titanium_s10</t>
        </is>
      </c>
      <c r="B108" t="inlineStr"/>
      <c r="C108" t="inlineStr">
        <is>
          <t>UNROUTES</t>
        </is>
      </c>
      <c r="D108">
        <f>25 - COUNT(F82:F106)</f>
        <v/>
      </c>
    </row>
    <row r="109">
      <c r="A109" t="inlineStr"/>
    </row>
    <row r="110">
      <c r="A110" t="inlineStr">
        <is>
          <t>z1000</t>
        </is>
      </c>
      <c r="B110" t="inlineStr">
        <is>
          <t>z1000.xml</t>
        </is>
      </c>
      <c r="C110" t="inlineStr">
        <is>
          <t>alu4.blif</t>
        </is>
      </c>
      <c r="D110">
        <f>IF(OR('z1000_ap'!H2=-1, 'z1000_no_ap'!H2=-1), "", 'z1000_ap'!F2/'z1000_no_ap'!F2)</f>
        <v/>
      </c>
      <c r="E110">
        <f>IF(OR('z1000_ap'!H2=-1, 'z1000_no_ap'!H2=-1), "", 'z1000_ap'!G2/'z1000_no_ap'!G2)</f>
        <v/>
      </c>
      <c r="F110">
        <f>IF(OR('z1000_ap'!H2=-1, 'z1000_no_ap'!H2=-1), "", 'z1000_ap'!H2/'z1000_no_ap'!H2)</f>
        <v/>
      </c>
      <c r="G110">
        <f>IF(OR('z1000_ap'!H2=-1, 'z1000_no_ap'!H2=-1), "", 'z1000_ap'!J2/'z1000_no_ap'!J2)</f>
        <v/>
      </c>
      <c r="H110">
        <f>IF(OR('z1000_ap'!H2=-1, 'z1000_no_ap'!H2=-1), "", 'z1000_ap'!K2/'z1000_no_ap'!K2)</f>
        <v/>
      </c>
      <c r="I110">
        <f>IF(OR('z1000_ap'!H2=-1, 'z1000_no_ap'!H2=-1), "", 'z1000_ap'!L2/'z1000_no_ap'!L2)</f>
        <v/>
      </c>
      <c r="J110">
        <f>IF(OR('z1000_ap'!H2=-1, 'z1000_no_ap'!H2=-1), "", 'z1000_ap'!AC2/'z1000_no_ap'!AC2)</f>
        <v/>
      </c>
      <c r="K110">
        <f>IF(OR('z1000_ap'!H2=-1, 'z1000_no_ap'!H2=-1), "", 'z1000_ap'!AD2/'z1000_no_ap'!AD2)</f>
        <v/>
      </c>
    </row>
    <row r="111">
      <c r="A111" t="inlineStr">
        <is>
          <t>z1000</t>
        </is>
      </c>
      <c r="B111" t="inlineStr">
        <is>
          <t>z1000.xml</t>
        </is>
      </c>
      <c r="C111" t="inlineStr">
        <is>
          <t>apex4.blif</t>
        </is>
      </c>
      <c r="D111">
        <f>IF(OR('z1000_ap'!H3=-1, 'z1000_no_ap'!H3=-1), "", 'z1000_ap'!F3/'z1000_no_ap'!F3)</f>
        <v/>
      </c>
      <c r="E111">
        <f>IF(OR('z1000_ap'!H3=-1, 'z1000_no_ap'!H3=-1), "", 'z1000_ap'!G3/'z1000_no_ap'!G3)</f>
        <v/>
      </c>
      <c r="F111">
        <f>IF(OR('z1000_ap'!H3=-1, 'z1000_no_ap'!H3=-1), "", 'z1000_ap'!H3/'z1000_no_ap'!H3)</f>
        <v/>
      </c>
      <c r="G111">
        <f>IF(OR('z1000_ap'!H3=-1, 'z1000_no_ap'!H3=-1), "", 'z1000_ap'!J3/'z1000_no_ap'!J3)</f>
        <v/>
      </c>
      <c r="H111">
        <f>IF(OR('z1000_ap'!H3=-1, 'z1000_no_ap'!H3=-1), "", 'z1000_ap'!K3/'z1000_no_ap'!K3)</f>
        <v/>
      </c>
      <c r="I111">
        <f>IF(OR('z1000_ap'!H3=-1, 'z1000_no_ap'!H3=-1), "", 'z1000_ap'!L3/'z1000_no_ap'!L3)</f>
        <v/>
      </c>
      <c r="J111">
        <f>IF(OR('z1000_ap'!H3=-1, 'z1000_no_ap'!H3=-1), "", 'z1000_ap'!AC3/'z1000_no_ap'!AC3)</f>
        <v/>
      </c>
      <c r="K111">
        <f>IF(OR('z1000_ap'!H3=-1, 'z1000_no_ap'!H3=-1), "", 'z1000_ap'!AD3/'z1000_no_ap'!AD3)</f>
        <v/>
      </c>
    </row>
    <row r="112">
      <c r="A112" t="inlineStr">
        <is>
          <t>z1000</t>
        </is>
      </c>
      <c r="B112" t="inlineStr">
        <is>
          <t>z1000.xml</t>
        </is>
      </c>
      <c r="C112" t="inlineStr">
        <is>
          <t>bigkey.blif</t>
        </is>
      </c>
      <c r="D112">
        <f>IF(OR('z1000_ap'!H4=-1, 'z1000_no_ap'!H4=-1), "", 'z1000_ap'!F4/'z1000_no_ap'!F4)</f>
        <v/>
      </c>
      <c r="E112">
        <f>IF(OR('z1000_ap'!H4=-1, 'z1000_no_ap'!H4=-1), "", 'z1000_ap'!G4/'z1000_no_ap'!G4)</f>
        <v/>
      </c>
      <c r="F112">
        <f>IF(OR('z1000_ap'!H4=-1, 'z1000_no_ap'!H4=-1), "", 'z1000_ap'!H4/'z1000_no_ap'!H4)</f>
        <v/>
      </c>
      <c r="G112">
        <f>IF(OR('z1000_ap'!H4=-1, 'z1000_no_ap'!H4=-1), "", 'z1000_ap'!J4/'z1000_no_ap'!J4)</f>
        <v/>
      </c>
      <c r="H112">
        <f>IF(OR('z1000_ap'!H4=-1, 'z1000_no_ap'!H4=-1), "", 'z1000_ap'!K4/'z1000_no_ap'!K4)</f>
        <v/>
      </c>
      <c r="I112">
        <f>IF(OR('z1000_ap'!H4=-1, 'z1000_no_ap'!H4=-1), "", 'z1000_ap'!L4/'z1000_no_ap'!L4)</f>
        <v/>
      </c>
      <c r="J112">
        <f>IF(OR('z1000_ap'!H4=-1, 'z1000_no_ap'!H4=-1), "", 'z1000_ap'!AC4/'z1000_no_ap'!AC4)</f>
        <v/>
      </c>
      <c r="K112">
        <f>IF(OR('z1000_ap'!H4=-1, 'z1000_no_ap'!H4=-1), "", 'z1000_ap'!AD4/'z1000_no_ap'!AD4)</f>
        <v/>
      </c>
    </row>
    <row r="113">
      <c r="A113" t="inlineStr">
        <is>
          <t>z1000</t>
        </is>
      </c>
      <c r="B113" t="inlineStr">
        <is>
          <t>z1000.xml</t>
        </is>
      </c>
      <c r="C113" t="inlineStr">
        <is>
          <t>des.blif</t>
        </is>
      </c>
      <c r="D113">
        <f>IF(OR('z1000_ap'!H5=-1, 'z1000_no_ap'!H5=-1), "", 'z1000_ap'!F5/'z1000_no_ap'!F5)</f>
        <v/>
      </c>
      <c r="E113">
        <f>IF(OR('z1000_ap'!H5=-1, 'z1000_no_ap'!H5=-1), "", 'z1000_ap'!G5/'z1000_no_ap'!G5)</f>
        <v/>
      </c>
      <c r="F113">
        <f>IF(OR('z1000_ap'!H5=-1, 'z1000_no_ap'!H5=-1), "", 'z1000_ap'!H5/'z1000_no_ap'!H5)</f>
        <v/>
      </c>
      <c r="G113">
        <f>IF(OR('z1000_ap'!H5=-1, 'z1000_no_ap'!H5=-1), "", 'z1000_ap'!J5/'z1000_no_ap'!J5)</f>
        <v/>
      </c>
      <c r="H113">
        <f>IF(OR('z1000_ap'!H5=-1, 'z1000_no_ap'!H5=-1), "", 'z1000_ap'!K5/'z1000_no_ap'!K5)</f>
        <v/>
      </c>
      <c r="I113">
        <f>IF(OR('z1000_ap'!H5=-1, 'z1000_no_ap'!H5=-1), "", 'z1000_ap'!L5/'z1000_no_ap'!L5)</f>
        <v/>
      </c>
      <c r="J113">
        <f>IF(OR('z1000_ap'!H5=-1, 'z1000_no_ap'!H5=-1), "", 'z1000_ap'!AC5/'z1000_no_ap'!AC5)</f>
        <v/>
      </c>
      <c r="K113">
        <f>IF(OR('z1000_ap'!H5=-1, 'z1000_no_ap'!H5=-1), "", 'z1000_ap'!AD5/'z1000_no_ap'!AD5)</f>
        <v/>
      </c>
    </row>
    <row r="114">
      <c r="A114" t="inlineStr">
        <is>
          <t>z1000</t>
        </is>
      </c>
      <c r="B114" t="inlineStr">
        <is>
          <t>z1000.xml</t>
        </is>
      </c>
      <c r="C114" t="inlineStr">
        <is>
          <t>diffeq.blif</t>
        </is>
      </c>
      <c r="D114">
        <f>IF(OR('z1000_ap'!H6=-1, 'z1000_no_ap'!H6=-1), "", 'z1000_ap'!F6/'z1000_no_ap'!F6)</f>
        <v/>
      </c>
      <c r="E114">
        <f>IF(OR('z1000_ap'!H6=-1, 'z1000_no_ap'!H6=-1), "", 'z1000_ap'!G6/'z1000_no_ap'!G6)</f>
        <v/>
      </c>
      <c r="F114">
        <f>IF(OR('z1000_ap'!H6=-1, 'z1000_no_ap'!H6=-1), "", 'z1000_ap'!H6/'z1000_no_ap'!H6)</f>
        <v/>
      </c>
      <c r="G114">
        <f>IF(OR('z1000_ap'!H6=-1, 'z1000_no_ap'!H6=-1), "", 'z1000_ap'!J6/'z1000_no_ap'!J6)</f>
        <v/>
      </c>
      <c r="H114">
        <f>IF(OR('z1000_ap'!H6=-1, 'z1000_no_ap'!H6=-1), "", 'z1000_ap'!K6/'z1000_no_ap'!K6)</f>
        <v/>
      </c>
      <c r="I114">
        <f>IF(OR('z1000_ap'!H6=-1, 'z1000_no_ap'!H6=-1), "", 'z1000_ap'!L6/'z1000_no_ap'!L6)</f>
        <v/>
      </c>
      <c r="J114">
        <f>IF(OR('z1000_ap'!H6=-1, 'z1000_no_ap'!H6=-1), "", 'z1000_ap'!AC6/'z1000_no_ap'!AC6)</f>
        <v/>
      </c>
      <c r="K114">
        <f>IF(OR('z1000_ap'!H6=-1, 'z1000_no_ap'!H6=-1), "", 'z1000_ap'!AD6/'z1000_no_ap'!AD6)</f>
        <v/>
      </c>
    </row>
    <row r="115">
      <c r="A115" t="inlineStr">
        <is>
          <t>z1000</t>
        </is>
      </c>
      <c r="B115" t="inlineStr">
        <is>
          <t>z1000.xml</t>
        </is>
      </c>
      <c r="C115" t="inlineStr">
        <is>
          <t>dsip.blif</t>
        </is>
      </c>
      <c r="D115">
        <f>IF(OR('z1000_ap'!H7=-1, 'z1000_no_ap'!H7=-1), "", 'z1000_ap'!F7/'z1000_no_ap'!F7)</f>
        <v/>
      </c>
      <c r="E115">
        <f>IF(OR('z1000_ap'!H7=-1, 'z1000_no_ap'!H7=-1), "", 'z1000_ap'!G7/'z1000_no_ap'!G7)</f>
        <v/>
      </c>
      <c r="F115">
        <f>IF(OR('z1000_ap'!H7=-1, 'z1000_no_ap'!H7=-1), "", 'z1000_ap'!H7/'z1000_no_ap'!H7)</f>
        <v/>
      </c>
      <c r="G115">
        <f>IF(OR('z1000_ap'!H7=-1, 'z1000_no_ap'!H7=-1), "", 'z1000_ap'!J7/'z1000_no_ap'!J7)</f>
        <v/>
      </c>
      <c r="H115">
        <f>IF(OR('z1000_ap'!H7=-1, 'z1000_no_ap'!H7=-1), "", 'z1000_ap'!K7/'z1000_no_ap'!K7)</f>
        <v/>
      </c>
      <c r="I115">
        <f>IF(OR('z1000_ap'!H7=-1, 'z1000_no_ap'!H7=-1), "", 'z1000_ap'!L7/'z1000_no_ap'!L7)</f>
        <v/>
      </c>
      <c r="J115">
        <f>IF(OR('z1000_ap'!H7=-1, 'z1000_no_ap'!H7=-1), "", 'z1000_ap'!AC7/'z1000_no_ap'!AC7)</f>
        <v/>
      </c>
      <c r="K115">
        <f>IF(OR('z1000_ap'!H7=-1, 'z1000_no_ap'!H7=-1), "", 'z1000_ap'!AD7/'z1000_no_ap'!AD7)</f>
        <v/>
      </c>
    </row>
    <row r="116">
      <c r="A116" t="inlineStr">
        <is>
          <t>z1000</t>
        </is>
      </c>
      <c r="B116" t="inlineStr">
        <is>
          <t>z1000.xml</t>
        </is>
      </c>
      <c r="C116" t="inlineStr">
        <is>
          <t>ex5p.blif</t>
        </is>
      </c>
      <c r="D116">
        <f>IF(OR('z1000_ap'!H8=-1, 'z1000_no_ap'!H8=-1), "", 'z1000_ap'!F8/'z1000_no_ap'!F8)</f>
        <v/>
      </c>
      <c r="E116">
        <f>IF(OR('z1000_ap'!H8=-1, 'z1000_no_ap'!H8=-1), "", 'z1000_ap'!G8/'z1000_no_ap'!G8)</f>
        <v/>
      </c>
      <c r="F116">
        <f>IF(OR('z1000_ap'!H8=-1, 'z1000_no_ap'!H8=-1), "", 'z1000_ap'!H8/'z1000_no_ap'!H8)</f>
        <v/>
      </c>
      <c r="G116">
        <f>IF(OR('z1000_ap'!H8=-1, 'z1000_no_ap'!H8=-1), "", 'z1000_ap'!J8/'z1000_no_ap'!J8)</f>
        <v/>
      </c>
      <c r="H116">
        <f>IF(OR('z1000_ap'!H8=-1, 'z1000_no_ap'!H8=-1), "", 'z1000_ap'!K8/'z1000_no_ap'!K8)</f>
        <v/>
      </c>
      <c r="I116">
        <f>IF(OR('z1000_ap'!H8=-1, 'z1000_no_ap'!H8=-1), "", 'z1000_ap'!L8/'z1000_no_ap'!L8)</f>
        <v/>
      </c>
      <c r="J116">
        <f>IF(OR('z1000_ap'!H8=-1, 'z1000_no_ap'!H8=-1), "", 'z1000_ap'!AC8/'z1000_no_ap'!AC8)</f>
        <v/>
      </c>
      <c r="K116">
        <f>IF(OR('z1000_ap'!H8=-1, 'z1000_no_ap'!H8=-1), "", 'z1000_ap'!AD8/'z1000_no_ap'!AD8)</f>
        <v/>
      </c>
    </row>
    <row r="117">
      <c r="A117" t="inlineStr">
        <is>
          <t>z1000</t>
        </is>
      </c>
      <c r="B117" t="inlineStr">
        <is>
          <t>z1000.xml</t>
        </is>
      </c>
      <c r="C117" t="inlineStr">
        <is>
          <t>misex3.blif</t>
        </is>
      </c>
      <c r="D117">
        <f>IF(OR('z1000_ap'!H9=-1, 'z1000_no_ap'!H9=-1), "", 'z1000_ap'!F9/'z1000_no_ap'!F9)</f>
        <v/>
      </c>
      <c r="E117">
        <f>IF(OR('z1000_ap'!H9=-1, 'z1000_no_ap'!H9=-1), "", 'z1000_ap'!G9/'z1000_no_ap'!G9)</f>
        <v/>
      </c>
      <c r="F117">
        <f>IF(OR('z1000_ap'!H9=-1, 'z1000_no_ap'!H9=-1), "", 'z1000_ap'!H9/'z1000_no_ap'!H9)</f>
        <v/>
      </c>
      <c r="G117">
        <f>IF(OR('z1000_ap'!H9=-1, 'z1000_no_ap'!H9=-1), "", 'z1000_ap'!J9/'z1000_no_ap'!J9)</f>
        <v/>
      </c>
      <c r="H117">
        <f>IF(OR('z1000_ap'!H9=-1, 'z1000_no_ap'!H9=-1), "", 'z1000_ap'!K9/'z1000_no_ap'!K9)</f>
        <v/>
      </c>
      <c r="I117">
        <f>IF(OR('z1000_ap'!H9=-1, 'z1000_no_ap'!H9=-1), "", 'z1000_ap'!L9/'z1000_no_ap'!L9)</f>
        <v/>
      </c>
      <c r="J117">
        <f>IF(OR('z1000_ap'!H9=-1, 'z1000_no_ap'!H9=-1), "", 'z1000_ap'!AC9/'z1000_no_ap'!AC9)</f>
        <v/>
      </c>
      <c r="K117">
        <f>IF(OR('z1000_ap'!H9=-1, 'z1000_no_ap'!H9=-1), "", 'z1000_ap'!AD9/'z1000_no_ap'!AD9)</f>
        <v/>
      </c>
    </row>
    <row r="118">
      <c r="A118" t="inlineStr">
        <is>
          <t>z1000</t>
        </is>
      </c>
      <c r="B118" t="inlineStr">
        <is>
          <t>z1000.xml</t>
        </is>
      </c>
      <c r="C118" t="inlineStr">
        <is>
          <t>seq.blif</t>
        </is>
      </c>
      <c r="D118">
        <f>IF(OR('z1000_ap'!H10=-1, 'z1000_no_ap'!H10=-1), "", 'z1000_ap'!F10/'z1000_no_ap'!F10)</f>
        <v/>
      </c>
      <c r="E118">
        <f>IF(OR('z1000_ap'!H10=-1, 'z1000_no_ap'!H10=-1), "", 'z1000_ap'!G10/'z1000_no_ap'!G10)</f>
        <v/>
      </c>
      <c r="F118">
        <f>IF(OR('z1000_ap'!H10=-1, 'z1000_no_ap'!H10=-1), "", 'z1000_ap'!H10/'z1000_no_ap'!H10)</f>
        <v/>
      </c>
      <c r="G118">
        <f>IF(OR('z1000_ap'!H10=-1, 'z1000_no_ap'!H10=-1), "", 'z1000_ap'!J10/'z1000_no_ap'!J10)</f>
        <v/>
      </c>
      <c r="H118">
        <f>IF(OR('z1000_ap'!H10=-1, 'z1000_no_ap'!H10=-1), "", 'z1000_ap'!K10/'z1000_no_ap'!K10)</f>
        <v/>
      </c>
      <c r="I118">
        <f>IF(OR('z1000_ap'!H10=-1, 'z1000_no_ap'!H10=-1), "", 'z1000_ap'!L10/'z1000_no_ap'!L10)</f>
        <v/>
      </c>
      <c r="J118">
        <f>IF(OR('z1000_ap'!H10=-1, 'z1000_no_ap'!H10=-1), "", 'z1000_ap'!AC10/'z1000_no_ap'!AC10)</f>
        <v/>
      </c>
      <c r="K118">
        <f>IF(OR('z1000_ap'!H10=-1, 'z1000_no_ap'!H10=-1), "", 'z1000_ap'!AD10/'z1000_no_ap'!AD10)</f>
        <v/>
      </c>
    </row>
    <row r="119">
      <c r="A119" t="inlineStr">
        <is>
          <t>z1000</t>
        </is>
      </c>
      <c r="B119" t="inlineStr">
        <is>
          <t>z1000.xml</t>
        </is>
      </c>
      <c r="C119" t="inlineStr">
        <is>
          <t>tseng.blif</t>
        </is>
      </c>
      <c r="D119">
        <f>IF(OR('z1000_ap'!H11=-1, 'z1000_no_ap'!H11=-1), "", 'z1000_ap'!F11/'z1000_no_ap'!F11)</f>
        <v/>
      </c>
      <c r="E119">
        <f>IF(OR('z1000_ap'!H11=-1, 'z1000_no_ap'!H11=-1), "", 'z1000_ap'!G11/'z1000_no_ap'!G11)</f>
        <v/>
      </c>
      <c r="F119">
        <f>IF(OR('z1000_ap'!H11=-1, 'z1000_no_ap'!H11=-1), "", 'z1000_ap'!H11/'z1000_no_ap'!H11)</f>
        <v/>
      </c>
      <c r="G119">
        <f>IF(OR('z1000_ap'!H11=-1, 'z1000_no_ap'!H11=-1), "", 'z1000_ap'!J11/'z1000_no_ap'!J11)</f>
        <v/>
      </c>
      <c r="H119">
        <f>IF(OR('z1000_ap'!H11=-1, 'z1000_no_ap'!H11=-1), "", 'z1000_ap'!K11/'z1000_no_ap'!K11)</f>
        <v/>
      </c>
      <c r="I119">
        <f>IF(OR('z1000_ap'!H11=-1, 'z1000_no_ap'!H11=-1), "", 'z1000_ap'!L11/'z1000_no_ap'!L11)</f>
        <v/>
      </c>
      <c r="J119">
        <f>IF(OR('z1000_ap'!H11=-1, 'z1000_no_ap'!H11=-1), "", 'z1000_ap'!AC11/'z1000_no_ap'!AC11)</f>
        <v/>
      </c>
      <c r="K119">
        <f>IF(OR('z1000_ap'!H11=-1, 'z1000_no_ap'!H11=-1), "", 'z1000_ap'!AD11/'z1000_no_ap'!AD11)</f>
        <v/>
      </c>
    </row>
    <row r="120">
      <c r="A120" t="inlineStr">
        <is>
          <t>z1000</t>
        </is>
      </c>
      <c r="B120" t="inlineStr"/>
      <c r="C120" t="inlineStr">
        <is>
          <t>GEOMEAN</t>
        </is>
      </c>
      <c r="D120">
        <f>GEOMEAN(D110:D119)</f>
        <v/>
      </c>
      <c r="E120">
        <f>GEOMEAN(E110:E119)</f>
        <v/>
      </c>
      <c r="F120">
        <f>GEOMEAN(F110:F119)</f>
        <v/>
      </c>
      <c r="G120">
        <f>GEOMEAN(G110:G119)</f>
        <v/>
      </c>
      <c r="H120">
        <f>GEOMEAN(H110:H119)</f>
        <v/>
      </c>
      <c r="I120">
        <f>GEOMEAN(I110:I119)</f>
        <v/>
      </c>
      <c r="J120">
        <f>GEOMEAN(J110:J119)</f>
        <v/>
      </c>
      <c r="K120">
        <f>GEOMEAN(K110:K119)</f>
        <v/>
      </c>
    </row>
    <row r="121">
      <c r="A121" t="inlineStr">
        <is>
          <t>z1000</t>
        </is>
      </c>
      <c r="B121" t="inlineStr"/>
      <c r="C121" t="inlineStr">
        <is>
          <t>UNROUTES</t>
        </is>
      </c>
      <c r="D121">
        <f>10 - COUNT(F110:F119)</f>
        <v/>
      </c>
    </row>
    <row r="122">
      <c r="A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118546</v>
      </c>
      <c r="F2" t="n">
        <v>136921</v>
      </c>
      <c r="G2" t="n">
        <v>104858</v>
      </c>
      <c r="H2" t="n">
        <v>143563</v>
      </c>
      <c r="I2" t="n">
        <v>22.582438</v>
      </c>
      <c r="J2" t="n">
        <v>25.501</v>
      </c>
      <c r="K2" t="n">
        <v>23.5723</v>
      </c>
      <c r="L2" t="n">
        <v>24.2235</v>
      </c>
      <c r="M2" t="n">
        <v>-241977.40625</v>
      </c>
      <c r="N2" t="n">
        <v>-274680</v>
      </c>
      <c r="O2" t="n">
        <v>-226198</v>
      </c>
      <c r="P2" t="n">
        <v>-236095</v>
      </c>
      <c r="Q2" t="n">
        <v>13</v>
      </c>
      <c r="R2" t="n">
        <v>25.846153</v>
      </c>
      <c r="S2" t="n">
        <v>0</v>
      </c>
      <c r="T2" t="n">
        <v>69.364159</v>
      </c>
      <c r="U2" t="n">
        <v>66.63576500000001</v>
      </c>
      <c r="V2" t="n">
        <v>40696.652344</v>
      </c>
      <c r="W2" t="n">
        <v>2.901929</v>
      </c>
      <c r="X2" t="n">
        <v>43.534107</v>
      </c>
      <c r="Y2" t="n">
        <v>43.82</v>
      </c>
      <c r="Z2" t="n">
        <v>8.949999999999999</v>
      </c>
      <c r="AA2" t="n">
        <v>26.36</v>
      </c>
      <c r="AB2" t="n">
        <v>7.17</v>
      </c>
      <c r="AC2" t="n">
        <v>3.38</v>
      </c>
      <c r="AD2" t="n">
        <v>51.22</v>
      </c>
      <c r="AE2" t="n">
        <v>874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356972</v>
      </c>
      <c r="F3" t="n">
        <v>489736</v>
      </c>
      <c r="G3" t="n">
        <v>275371</v>
      </c>
      <c r="H3" t="n">
        <v>374711</v>
      </c>
      <c r="I3" t="n">
        <v>28.100441</v>
      </c>
      <c r="J3" t="n">
        <v>34.4742</v>
      </c>
      <c r="K3" t="n">
        <v>20.2259</v>
      </c>
      <c r="L3" t="n">
        <v>20.6323</v>
      </c>
      <c r="M3" t="n">
        <v>-26091.759766</v>
      </c>
      <c r="N3" t="n">
        <v>-32529.6</v>
      </c>
      <c r="O3" t="n">
        <v>-26935.7</v>
      </c>
      <c r="P3" t="n">
        <v>-27481.7</v>
      </c>
      <c r="Q3" t="n">
        <v>57</v>
      </c>
      <c r="R3" t="n">
        <v>208.157898</v>
      </c>
      <c r="S3" t="n">
        <v>0</v>
      </c>
      <c r="T3" t="n">
        <v>83.40329</v>
      </c>
      <c r="U3" t="n">
        <v>72.44918800000001</v>
      </c>
      <c r="V3" t="n">
        <v>171735.640625</v>
      </c>
      <c r="W3" t="n">
        <v>4.979432</v>
      </c>
      <c r="X3" t="n">
        <v>69.553406</v>
      </c>
      <c r="Y3" t="n">
        <v>183.73</v>
      </c>
      <c r="Z3" t="n">
        <v>31.77</v>
      </c>
      <c r="AA3" t="n">
        <v>116.51</v>
      </c>
      <c r="AB3" t="n">
        <v>32.44</v>
      </c>
      <c r="AC3" t="n">
        <v>9.84</v>
      </c>
      <c r="AD3" t="n">
        <v>202.72</v>
      </c>
      <c r="AE3" t="n">
        <v>2797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44930.2</v>
      </c>
      <c r="F4" t="n">
        <v>48806</v>
      </c>
      <c r="G4" t="n">
        <v>39979</v>
      </c>
      <c r="H4" t="n">
        <v>55871</v>
      </c>
      <c r="I4" t="n">
        <v>4.559317</v>
      </c>
      <c r="J4" t="n">
        <v>4.58209</v>
      </c>
      <c r="K4" t="n">
        <v>3.49158</v>
      </c>
      <c r="L4" t="n">
        <v>3.80556</v>
      </c>
      <c r="M4" t="n">
        <v>-13454.371094</v>
      </c>
      <c r="N4" t="n">
        <v>-16564.5</v>
      </c>
      <c r="O4" t="n">
        <v>-14892.3</v>
      </c>
      <c r="P4" t="n">
        <v>-16278.1</v>
      </c>
      <c r="Q4" t="n">
        <v>40</v>
      </c>
      <c r="R4" t="n">
        <v>9.375</v>
      </c>
      <c r="S4" t="n">
        <v>0</v>
      </c>
      <c r="T4" t="n">
        <v>59.311562</v>
      </c>
      <c r="U4" t="n">
        <v>45.890572</v>
      </c>
      <c r="V4" t="n">
        <v>22105.34375</v>
      </c>
      <c r="W4" t="n">
        <v>1.036399</v>
      </c>
      <c r="X4" t="n">
        <v>19.003639</v>
      </c>
      <c r="Y4" t="n">
        <v>19.41</v>
      </c>
      <c r="Z4" t="n">
        <v>5.14</v>
      </c>
      <c r="AA4" t="n">
        <v>9.029999999999999</v>
      </c>
      <c r="AB4" t="n">
        <v>4.33</v>
      </c>
      <c r="AC4" t="n">
        <v>1.89</v>
      </c>
      <c r="AD4" t="n">
        <v>23.88</v>
      </c>
      <c r="AE4" t="n">
        <v>767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70900.7</v>
      </c>
      <c r="F5" t="n">
        <v>98879.3</v>
      </c>
      <c r="G5" t="n">
        <v>76642</v>
      </c>
      <c r="H5" t="n">
        <v>112703</v>
      </c>
      <c r="I5" t="n">
        <v>4.255369</v>
      </c>
      <c r="J5" t="n">
        <v>6.70097</v>
      </c>
      <c r="K5" t="n">
        <v>5.63357</v>
      </c>
      <c r="L5" t="n">
        <v>6.03593</v>
      </c>
      <c r="M5" t="n">
        <v>-19425.421875</v>
      </c>
      <c r="N5" t="n">
        <v>-25063.7</v>
      </c>
      <c r="O5" t="n">
        <v>-22553.5</v>
      </c>
      <c r="P5" t="n">
        <v>-24407</v>
      </c>
      <c r="Q5" t="n">
        <v>119</v>
      </c>
      <c r="R5" t="n">
        <v>28.621849</v>
      </c>
      <c r="S5" t="n">
        <v>0</v>
      </c>
      <c r="T5" t="n">
        <v>62.877441</v>
      </c>
      <c r="U5" t="n">
        <v>58.497715</v>
      </c>
      <c r="V5" t="n">
        <v>40270.960938</v>
      </c>
      <c r="W5" t="n">
        <v>2.090478</v>
      </c>
      <c r="X5" t="n">
        <v>34.016987</v>
      </c>
      <c r="Y5" t="n">
        <v>20.8</v>
      </c>
      <c r="Z5" t="n">
        <v>5.46</v>
      </c>
      <c r="AA5" t="n">
        <v>9.619999999999999</v>
      </c>
      <c r="AB5" t="n">
        <v>4.69</v>
      </c>
      <c r="AC5" t="n">
        <v>2.82</v>
      </c>
      <c r="AD5" t="n">
        <v>26.71</v>
      </c>
      <c r="AE5" t="n">
        <v>821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297107</v>
      </c>
      <c r="F6" t="n">
        <v>448344</v>
      </c>
      <c r="G6" t="n">
        <v>250603</v>
      </c>
      <c r="H6" t="n">
        <v>340755</v>
      </c>
      <c r="I6" t="n">
        <v>13.909017</v>
      </c>
      <c r="J6" t="n">
        <v>16.7895</v>
      </c>
      <c r="K6" t="n">
        <v>12.6973</v>
      </c>
      <c r="L6" t="n">
        <v>12.7106</v>
      </c>
      <c r="M6" t="n">
        <v>-41498.777344</v>
      </c>
      <c r="N6" t="n">
        <v>-59014.8</v>
      </c>
      <c r="O6" t="n">
        <v>-48346.1</v>
      </c>
      <c r="P6" t="n">
        <v>-52692.3</v>
      </c>
      <c r="Q6" t="n">
        <v>604</v>
      </c>
      <c r="R6" t="n">
        <v>34.624172</v>
      </c>
      <c r="S6" t="n">
        <v>0</v>
      </c>
      <c r="T6" t="n">
        <v>51.158939</v>
      </c>
      <c r="U6" t="n">
        <v>70.64660600000001</v>
      </c>
      <c r="V6" t="n">
        <v>110664.851562</v>
      </c>
      <c r="W6" t="n">
        <v>3.000267</v>
      </c>
      <c r="X6" t="n">
        <v>77.447304</v>
      </c>
      <c r="Y6" t="n">
        <v>75.44</v>
      </c>
      <c r="Z6" t="n">
        <v>13.88</v>
      </c>
      <c r="AA6" t="n">
        <v>20.67</v>
      </c>
      <c r="AB6" t="n">
        <v>34.3</v>
      </c>
      <c r="AC6" t="n">
        <v>7.58</v>
      </c>
      <c r="AD6" t="n">
        <v>99.48</v>
      </c>
      <c r="AE6" t="n">
        <v>1869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338075</v>
      </c>
      <c r="F7" t="n">
        <v>384271</v>
      </c>
      <c r="G7" t="n">
        <v>222031</v>
      </c>
      <c r="H7" t="n">
        <v>304837</v>
      </c>
      <c r="I7" t="n">
        <v>119.270073</v>
      </c>
      <c r="J7" t="n">
        <v>110.919</v>
      </c>
      <c r="K7" t="n">
        <v>78.30029999999999</v>
      </c>
      <c r="L7" t="n">
        <v>78.3342</v>
      </c>
      <c r="M7" t="n">
        <v>-56834.179688</v>
      </c>
      <c r="N7" t="n">
        <v>-59675.4</v>
      </c>
      <c r="O7" t="n">
        <v>-55657.9</v>
      </c>
      <c r="P7" t="n">
        <v>-67285.3</v>
      </c>
      <c r="Q7" t="n">
        <v>113</v>
      </c>
      <c r="R7" t="n">
        <v>54.734512</v>
      </c>
      <c r="S7" t="n">
        <v>0</v>
      </c>
      <c r="T7" t="n">
        <v>80.894943</v>
      </c>
      <c r="U7" t="n">
        <v>63.850182</v>
      </c>
      <c r="V7" t="n">
        <v>99185.84375</v>
      </c>
      <c r="W7" t="n">
        <v>3.127115</v>
      </c>
      <c r="X7" t="n">
        <v>51.000198</v>
      </c>
      <c r="Y7" t="n">
        <v>109.94</v>
      </c>
      <c r="Z7" t="n">
        <v>22.46</v>
      </c>
      <c r="AA7" t="n">
        <v>47.5</v>
      </c>
      <c r="AB7" t="n">
        <v>36.95</v>
      </c>
      <c r="AC7" t="n">
        <v>8.85</v>
      </c>
      <c r="AD7" t="n">
        <v>127.67</v>
      </c>
      <c r="AE7" t="n">
        <v>2301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1255570</v>
      </c>
      <c r="F8" t="n">
        <v>1293530</v>
      </c>
      <c r="G8" t="n">
        <v>861746</v>
      </c>
      <c r="H8" t="n">
        <v>1138662</v>
      </c>
      <c r="I8" t="n">
        <v>95.273552</v>
      </c>
      <c r="J8" t="n">
        <v>79.66079999999999</v>
      </c>
      <c r="K8" t="n">
        <v>72.3246</v>
      </c>
      <c r="L8" t="n">
        <v>73.6914</v>
      </c>
      <c r="M8" t="n">
        <v>-493573.84375</v>
      </c>
      <c r="N8" t="n">
        <v>-378053</v>
      </c>
      <c r="O8" t="n">
        <v>-318059</v>
      </c>
      <c r="P8" t="n">
        <v>-443352</v>
      </c>
      <c r="Q8" t="n">
        <v>312</v>
      </c>
      <c r="R8" t="n">
        <v>110.400642</v>
      </c>
      <c r="S8" t="n">
        <v>0</v>
      </c>
      <c r="T8" t="n">
        <v>88.72410600000001</v>
      </c>
      <c r="U8" t="n">
        <v>60.025509</v>
      </c>
      <c r="V8" t="n">
        <v>422500.84375</v>
      </c>
      <c r="W8" t="n">
        <v>3.933131</v>
      </c>
      <c r="X8" t="n">
        <v>141.054382</v>
      </c>
      <c r="Y8" t="n">
        <v>483.61</v>
      </c>
      <c r="Z8" t="n">
        <v>103.67</v>
      </c>
      <c r="AA8" t="n">
        <v>169.17</v>
      </c>
      <c r="AB8" t="n">
        <v>200.74</v>
      </c>
      <c r="AC8" t="n">
        <v>28.72</v>
      </c>
      <c r="AD8" t="n">
        <v>543.83</v>
      </c>
      <c r="AE8" t="n">
        <v>7743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949688</v>
      </c>
      <c r="F9" t="n">
        <v>1555420</v>
      </c>
      <c r="G9" t="n">
        <v>669902</v>
      </c>
      <c r="H9" t="n">
        <v>853617</v>
      </c>
      <c r="I9" t="n">
        <v>62.267334</v>
      </c>
      <c r="J9" t="n">
        <v>101.573</v>
      </c>
      <c r="K9" t="n">
        <v>47.5993</v>
      </c>
      <c r="L9" t="n">
        <v>47.7611</v>
      </c>
      <c r="M9" t="n">
        <v>-479385.96875</v>
      </c>
      <c r="N9" t="n">
        <v>-443710</v>
      </c>
      <c r="O9" t="n">
        <v>-334895</v>
      </c>
      <c r="P9" t="n">
        <v>-369948</v>
      </c>
      <c r="Q9" t="n">
        <v>1554</v>
      </c>
      <c r="R9" t="n">
        <v>1059.350708</v>
      </c>
      <c r="S9" t="n">
        <v>0</v>
      </c>
      <c r="T9" t="n">
        <v>71.002357</v>
      </c>
      <c r="U9" t="n">
        <v>65.326134</v>
      </c>
      <c r="V9" t="n">
        <v>911521.0625</v>
      </c>
      <c r="W9" t="n">
        <v>5.743927</v>
      </c>
      <c r="X9" t="n">
        <v>178</v>
      </c>
      <c r="Y9" t="n">
        <v>562.89</v>
      </c>
      <c r="Z9" t="n">
        <v>77.95999999999999</v>
      </c>
      <c r="AA9" t="n">
        <v>168.88</v>
      </c>
      <c r="AB9" t="n">
        <v>303.95</v>
      </c>
      <c r="AC9" t="n">
        <v>21.71</v>
      </c>
      <c r="AD9" t="n">
        <v>619.96</v>
      </c>
      <c r="AE9" t="n">
        <v>7902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295014</v>
      </c>
      <c r="G2" t="n">
        <v>117941</v>
      </c>
      <c r="H2" t="n">
        <v>161632</v>
      </c>
      <c r="I2" t="n">
        <v>-1</v>
      </c>
      <c r="J2" t="n">
        <v>38.9544</v>
      </c>
      <c r="K2" t="n">
        <v>22.2791</v>
      </c>
      <c r="L2" t="n">
        <v>23.1245</v>
      </c>
      <c r="M2" t="n">
        <v>-1</v>
      </c>
      <c r="N2" t="n">
        <v>-339284</v>
      </c>
      <c r="O2" t="n">
        <v>-210703</v>
      </c>
      <c r="P2" t="n">
        <v>-217716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3.82</v>
      </c>
      <c r="AD2" t="n">
        <v>48.42</v>
      </c>
      <c r="AE2" t="n">
        <v>862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1291910</v>
      </c>
      <c r="G3" t="n">
        <v>252707</v>
      </c>
      <c r="H3" t="n">
        <v>360788</v>
      </c>
      <c r="I3" t="n">
        <v>-1</v>
      </c>
      <c r="J3" t="n">
        <v>54.482</v>
      </c>
      <c r="K3" t="n">
        <v>19.3888</v>
      </c>
      <c r="L3" t="n">
        <v>19.6734</v>
      </c>
      <c r="M3" t="n">
        <v>-1</v>
      </c>
      <c r="N3" t="n">
        <v>-56083</v>
      </c>
      <c r="O3" t="n">
        <v>-25529.2</v>
      </c>
      <c r="P3" t="n">
        <v>-26010.7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8.130000000000001</v>
      </c>
      <c r="AD3" t="n">
        <v>146.54</v>
      </c>
      <c r="AE3" t="n">
        <v>2799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144854</v>
      </c>
      <c r="G4" t="n">
        <v>39651</v>
      </c>
      <c r="H4" t="n">
        <v>54897</v>
      </c>
      <c r="I4" t="n">
        <v>-1</v>
      </c>
      <c r="J4" t="n">
        <v>7.78789</v>
      </c>
      <c r="K4" t="n">
        <v>3.50846</v>
      </c>
      <c r="L4" t="n">
        <v>3.67778</v>
      </c>
      <c r="M4" t="n">
        <v>-1</v>
      </c>
      <c r="N4" t="n">
        <v>-18801.8</v>
      </c>
      <c r="O4" t="n">
        <v>-13691.2</v>
      </c>
      <c r="P4" t="n">
        <v>-14790.9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1.29</v>
      </c>
      <c r="AD4" t="n">
        <v>19.54</v>
      </c>
      <c r="AE4" t="n">
        <v>712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231708</v>
      </c>
      <c r="G5" t="n">
        <v>79935</v>
      </c>
      <c r="H5" t="n">
        <v>117598</v>
      </c>
      <c r="I5" t="n">
        <v>-1</v>
      </c>
      <c r="J5" t="n">
        <v>7.69617</v>
      </c>
      <c r="K5" t="n">
        <v>5.42144</v>
      </c>
      <c r="L5" t="n">
        <v>5.56846</v>
      </c>
      <c r="M5" t="n">
        <v>-1</v>
      </c>
      <c r="N5" t="n">
        <v>-29502.3</v>
      </c>
      <c r="O5" t="n">
        <v>-22856</v>
      </c>
      <c r="P5" t="n">
        <v>-25409.3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2.59</v>
      </c>
      <c r="AD5" t="n">
        <v>21.76</v>
      </c>
      <c r="AE5" t="n">
        <v>765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1175050</v>
      </c>
      <c r="G6" t="n">
        <v>286881</v>
      </c>
      <c r="H6" t="n">
        <v>377576</v>
      </c>
      <c r="I6" t="n">
        <v>-1</v>
      </c>
      <c r="J6" t="n">
        <v>34.3964</v>
      </c>
      <c r="K6" t="n">
        <v>14.1361</v>
      </c>
      <c r="L6" t="n">
        <v>15.2064</v>
      </c>
      <c r="M6" t="n">
        <v>-1</v>
      </c>
      <c r="N6" t="n">
        <v>-79240.89999999999</v>
      </c>
      <c r="O6" t="n">
        <v>-52693.9</v>
      </c>
      <c r="P6" t="n">
        <v>-58055.9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6.23</v>
      </c>
      <c r="AD6" t="n">
        <v>87.23</v>
      </c>
      <c r="AE6" t="n">
        <v>1683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1020460</v>
      </c>
      <c r="G7" t="n">
        <v>213606</v>
      </c>
      <c r="H7" t="n">
        <v>298974</v>
      </c>
      <c r="I7" t="n">
        <v>-1</v>
      </c>
      <c r="J7" t="n">
        <v>224.083</v>
      </c>
      <c r="K7" t="n">
        <v>73.01649999999999</v>
      </c>
      <c r="L7" t="n">
        <v>73.7166</v>
      </c>
      <c r="M7" t="n">
        <v>-1</v>
      </c>
      <c r="N7" t="n">
        <v>-81874.89999999999</v>
      </c>
      <c r="O7" t="n">
        <v>-56645</v>
      </c>
      <c r="P7" t="n">
        <v>-69511.60000000001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7.81</v>
      </c>
      <c r="AD7" t="n">
        <v>125.37</v>
      </c>
      <c r="AE7" t="n">
        <v>2139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5936290</v>
      </c>
      <c r="G8" t="n">
        <v>929428</v>
      </c>
      <c r="H8" t="n">
        <v>1203285</v>
      </c>
      <c r="I8" t="n">
        <v>-1</v>
      </c>
      <c r="J8" t="n">
        <v>155.638</v>
      </c>
      <c r="K8" t="n">
        <v>74.98260000000001</v>
      </c>
      <c r="L8" t="n">
        <v>75.61920000000001</v>
      </c>
      <c r="M8" t="n">
        <v>-1</v>
      </c>
      <c r="N8" t="n">
        <v>-441642</v>
      </c>
      <c r="O8" t="n">
        <v>-348509</v>
      </c>
      <c r="P8" t="n">
        <v>-487412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29.96</v>
      </c>
      <c r="AD8" t="n">
        <v>585.15</v>
      </c>
      <c r="AE8" t="n">
        <v>7443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4661100</v>
      </c>
      <c r="G9" t="n">
        <v>702751</v>
      </c>
      <c r="H9" t="n">
        <v>897452</v>
      </c>
      <c r="I9" t="n">
        <v>-1</v>
      </c>
      <c r="J9" t="n">
        <v>145.923</v>
      </c>
      <c r="K9" t="n">
        <v>46.4284</v>
      </c>
      <c r="L9" t="n">
        <v>46.7428</v>
      </c>
      <c r="M9" t="n">
        <v>-1</v>
      </c>
      <c r="N9" t="n">
        <v>-627575</v>
      </c>
      <c r="O9" t="n">
        <v>-294636</v>
      </c>
      <c r="P9" t="n">
        <v>-345504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19.89</v>
      </c>
      <c r="AD9" t="n">
        <v>631.39</v>
      </c>
      <c r="AE9" t="n">
        <v>6659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173086</v>
      </c>
      <c r="F2" t="n">
        <v>203764</v>
      </c>
      <c r="G2" t="n">
        <v>141930</v>
      </c>
      <c r="H2" t="n">
        <v>184865</v>
      </c>
      <c r="I2" t="n">
        <v>22.758326</v>
      </c>
      <c r="J2" t="n">
        <v>23.4476</v>
      </c>
      <c r="K2" t="n">
        <v>19.6559</v>
      </c>
      <c r="L2" t="n">
        <v>24.3839</v>
      </c>
      <c r="M2" t="n">
        <v>-210779.171875</v>
      </c>
      <c r="N2" t="n">
        <v>-225914</v>
      </c>
      <c r="O2" t="n">
        <v>-186322</v>
      </c>
      <c r="P2" t="n">
        <v>-234889</v>
      </c>
      <c r="Q2" t="n">
        <v>0</v>
      </c>
      <c r="R2" t="n">
        <v>0</v>
      </c>
      <c r="S2" t="n">
        <v>0</v>
      </c>
      <c r="T2" t="n">
        <v>68.21148700000001</v>
      </c>
      <c r="U2" t="n">
        <v>63.51255</v>
      </c>
      <c r="V2" t="n">
        <v>40619.699219</v>
      </c>
      <c r="W2" t="n">
        <v>2.896442</v>
      </c>
      <c r="X2" t="n">
        <v>49</v>
      </c>
      <c r="Y2" t="n">
        <v>418.83</v>
      </c>
      <c r="Z2" t="n">
        <v>8.76</v>
      </c>
      <c r="AA2" t="n">
        <v>59.02</v>
      </c>
      <c r="AB2" t="n">
        <v>10.26</v>
      </c>
      <c r="AC2" t="n">
        <v>13.25</v>
      </c>
      <c r="AD2" t="n">
        <v>568.53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251180</v>
      </c>
      <c r="F3" t="n">
        <v>315862</v>
      </c>
      <c r="G3" t="n">
        <v>273422</v>
      </c>
      <c r="H3" t="n">
        <v>431350</v>
      </c>
      <c r="I3" t="n">
        <v>24.18643</v>
      </c>
      <c r="J3" t="n">
        <v>23.5478</v>
      </c>
      <c r="K3" t="n">
        <v>22.1889</v>
      </c>
      <c r="L3" t="n">
        <v>22.7859</v>
      </c>
      <c r="M3" t="n">
        <v>-29786.550781</v>
      </c>
      <c r="N3" t="n">
        <v>-28853.5</v>
      </c>
      <c r="O3" t="n">
        <v>-28025.9</v>
      </c>
      <c r="P3" t="n">
        <v>-29788.4</v>
      </c>
      <c r="Q3" t="n">
        <v>8</v>
      </c>
      <c r="R3" t="n">
        <v>8.625</v>
      </c>
      <c r="S3" t="n">
        <v>0</v>
      </c>
      <c r="T3" t="n">
        <v>84.632034</v>
      </c>
      <c r="U3" t="n">
        <v>67.00973500000001</v>
      </c>
      <c r="V3" t="n">
        <v>66360.40625</v>
      </c>
      <c r="W3" t="n">
        <v>1.945825</v>
      </c>
      <c r="X3" t="n">
        <v>31.999901</v>
      </c>
      <c r="Y3" t="n">
        <v>719.4299999999999</v>
      </c>
      <c r="Z3" t="n">
        <v>27.73</v>
      </c>
      <c r="AA3" t="n">
        <v>533.9</v>
      </c>
      <c r="AB3" t="n">
        <v>62.03</v>
      </c>
      <c r="AC3" t="n">
        <v>33.99</v>
      </c>
      <c r="AD3" t="n">
        <v>803.6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75753.3</v>
      </c>
      <c r="F4" t="n">
        <v>103621</v>
      </c>
      <c r="G4" t="n">
        <v>83881</v>
      </c>
      <c r="H4" t="n">
        <v>81744</v>
      </c>
      <c r="I4" t="n">
        <v>5.803258</v>
      </c>
      <c r="J4" t="n">
        <v>5.21227</v>
      </c>
      <c r="K4" t="n">
        <v>3.86251</v>
      </c>
      <c r="L4" t="n">
        <v>4.3969</v>
      </c>
      <c r="M4" t="n">
        <v>-16757.707031</v>
      </c>
      <c r="N4" t="n">
        <v>-18777.2</v>
      </c>
      <c r="O4" t="n">
        <v>-15877.7</v>
      </c>
      <c r="P4" t="n">
        <v>-21361</v>
      </c>
      <c r="Q4" t="n">
        <v>23</v>
      </c>
      <c r="R4" t="n">
        <v>7.956522</v>
      </c>
      <c r="S4" t="n">
        <v>0</v>
      </c>
      <c r="T4" t="n">
        <v>64.25067900000001</v>
      </c>
      <c r="U4" t="n">
        <v>74.08223700000001</v>
      </c>
      <c r="V4" t="n">
        <v>58043.886719</v>
      </c>
      <c r="W4" t="n">
        <v>2.72136</v>
      </c>
      <c r="X4" t="n">
        <v>38.099155</v>
      </c>
      <c r="Y4" t="n">
        <v>711.4</v>
      </c>
      <c r="Z4" t="n">
        <v>5.93</v>
      </c>
      <c r="AA4" t="n">
        <v>357.99</v>
      </c>
      <c r="AB4" t="n">
        <v>13.89</v>
      </c>
      <c r="AC4" t="n">
        <v>4.31</v>
      </c>
      <c r="AD4" t="n">
        <v>851.25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131254</v>
      </c>
      <c r="F5" t="n">
        <v>177628</v>
      </c>
      <c r="G5" t="n">
        <v>126659</v>
      </c>
      <c r="H5" t="n">
        <v>126199</v>
      </c>
      <c r="I5" t="n">
        <v>6.780962</v>
      </c>
      <c r="J5" t="n">
        <v>4.93957</v>
      </c>
      <c r="K5" t="n">
        <v>4.9471</v>
      </c>
      <c r="L5" t="n">
        <v>4.96312</v>
      </c>
      <c r="M5" t="n">
        <v>-21775.09375</v>
      </c>
      <c r="N5" t="n">
        <v>-23521.2</v>
      </c>
      <c r="O5" t="n">
        <v>-22066.7</v>
      </c>
      <c r="P5" t="n">
        <v>-27234</v>
      </c>
      <c r="Q5" t="n">
        <v>34</v>
      </c>
      <c r="R5" t="n">
        <v>49.235294</v>
      </c>
      <c r="S5" t="n">
        <v>0</v>
      </c>
      <c r="T5" t="n">
        <v>69.961975</v>
      </c>
      <c r="U5" t="n">
        <v>73.46483600000001</v>
      </c>
      <c r="V5" t="n">
        <v>58385.765625</v>
      </c>
      <c r="W5" t="n">
        <v>3.030665</v>
      </c>
      <c r="X5" t="n">
        <v>75</v>
      </c>
      <c r="Y5" t="n">
        <v>523.75</v>
      </c>
      <c r="Z5" t="n">
        <v>6.52</v>
      </c>
      <c r="AA5" t="n">
        <v>388.63</v>
      </c>
      <c r="AB5" t="n">
        <v>13.98</v>
      </c>
      <c r="AC5" t="n">
        <v>5.27</v>
      </c>
      <c r="AD5" t="n">
        <v>575.8200000000001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451679</v>
      </c>
      <c r="F6" t="n">
        <v>663586</v>
      </c>
      <c r="G6" t="n">
        <v>353747</v>
      </c>
      <c r="H6" t="n">
        <v>333751</v>
      </c>
      <c r="I6" t="n">
        <v>16.801151</v>
      </c>
      <c r="J6" t="n">
        <v>16.211</v>
      </c>
      <c r="K6" t="n">
        <v>14.0667</v>
      </c>
      <c r="L6" t="n">
        <v>14.3098</v>
      </c>
      <c r="M6" t="n">
        <v>-42609.574219</v>
      </c>
      <c r="N6" t="n">
        <v>-56224.4</v>
      </c>
      <c r="O6" t="n">
        <v>-43958.6</v>
      </c>
      <c r="P6" t="n">
        <v>-59068</v>
      </c>
      <c r="Q6" t="n">
        <v>105</v>
      </c>
      <c r="R6" t="n">
        <v>63.12381</v>
      </c>
      <c r="S6" t="n">
        <v>0</v>
      </c>
      <c r="T6" t="n">
        <v>54.240864</v>
      </c>
      <c r="U6" t="n">
        <v>88.479477</v>
      </c>
      <c r="V6" t="n">
        <v>234585.09375</v>
      </c>
      <c r="W6" t="n">
        <v>6.360422</v>
      </c>
      <c r="X6" t="n">
        <v>84.000198</v>
      </c>
      <c r="Y6" t="n">
        <v>1088.09</v>
      </c>
      <c r="Z6" t="n">
        <v>12.65</v>
      </c>
      <c r="AA6" t="n">
        <v>635.59</v>
      </c>
      <c r="AB6" t="n">
        <v>117.86</v>
      </c>
      <c r="AC6" t="n">
        <v>14.72</v>
      </c>
      <c r="AD6" t="n">
        <v>1240.1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322772</v>
      </c>
      <c r="F7" t="n">
        <v>404169</v>
      </c>
      <c r="G7" t="n">
        <v>283424</v>
      </c>
      <c r="H7" t="n">
        <v>370155</v>
      </c>
      <c r="I7" t="n">
        <v>157.17897</v>
      </c>
      <c r="J7" t="n">
        <v>115.503</v>
      </c>
      <c r="K7" t="n">
        <v>111.737</v>
      </c>
      <c r="L7" t="n">
        <v>96.1229</v>
      </c>
      <c r="M7" t="n">
        <v>-54873.519531</v>
      </c>
      <c r="N7" t="n">
        <v>-53021.2</v>
      </c>
      <c r="O7" t="n">
        <v>-52310.7</v>
      </c>
      <c r="P7" t="n">
        <v>-77289.2</v>
      </c>
      <c r="Q7" t="n">
        <v>0</v>
      </c>
      <c r="R7" t="n">
        <v>0</v>
      </c>
      <c r="S7" t="n">
        <v>0</v>
      </c>
      <c r="T7" t="n">
        <v>78.36953</v>
      </c>
      <c r="U7" t="n">
        <v>75.865509</v>
      </c>
      <c r="V7" t="n">
        <v>132423</v>
      </c>
      <c r="W7" t="n">
        <v>4.126484</v>
      </c>
      <c r="X7" t="n">
        <v>76.000198</v>
      </c>
      <c r="Y7" t="n">
        <v>925.77</v>
      </c>
      <c r="Z7" t="n">
        <v>25.02</v>
      </c>
      <c r="AA7" t="n">
        <v>736.51</v>
      </c>
      <c r="AB7" t="n">
        <v>94.91</v>
      </c>
      <c r="AC7" t="n">
        <v>26.12</v>
      </c>
      <c r="AD7" t="n">
        <v>988.16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1491450</v>
      </c>
      <c r="F8" t="n">
        <v>1433020</v>
      </c>
      <c r="G8" t="n">
        <v>1110957</v>
      </c>
      <c r="H8" t="n">
        <v>1412351</v>
      </c>
      <c r="I8" t="n">
        <v>135.604492</v>
      </c>
      <c r="J8" t="n">
        <v>106.283</v>
      </c>
      <c r="K8" t="n">
        <v>104.76</v>
      </c>
      <c r="L8" t="n">
        <v>92.523</v>
      </c>
      <c r="M8" t="n">
        <v>-199472.28125</v>
      </c>
      <c r="N8" t="n">
        <v>-274411</v>
      </c>
      <c r="O8" t="n">
        <v>-258916</v>
      </c>
      <c r="P8" t="n">
        <v>-521041</v>
      </c>
      <c r="Q8" t="n">
        <v>6</v>
      </c>
      <c r="R8" t="n">
        <v>178.5</v>
      </c>
      <c r="S8" t="n">
        <v>0</v>
      </c>
      <c r="T8" t="n">
        <v>83.842552</v>
      </c>
      <c r="U8" t="n">
        <v>71.56353</v>
      </c>
      <c r="V8" t="n">
        <v>373989.09375</v>
      </c>
      <c r="W8" t="n">
        <v>3.436831</v>
      </c>
      <c r="X8" t="n">
        <v>157.000214</v>
      </c>
      <c r="Y8" t="n">
        <v>3717.29</v>
      </c>
      <c r="Z8" t="n">
        <v>94.58</v>
      </c>
      <c r="AA8" t="n">
        <v>2474.89</v>
      </c>
      <c r="AB8" t="n">
        <v>787.4299999999999</v>
      </c>
      <c r="AC8" t="n">
        <v>132.08</v>
      </c>
      <c r="AD8" t="n">
        <v>4006.35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1359090</v>
      </c>
      <c r="F9" t="n">
        <v>2587570</v>
      </c>
      <c r="G9" t="n">
        <v>1648959</v>
      </c>
      <c r="H9" t="n">
        <v>1142989</v>
      </c>
      <c r="I9" t="n">
        <v>88.76525100000001</v>
      </c>
      <c r="J9" t="n">
        <v>84.7838</v>
      </c>
      <c r="K9" t="n">
        <v>67.2884</v>
      </c>
      <c r="L9" t="n">
        <v>61.7197</v>
      </c>
      <c r="M9" t="n">
        <v>-391248.40625</v>
      </c>
      <c r="N9" t="n">
        <v>-413098</v>
      </c>
      <c r="O9" t="n">
        <v>-374270</v>
      </c>
      <c r="P9" t="n">
        <v>-619234</v>
      </c>
      <c r="Q9" t="n">
        <v>69</v>
      </c>
      <c r="R9" t="n">
        <v>20152.609375</v>
      </c>
      <c r="S9" t="n">
        <v>0</v>
      </c>
      <c r="T9" t="n">
        <v>61.318192</v>
      </c>
      <c r="U9" t="n">
        <v>75.72197</v>
      </c>
      <c r="V9" t="n">
        <v>2420107.5</v>
      </c>
      <c r="W9" t="n">
        <v>14.642736</v>
      </c>
      <c r="X9" t="n">
        <v>151.000198</v>
      </c>
      <c r="Y9" t="n">
        <v>6763.75</v>
      </c>
      <c r="Z9" t="n">
        <v>72.26000000000001</v>
      </c>
      <c r="AA9" t="n">
        <v>1828.97</v>
      </c>
      <c r="AB9" t="n">
        <v>4519.75</v>
      </c>
      <c r="AC9" t="n">
        <v>69.89</v>
      </c>
      <c r="AD9" t="n">
        <v>7110.24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667017</v>
      </c>
      <c r="G2" t="n">
        <v>146894</v>
      </c>
      <c r="H2" t="n">
        <v>197440</v>
      </c>
      <c r="I2" t="n">
        <v>-1</v>
      </c>
      <c r="J2" t="n">
        <v>29.8284</v>
      </c>
      <c r="K2" t="n">
        <v>19.3224</v>
      </c>
      <c r="L2" t="n">
        <v>23.6626</v>
      </c>
      <c r="M2" t="n">
        <v>-1</v>
      </c>
      <c r="N2" t="n">
        <v>-285808</v>
      </c>
      <c r="O2" t="n">
        <v>-184482</v>
      </c>
      <c r="P2" t="n">
        <v>-227220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15.6</v>
      </c>
      <c r="AD2" t="n">
        <v>574.75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1544410</v>
      </c>
      <c r="G3" t="n">
        <v>288053</v>
      </c>
      <c r="H3" t="n">
        <v>454013</v>
      </c>
      <c r="I3" t="n">
        <v>-1</v>
      </c>
      <c r="J3" t="n">
        <v>38.6977</v>
      </c>
      <c r="K3" t="n">
        <v>22.6933</v>
      </c>
      <c r="L3" t="n">
        <v>23.3373</v>
      </c>
      <c r="M3" t="n">
        <v>-1</v>
      </c>
      <c r="N3" t="n">
        <v>-40773.7</v>
      </c>
      <c r="O3" t="n">
        <v>-27723.6</v>
      </c>
      <c r="P3" t="n">
        <v>-29551.3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35.54</v>
      </c>
      <c r="AD3" t="n">
        <v>1024.55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370210</v>
      </c>
      <c r="G4" t="n">
        <v>84747</v>
      </c>
      <c r="H4" t="n">
        <v>82803</v>
      </c>
      <c r="I4" t="n">
        <v>-1</v>
      </c>
      <c r="J4" t="n">
        <v>11.9283</v>
      </c>
      <c r="K4" t="n">
        <v>4.03877</v>
      </c>
      <c r="L4" t="n">
        <v>4.72006</v>
      </c>
      <c r="M4" t="n">
        <v>-1</v>
      </c>
      <c r="N4" t="n">
        <v>-21630.6</v>
      </c>
      <c r="O4" t="n">
        <v>-15837.8</v>
      </c>
      <c r="P4" t="n">
        <v>-20797.1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3.94</v>
      </c>
      <c r="AD4" t="n">
        <v>832.4400000000001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369058</v>
      </c>
      <c r="G5" t="n">
        <v>118878</v>
      </c>
      <c r="H5" t="n">
        <v>117678</v>
      </c>
      <c r="I5" t="n">
        <v>-1</v>
      </c>
      <c r="J5" t="n">
        <v>6.21099</v>
      </c>
      <c r="K5" t="n">
        <v>4.89671</v>
      </c>
      <c r="L5" t="n">
        <v>4.84443</v>
      </c>
      <c r="M5" t="n">
        <v>-1</v>
      </c>
      <c r="N5" t="n">
        <v>-25755</v>
      </c>
      <c r="O5" t="n">
        <v>-21292</v>
      </c>
      <c r="P5" t="n">
        <v>-27445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3.54</v>
      </c>
      <c r="AD5" t="n">
        <v>484.7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2099980</v>
      </c>
      <c r="G6" t="n">
        <v>465951</v>
      </c>
      <c r="H6" t="n">
        <v>449325</v>
      </c>
      <c r="I6" t="n">
        <v>-1</v>
      </c>
      <c r="J6" t="n">
        <v>23.9766</v>
      </c>
      <c r="K6" t="n">
        <v>14.7965</v>
      </c>
      <c r="L6" t="n">
        <v>15.6288</v>
      </c>
      <c r="M6" t="n">
        <v>-1</v>
      </c>
      <c r="N6" t="n">
        <v>-68143.5</v>
      </c>
      <c r="O6" t="n">
        <v>-47134.4</v>
      </c>
      <c r="P6" t="n">
        <v>-67039.10000000001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15.62</v>
      </c>
      <c r="AD6" t="n">
        <v>1656.65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1289310</v>
      </c>
      <c r="G7" t="n">
        <v>304329</v>
      </c>
      <c r="H7" t="n">
        <v>400562</v>
      </c>
      <c r="I7" t="n">
        <v>-1</v>
      </c>
      <c r="J7" t="n">
        <v>128.641</v>
      </c>
      <c r="K7" t="n">
        <v>111.109</v>
      </c>
      <c r="L7" t="n">
        <v>94.79300000000001</v>
      </c>
      <c r="M7" t="n">
        <v>-1</v>
      </c>
      <c r="N7" t="n">
        <v>-61911</v>
      </c>
      <c r="O7" t="n">
        <v>-51571.8</v>
      </c>
      <c r="P7" t="n">
        <v>-76768.5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32.6</v>
      </c>
      <c r="AD7" t="n">
        <v>1085.16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8724910</v>
      </c>
      <c r="G8" t="n">
        <v>1323462</v>
      </c>
      <c r="H8" t="n">
        <v>1657019</v>
      </c>
      <c r="I8" t="n">
        <v>-1</v>
      </c>
      <c r="J8" t="n">
        <v>158.933</v>
      </c>
      <c r="K8" t="n">
        <v>103.368</v>
      </c>
      <c r="L8" t="n">
        <v>90.05</v>
      </c>
      <c r="M8" t="n">
        <v>-1</v>
      </c>
      <c r="N8" t="n">
        <v>-317441</v>
      </c>
      <c r="O8" t="n">
        <v>-233381</v>
      </c>
      <c r="P8" t="n">
        <v>-475789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170.04</v>
      </c>
      <c r="AD8" t="n">
        <v>5457.99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7895820</v>
      </c>
      <c r="G9" t="n">
        <v>1546547</v>
      </c>
      <c r="H9" t="n">
        <v>1105767</v>
      </c>
      <c r="I9" t="n">
        <v>-1</v>
      </c>
      <c r="J9" t="n">
        <v>108.744</v>
      </c>
      <c r="K9" t="n">
        <v>69.42359999999999</v>
      </c>
      <c r="L9" t="n">
        <v>65.1377</v>
      </c>
      <c r="M9" t="n">
        <v>-1</v>
      </c>
      <c r="N9" t="n">
        <v>-481508</v>
      </c>
      <c r="O9" t="n">
        <v>-346401</v>
      </c>
      <c r="P9" t="n">
        <v>-574137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79.23</v>
      </c>
      <c r="AD9" t="n">
        <v>7367.5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16617500</v>
      </c>
      <c r="F2" t="n">
        <v>25347800</v>
      </c>
      <c r="G2" t="n">
        <v>12944741</v>
      </c>
      <c r="H2" t="n">
        <v>13615376</v>
      </c>
      <c r="I2" t="n">
        <v>33.462872</v>
      </c>
      <c r="J2" t="n">
        <v>28.5469</v>
      </c>
      <c r="K2" t="n">
        <v>26.6167</v>
      </c>
      <c r="L2" t="n">
        <v>23.5213</v>
      </c>
      <c r="M2" t="n">
        <v>-2341137.5</v>
      </c>
      <c r="N2" t="n">
        <v>-3771210</v>
      </c>
      <c r="O2" t="n">
        <v>-3169320</v>
      </c>
      <c r="P2" t="n">
        <v>-5455810</v>
      </c>
      <c r="Q2" t="n">
        <v>2239</v>
      </c>
      <c r="R2" t="n">
        <v>67.018761</v>
      </c>
      <c r="S2" t="n">
        <v>0</v>
      </c>
      <c r="T2" t="n">
        <v>87.239662</v>
      </c>
      <c r="U2" t="n">
        <v>62.507988</v>
      </c>
      <c r="V2" t="n">
        <v>9939822</v>
      </c>
      <c r="W2" t="n">
        <v>17.499657</v>
      </c>
      <c r="X2" t="n">
        <v>493.414429</v>
      </c>
      <c r="Y2" t="n">
        <v>4348.12</v>
      </c>
      <c r="Z2" t="n">
        <v>572.83</v>
      </c>
      <c r="AA2" t="n">
        <v>820.73</v>
      </c>
      <c r="AB2" t="n">
        <v>2543.88</v>
      </c>
      <c r="AC2" t="n">
        <v>398.16</v>
      </c>
      <c r="AD2" t="n">
        <v>5392.41</v>
      </c>
      <c r="AE2" t="n">
        <v>-1</v>
      </c>
      <c r="AF2" t="n">
        <v>17864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6784120</v>
      </c>
      <c r="F3" t="n">
        <v>13149200</v>
      </c>
      <c r="G3" t="n">
        <v>4577371</v>
      </c>
      <c r="H3" t="n">
        <v>5619648</v>
      </c>
      <c r="I3" t="n">
        <v>10.848984</v>
      </c>
      <c r="J3" t="n">
        <v>22.1076</v>
      </c>
      <c r="K3" t="n">
        <v>8.08131</v>
      </c>
      <c r="L3" t="n">
        <v>8.667870000000001</v>
      </c>
      <c r="M3" t="n">
        <v>-434125.59375</v>
      </c>
      <c r="N3" t="n">
        <v>-1312230</v>
      </c>
      <c r="O3" t="n">
        <v>-653018</v>
      </c>
      <c r="P3" t="n">
        <v>-844199</v>
      </c>
      <c r="Q3" t="n">
        <v>3619</v>
      </c>
      <c r="R3" t="n">
        <v>263.721741</v>
      </c>
      <c r="S3" t="n">
        <v>0</v>
      </c>
      <c r="T3" t="n">
        <v>67.567238</v>
      </c>
      <c r="U3" t="n">
        <v>69.379555</v>
      </c>
      <c r="V3" t="n">
        <v>10910179</v>
      </c>
      <c r="W3" t="n">
        <v>17.315573</v>
      </c>
      <c r="X3" t="n">
        <v>238.300095</v>
      </c>
      <c r="Y3" t="n">
        <v>5886.43</v>
      </c>
      <c r="Z3" t="n">
        <v>868.62</v>
      </c>
      <c r="AA3" t="n">
        <v>1713.42</v>
      </c>
      <c r="AB3" t="n">
        <v>3172.19</v>
      </c>
      <c r="AC3" t="n">
        <v>262.84</v>
      </c>
      <c r="AD3" t="n">
        <v>6402.81</v>
      </c>
      <c r="AE3" t="n">
        <v>-1</v>
      </c>
      <c r="AF3" t="n">
        <v>31155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919062</v>
      </c>
      <c r="F4" t="n">
        <v>3073820</v>
      </c>
      <c r="G4" t="n">
        <v>1121385</v>
      </c>
      <c r="H4" t="n">
        <v>1461751</v>
      </c>
      <c r="I4" t="n">
        <v>104.005585</v>
      </c>
      <c r="J4" t="n">
        <v>89.5491</v>
      </c>
      <c r="K4" t="n">
        <v>84.9469</v>
      </c>
      <c r="L4" t="n">
        <v>76.6905</v>
      </c>
      <c r="M4" t="n">
        <v>-327575.9375</v>
      </c>
      <c r="N4" t="n">
        <v>-550171</v>
      </c>
      <c r="O4" t="n">
        <v>-401954</v>
      </c>
      <c r="P4" t="n">
        <v>-405606</v>
      </c>
      <c r="Q4" t="n">
        <v>473</v>
      </c>
      <c r="R4" t="n">
        <v>1039.463013</v>
      </c>
      <c r="S4" t="n">
        <v>0</v>
      </c>
      <c r="T4" t="n">
        <v>63.373379</v>
      </c>
      <c r="U4" t="n">
        <v>70.93055</v>
      </c>
      <c r="V4" t="n">
        <v>1667465.125</v>
      </c>
      <c r="W4" t="n">
        <v>14.974452</v>
      </c>
      <c r="X4" t="n">
        <v>91.385223</v>
      </c>
      <c r="Y4" t="n">
        <v>819.23</v>
      </c>
      <c r="Z4" t="n">
        <v>145.91</v>
      </c>
      <c r="AA4" t="n">
        <v>364.02</v>
      </c>
      <c r="AB4" t="n">
        <v>288.7</v>
      </c>
      <c r="AC4" t="n">
        <v>90.56999999999999</v>
      </c>
      <c r="AD4" t="n">
        <v>968.41</v>
      </c>
      <c r="AE4" t="n">
        <v>-1</v>
      </c>
      <c r="AF4" t="n">
        <v>5810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success</t>
        </is>
      </c>
      <c r="E5" t="n">
        <v>11044400</v>
      </c>
      <c r="F5" t="n">
        <v>30896700</v>
      </c>
      <c r="G5" t="n">
        <v>8284888</v>
      </c>
      <c r="H5" t="n">
        <v>9759794</v>
      </c>
      <c r="I5" t="n">
        <v>8.950592</v>
      </c>
      <c r="J5" t="n">
        <v>17.4731</v>
      </c>
      <c r="K5" t="n">
        <v>6.89115</v>
      </c>
      <c r="L5" t="n">
        <v>8.318490000000001</v>
      </c>
      <c r="M5" t="n">
        <v>-1058986</v>
      </c>
      <c r="N5" t="n">
        <v>-1408010</v>
      </c>
      <c r="O5" t="n">
        <v>-912690</v>
      </c>
      <c r="P5" t="n">
        <v>-1324870</v>
      </c>
      <c r="Q5" t="n">
        <v>11240</v>
      </c>
      <c r="R5" t="n">
        <v>485.73584</v>
      </c>
      <c r="S5" t="n">
        <v>0</v>
      </c>
      <c r="T5" t="n">
        <v>73.16555</v>
      </c>
      <c r="U5" t="n">
        <v>83.112854</v>
      </c>
      <c r="V5" t="n">
        <v>27600118</v>
      </c>
      <c r="W5" t="n">
        <v>25.378555</v>
      </c>
      <c r="X5" t="n">
        <v>312.749298</v>
      </c>
      <c r="Y5" t="n">
        <v>11523.17</v>
      </c>
      <c r="Z5" t="n">
        <v>939.0700000000001</v>
      </c>
      <c r="AA5" t="n">
        <v>4500.58</v>
      </c>
      <c r="AB5" t="n">
        <v>5933.62</v>
      </c>
      <c r="AC5" t="n">
        <v>4059.31</v>
      </c>
      <c r="AD5" t="n">
        <v>15904.29</v>
      </c>
      <c r="AE5" t="n">
        <v>-1</v>
      </c>
      <c r="AF5" t="n">
        <v>30866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4010480</v>
      </c>
      <c r="F6" t="n">
        <v>5199280</v>
      </c>
      <c r="G6" t="n">
        <v>3062204</v>
      </c>
      <c r="H6" t="n">
        <v>4100930</v>
      </c>
      <c r="I6" t="n">
        <v>10.951185</v>
      </c>
      <c r="J6" t="n">
        <v>16.7933</v>
      </c>
      <c r="K6" t="n">
        <v>10.973</v>
      </c>
      <c r="L6" t="n">
        <v>11.1678</v>
      </c>
      <c r="M6" t="n">
        <v>-961940.0625</v>
      </c>
      <c r="N6" t="n">
        <v>-2037220</v>
      </c>
      <c r="O6" t="n">
        <v>-1659400</v>
      </c>
      <c r="P6" t="n">
        <v>-1899020</v>
      </c>
      <c r="Q6" t="n">
        <v>454</v>
      </c>
      <c r="R6" t="n">
        <v>86.32158699999999</v>
      </c>
      <c r="S6" t="n">
        <v>0</v>
      </c>
      <c r="T6" t="n">
        <v>88.525093</v>
      </c>
      <c r="U6" t="n">
        <v>68.234718</v>
      </c>
      <c r="V6" t="n">
        <v>1454381.125</v>
      </c>
      <c r="W6" t="n">
        <v>7.624701</v>
      </c>
      <c r="X6" t="n">
        <v>179.000214</v>
      </c>
      <c r="Y6" t="n">
        <v>1438.33</v>
      </c>
      <c r="Z6" t="n">
        <v>282.15</v>
      </c>
      <c r="AA6" t="n">
        <v>385.27</v>
      </c>
      <c r="AB6" t="n">
        <v>602.48</v>
      </c>
      <c r="AC6" t="n">
        <v>246.54</v>
      </c>
      <c r="AD6" t="n">
        <v>1969.22</v>
      </c>
      <c r="AE6" t="n">
        <v>-1</v>
      </c>
      <c r="AF6" t="n">
        <v>7911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4480720</v>
      </c>
      <c r="F7" t="n">
        <v>2664540</v>
      </c>
      <c r="G7" t="n">
        <v>1703094</v>
      </c>
      <c r="H7" t="n">
        <v>2210126</v>
      </c>
      <c r="I7" t="n">
        <v>11.479802</v>
      </c>
      <c r="J7" t="n">
        <v>11.4755</v>
      </c>
      <c r="K7" t="n">
        <v>7.53442</v>
      </c>
      <c r="L7" t="n">
        <v>8.25629</v>
      </c>
      <c r="M7" t="n">
        <v>-314472.1875</v>
      </c>
      <c r="N7" t="n">
        <v>-767626</v>
      </c>
      <c r="O7" t="n">
        <v>-575777</v>
      </c>
      <c r="P7" t="n">
        <v>-786335</v>
      </c>
      <c r="Q7" t="n">
        <v>840</v>
      </c>
      <c r="R7" t="n">
        <v>101.810715</v>
      </c>
      <c r="S7" t="n">
        <v>0</v>
      </c>
      <c r="T7" t="n">
        <v>81.703812</v>
      </c>
      <c r="U7" t="n">
        <v>52.46479</v>
      </c>
      <c r="V7" t="n">
        <v>433627.3125</v>
      </c>
      <c r="W7" t="n">
        <v>1.697318</v>
      </c>
      <c r="X7" t="n">
        <v>111.522949</v>
      </c>
      <c r="Y7" t="n">
        <v>1139.82</v>
      </c>
      <c r="Z7" t="n">
        <v>222.29</v>
      </c>
      <c r="AA7" t="n">
        <v>322.33</v>
      </c>
      <c r="AB7" t="n">
        <v>498.74</v>
      </c>
      <c r="AC7" t="n">
        <v>161.48</v>
      </c>
      <c r="AD7" t="n">
        <v>1476.51</v>
      </c>
      <c r="AE7" t="n">
        <v>-1</v>
      </c>
      <c r="AF7" t="n">
        <v>11977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1452230</v>
      </c>
      <c r="F8" t="n">
        <v>1074690</v>
      </c>
      <c r="G8" t="n">
        <v>707109</v>
      </c>
      <c r="H8" t="n">
        <v>1000881</v>
      </c>
      <c r="I8" t="n">
        <v>8.075183000000001</v>
      </c>
      <c r="J8" t="n">
        <v>8.92892</v>
      </c>
      <c r="K8" t="n">
        <v>6.77037</v>
      </c>
      <c r="L8" t="n">
        <v>6.89586</v>
      </c>
      <c r="M8" t="n">
        <v>-90230.351562</v>
      </c>
      <c r="N8" t="n">
        <v>-259508</v>
      </c>
      <c r="O8" t="n">
        <v>-210716</v>
      </c>
      <c r="P8" t="n">
        <v>-302231</v>
      </c>
      <c r="Q8" t="n">
        <v>323</v>
      </c>
      <c r="R8" t="n">
        <v>180.773987</v>
      </c>
      <c r="S8" t="n">
        <v>0</v>
      </c>
      <c r="T8" t="n">
        <v>72.690308</v>
      </c>
      <c r="U8" t="n">
        <v>58.218838</v>
      </c>
      <c r="V8" t="n">
        <v>269732.90625</v>
      </c>
      <c r="W8" t="n">
        <v>2.483912</v>
      </c>
      <c r="X8" t="n">
        <v>151.145081</v>
      </c>
      <c r="Y8" t="n">
        <v>485</v>
      </c>
      <c r="Z8" t="n">
        <v>112.73</v>
      </c>
      <c r="AA8" t="n">
        <v>137.87</v>
      </c>
      <c r="AB8" t="n">
        <v>183.41</v>
      </c>
      <c r="AC8" t="n">
        <v>68.86</v>
      </c>
      <c r="AD8" t="n">
        <v>638.23</v>
      </c>
      <c r="AE8" t="n">
        <v>-1</v>
      </c>
      <c r="AF8" t="n">
        <v>5364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2548320</v>
      </c>
      <c r="F9" t="n">
        <v>1857890</v>
      </c>
      <c r="G9" t="n">
        <v>1414462</v>
      </c>
      <c r="H9" t="n">
        <v>1658608</v>
      </c>
      <c r="I9" t="n">
        <v>17.189308</v>
      </c>
      <c r="J9" t="n">
        <v>20.9267</v>
      </c>
      <c r="K9" t="n">
        <v>15.5755</v>
      </c>
      <c r="L9" t="n">
        <v>17.0234</v>
      </c>
      <c r="M9" t="n">
        <v>-1222557.5</v>
      </c>
      <c r="N9" t="n">
        <v>-1958140</v>
      </c>
      <c r="O9" t="n">
        <v>-1634390</v>
      </c>
      <c r="P9" t="n">
        <v>-1842210</v>
      </c>
      <c r="Q9" t="n">
        <v>388</v>
      </c>
      <c r="R9" t="n">
        <v>52.257732</v>
      </c>
      <c r="S9" t="n">
        <v>0</v>
      </c>
      <c r="T9" t="n">
        <v>82.25769</v>
      </c>
      <c r="U9" t="n">
        <v>50.573368</v>
      </c>
      <c r="V9" t="n">
        <v>325821.21875</v>
      </c>
      <c r="W9" t="n">
        <v>1.609781</v>
      </c>
      <c r="X9" t="n">
        <v>134.028046</v>
      </c>
      <c r="Y9" t="n">
        <v>1046.83</v>
      </c>
      <c r="Z9" t="n">
        <v>241.45</v>
      </c>
      <c r="AA9" t="n">
        <v>379.94</v>
      </c>
      <c r="AB9" t="n">
        <v>379.12</v>
      </c>
      <c r="AC9" t="n">
        <v>78.98999999999999</v>
      </c>
      <c r="AD9" t="n">
        <v>1223.57</v>
      </c>
      <c r="AE9" t="n">
        <v>-1</v>
      </c>
      <c r="AF9" t="n">
        <v>8047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2096890</v>
      </c>
      <c r="F10" t="n">
        <v>9167130</v>
      </c>
      <c r="G10" t="n">
        <v>2181400</v>
      </c>
      <c r="H10" t="n">
        <v>2837727</v>
      </c>
      <c r="I10" t="n">
        <v>1219.602783</v>
      </c>
      <c r="J10" t="n">
        <v>1874.09</v>
      </c>
      <c r="K10" t="n">
        <v>941.255</v>
      </c>
      <c r="L10" t="n">
        <v>850.474</v>
      </c>
      <c r="M10" t="n">
        <v>-759563.75</v>
      </c>
      <c r="N10" t="n">
        <v>-1444950</v>
      </c>
      <c r="O10" t="n">
        <v>-967298</v>
      </c>
      <c r="P10" t="n">
        <v>-1084560</v>
      </c>
      <c r="Q10" t="n">
        <v>1951</v>
      </c>
      <c r="R10" t="n">
        <v>846.03125</v>
      </c>
      <c r="S10" t="n">
        <v>0</v>
      </c>
      <c r="T10" t="n">
        <v>49.704296</v>
      </c>
      <c r="U10" t="n">
        <v>82.576256</v>
      </c>
      <c r="V10" t="n">
        <v>6354230.5</v>
      </c>
      <c r="W10" t="n">
        <v>23.124289</v>
      </c>
      <c r="X10" t="n">
        <v>177.991272</v>
      </c>
      <c r="Y10" t="n">
        <v>2773.26</v>
      </c>
      <c r="Z10" t="n">
        <v>336.73</v>
      </c>
      <c r="AA10" t="n">
        <v>782.29</v>
      </c>
      <c r="AB10" t="n">
        <v>1596.26</v>
      </c>
      <c r="AC10" t="n">
        <v>204.82</v>
      </c>
      <c r="AD10" t="n">
        <v>3105.4</v>
      </c>
      <c r="AE10" t="n">
        <v>-1</v>
      </c>
      <c r="AF10" t="n">
        <v>13971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2352210</v>
      </c>
      <c r="F11" t="n">
        <v>2390290</v>
      </c>
      <c r="G11" t="n">
        <v>1320744</v>
      </c>
      <c r="H11" t="n">
        <v>1911655</v>
      </c>
      <c r="I11" t="n">
        <v>12.580756</v>
      </c>
      <c r="J11" t="n">
        <v>15.2228</v>
      </c>
      <c r="K11" t="n">
        <v>10.8144</v>
      </c>
      <c r="L11" t="n">
        <v>10.8214</v>
      </c>
      <c r="M11" t="n">
        <v>-589079.3125</v>
      </c>
      <c r="N11" t="n">
        <v>-1068610</v>
      </c>
      <c r="O11" t="n">
        <v>-837742</v>
      </c>
      <c r="P11" t="n">
        <v>-918766</v>
      </c>
      <c r="Q11" t="n">
        <v>496</v>
      </c>
      <c r="R11" t="n">
        <v>94.433464</v>
      </c>
      <c r="S11" t="n">
        <v>0</v>
      </c>
      <c r="T11" t="n">
        <v>83.251312</v>
      </c>
      <c r="U11" t="n">
        <v>65.00646999999999</v>
      </c>
      <c r="V11" t="n">
        <v>583888.9375</v>
      </c>
      <c r="W11" t="n">
        <v>5.281721</v>
      </c>
      <c r="X11" t="n">
        <v>136.597443</v>
      </c>
      <c r="Y11" t="n">
        <v>731.08</v>
      </c>
      <c r="Z11" t="n">
        <v>158.76</v>
      </c>
      <c r="AA11" t="n">
        <v>216.77</v>
      </c>
      <c r="AB11" t="n">
        <v>265.55</v>
      </c>
      <c r="AC11" t="n">
        <v>109.95</v>
      </c>
      <c r="AD11" t="n">
        <v>998.75</v>
      </c>
      <c r="AE11" t="n">
        <v>-1</v>
      </c>
      <c r="AF11" t="n">
        <v>5051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22812200</v>
      </c>
      <c r="F12" t="n">
        <v>34428300</v>
      </c>
      <c r="G12" t="n">
        <v>8901022</v>
      </c>
      <c r="H12" t="n">
        <v>9785906</v>
      </c>
      <c r="I12" t="n">
        <v>9.528197</v>
      </c>
      <c r="J12" t="n">
        <v>29.9712</v>
      </c>
      <c r="K12" t="n">
        <v>9.36411</v>
      </c>
      <c r="L12" t="n">
        <v>9.85815</v>
      </c>
      <c r="M12" t="n">
        <v>-457593.96875</v>
      </c>
      <c r="N12" t="n">
        <v>-2574070</v>
      </c>
      <c r="O12" t="n">
        <v>-1718590</v>
      </c>
      <c r="P12" t="n">
        <v>-2130250</v>
      </c>
      <c r="Q12" t="n">
        <v>21370</v>
      </c>
      <c r="R12" t="n">
        <v>76.88362100000001</v>
      </c>
      <c r="S12" t="n">
        <v>0</v>
      </c>
      <c r="T12" t="n">
        <v>50.276585</v>
      </c>
      <c r="U12" t="n">
        <v>90.159927</v>
      </c>
      <c r="V12" t="n">
        <v>29114438</v>
      </c>
      <c r="W12" t="n">
        <v>31.272591</v>
      </c>
      <c r="X12" t="n">
        <v>407.000214</v>
      </c>
      <c r="Y12" t="n">
        <v>12826.44</v>
      </c>
      <c r="Z12" t="n">
        <v>820.79</v>
      </c>
      <c r="AA12" t="n">
        <v>3533.08</v>
      </c>
      <c r="AB12" t="n">
        <v>8240.17</v>
      </c>
      <c r="AC12" t="n">
        <v>468.71</v>
      </c>
      <c r="AD12" t="n">
        <v>13746.74</v>
      </c>
      <c r="AE12" t="n">
        <v>-1</v>
      </c>
      <c r="AF12" t="n">
        <v>58651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9252090</v>
      </c>
      <c r="F13" t="n">
        <v>8991350</v>
      </c>
      <c r="G13" t="n">
        <v>4316927</v>
      </c>
      <c r="H13" t="n">
        <v>5063748</v>
      </c>
      <c r="I13" t="n">
        <v>10.048394</v>
      </c>
      <c r="J13" t="n">
        <v>14.0259</v>
      </c>
      <c r="K13" t="n">
        <v>9.28881</v>
      </c>
      <c r="L13" t="n">
        <v>9.39176</v>
      </c>
      <c r="M13" t="n">
        <v>-967898.375</v>
      </c>
      <c r="N13" t="n">
        <v>-2017750</v>
      </c>
      <c r="O13" t="n">
        <v>-1281080</v>
      </c>
      <c r="P13" t="n">
        <v>-1637330</v>
      </c>
      <c r="Q13" t="n">
        <v>90</v>
      </c>
      <c r="R13" t="n">
        <v>12.966666</v>
      </c>
      <c r="S13" t="n">
        <v>0</v>
      </c>
      <c r="T13" t="n">
        <v>58.965546</v>
      </c>
      <c r="U13" t="n">
        <v>47.090607</v>
      </c>
      <c r="V13" t="n">
        <v>3420213.5</v>
      </c>
      <c r="W13" t="n">
        <v>6.979059</v>
      </c>
      <c r="X13" t="n">
        <v>259.000183</v>
      </c>
      <c r="Y13" t="n">
        <v>3222.45</v>
      </c>
      <c r="Z13" t="n">
        <v>526.99</v>
      </c>
      <c r="AA13" t="n">
        <v>639.42</v>
      </c>
      <c r="AB13" t="n">
        <v>1874.74</v>
      </c>
      <c r="AC13" t="n">
        <v>179.95</v>
      </c>
      <c r="AD13" t="n">
        <v>3710.21</v>
      </c>
      <c r="AE13" t="n">
        <v>-1</v>
      </c>
      <c r="AF13" t="n">
        <v>33512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7461820</v>
      </c>
      <c r="F14" t="n">
        <v>4741000</v>
      </c>
      <c r="G14" t="n">
        <v>3512835</v>
      </c>
      <c r="H14" t="n">
        <v>4420204</v>
      </c>
      <c r="I14" t="n">
        <v>13.238487</v>
      </c>
      <c r="J14" t="n">
        <v>11.2055</v>
      </c>
      <c r="K14" t="n">
        <v>8.96625</v>
      </c>
      <c r="L14" t="n">
        <v>9.73296</v>
      </c>
      <c r="M14" t="n">
        <v>-2926628.75</v>
      </c>
      <c r="N14" t="n">
        <v>-3811870</v>
      </c>
      <c r="O14" t="n">
        <v>-3181570</v>
      </c>
      <c r="P14" t="n">
        <v>-3444590</v>
      </c>
      <c r="Q14" t="n">
        <v>1749</v>
      </c>
      <c r="R14" t="n">
        <v>55.758148</v>
      </c>
      <c r="S14" t="n">
        <v>0</v>
      </c>
      <c r="T14" t="n">
        <v>89.889275</v>
      </c>
      <c r="U14" t="n">
        <v>54.282391</v>
      </c>
      <c r="V14" t="n">
        <v>787188.4375</v>
      </c>
      <c r="W14" t="n">
        <v>1.437609</v>
      </c>
      <c r="X14" t="n">
        <v>78.726921</v>
      </c>
      <c r="Y14" t="n">
        <v>4156.23</v>
      </c>
      <c r="Z14" t="n">
        <v>828.77</v>
      </c>
      <c r="AA14" t="n">
        <v>1428.11</v>
      </c>
      <c r="AB14" t="n">
        <v>1780.92</v>
      </c>
      <c r="AC14" t="n">
        <v>309.83</v>
      </c>
      <c r="AD14" t="n">
        <v>4700.86</v>
      </c>
      <c r="AE14" t="n">
        <v>-1</v>
      </c>
      <c r="AF14" t="n">
        <v>25288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3233260</v>
      </c>
      <c r="F15" t="n">
        <v>3728530</v>
      </c>
      <c r="G15" t="n">
        <v>1899621</v>
      </c>
      <c r="H15" t="n">
        <v>2519620</v>
      </c>
      <c r="I15" t="n">
        <v>7.109953</v>
      </c>
      <c r="J15" t="n">
        <v>12.5319</v>
      </c>
      <c r="K15" t="n">
        <v>6.94645</v>
      </c>
      <c r="L15" t="n">
        <v>10.3942</v>
      </c>
      <c r="M15" t="n">
        <v>-222624.6875</v>
      </c>
      <c r="N15" t="n">
        <v>-518854</v>
      </c>
      <c r="O15" t="n">
        <v>-345854</v>
      </c>
      <c r="P15" t="n">
        <v>-507311</v>
      </c>
      <c r="Q15" t="n">
        <v>1610</v>
      </c>
      <c r="R15" t="n">
        <v>49.886337</v>
      </c>
      <c r="S15" t="n">
        <v>0</v>
      </c>
      <c r="T15" t="n">
        <v>90.69132999999999</v>
      </c>
      <c r="U15" t="n">
        <v>57.373386</v>
      </c>
      <c r="V15" t="n">
        <v>1209877.5</v>
      </c>
      <c r="W15" t="n">
        <v>4.698918</v>
      </c>
      <c r="X15" t="n">
        <v>287.415894</v>
      </c>
      <c r="Y15" t="n">
        <v>1329.19</v>
      </c>
      <c r="Z15" t="n">
        <v>295.99</v>
      </c>
      <c r="AA15" t="n">
        <v>378.42</v>
      </c>
      <c r="AB15" t="n">
        <v>560.65</v>
      </c>
      <c r="AC15" t="n">
        <v>112.87</v>
      </c>
      <c r="AD15" t="n">
        <v>1620.27</v>
      </c>
      <c r="AE15" t="n">
        <v>-1</v>
      </c>
      <c r="AF15" t="n">
        <v>8088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1037530</v>
      </c>
      <c r="F16" t="n">
        <v>809469</v>
      </c>
      <c r="G16" t="n">
        <v>539953</v>
      </c>
      <c r="H16" t="n">
        <v>701309</v>
      </c>
      <c r="I16" t="n">
        <v>7.240695</v>
      </c>
      <c r="J16" t="n">
        <v>8.86313</v>
      </c>
      <c r="K16" t="n">
        <v>7.94627</v>
      </c>
      <c r="L16" t="n">
        <v>8.244400000000001</v>
      </c>
      <c r="M16" t="n">
        <v>-45836.597656</v>
      </c>
      <c r="N16" t="n">
        <v>-132189</v>
      </c>
      <c r="O16" t="n">
        <v>-79995.10000000001</v>
      </c>
      <c r="P16" t="n">
        <v>-112637</v>
      </c>
      <c r="Q16" t="n">
        <v>374</v>
      </c>
      <c r="R16" t="n">
        <v>76.59626</v>
      </c>
      <c r="S16" t="n">
        <v>0</v>
      </c>
      <c r="T16" t="n">
        <v>86.328918</v>
      </c>
      <c r="U16" t="n">
        <v>51.019279</v>
      </c>
      <c r="V16" t="n">
        <v>138242.171875</v>
      </c>
      <c r="W16" t="n">
        <v>1.591277</v>
      </c>
      <c r="X16" t="n">
        <v>131.000198</v>
      </c>
      <c r="Y16" t="n">
        <v>377.85</v>
      </c>
      <c r="Z16" t="n">
        <v>71.28</v>
      </c>
      <c r="AA16" t="n">
        <v>182.77</v>
      </c>
      <c r="AB16" t="n">
        <v>88.68000000000001</v>
      </c>
      <c r="AC16" t="n">
        <v>36.74</v>
      </c>
      <c r="AD16" t="n">
        <v>492.81</v>
      </c>
      <c r="AE16" t="n">
        <v>-1</v>
      </c>
      <c r="AF16" t="n">
        <v>3626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3549540</v>
      </c>
      <c r="F17" t="n">
        <v>3883440</v>
      </c>
      <c r="G17" t="n">
        <v>2602631</v>
      </c>
      <c r="H17" t="n">
        <v>3247330</v>
      </c>
      <c r="I17" t="n">
        <v>16.39225</v>
      </c>
      <c r="J17" t="n">
        <v>16.9598</v>
      </c>
      <c r="K17" t="n">
        <v>10.7532</v>
      </c>
      <c r="L17" t="n">
        <v>11.0647</v>
      </c>
      <c r="M17" t="n">
        <v>-683177.0625</v>
      </c>
      <c r="N17" t="n">
        <v>-846213</v>
      </c>
      <c r="O17" t="n">
        <v>-599900</v>
      </c>
      <c r="P17" t="n">
        <v>-775915</v>
      </c>
      <c r="Q17" t="n">
        <v>1650</v>
      </c>
      <c r="R17" t="n">
        <v>267.629089</v>
      </c>
      <c r="S17" t="n">
        <v>0</v>
      </c>
      <c r="T17" t="n">
        <v>82.267067</v>
      </c>
      <c r="U17" t="n">
        <v>52.351425</v>
      </c>
      <c r="V17" t="n">
        <v>556593.5</v>
      </c>
      <c r="W17" t="n">
        <v>2.618623</v>
      </c>
      <c r="X17" t="n">
        <v>274.211975</v>
      </c>
      <c r="Y17" t="n">
        <v>1402.11</v>
      </c>
      <c r="Z17" t="n">
        <v>267.21</v>
      </c>
      <c r="AA17" t="n">
        <v>650.89</v>
      </c>
      <c r="AB17" t="n">
        <v>392.79</v>
      </c>
      <c r="AC17" t="n">
        <v>169.51</v>
      </c>
      <c r="AD17" t="n">
        <v>1743.23</v>
      </c>
      <c r="AE17" t="n">
        <v>-1</v>
      </c>
      <c r="AF17" t="n">
        <v>8078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1659480</v>
      </c>
      <c r="F18" t="n">
        <v>1603670</v>
      </c>
      <c r="G18" t="n">
        <v>1119011</v>
      </c>
      <c r="H18" t="n">
        <v>1476250</v>
      </c>
      <c r="I18" t="n">
        <v>1264.720703</v>
      </c>
      <c r="J18" t="n">
        <v>974.885</v>
      </c>
      <c r="K18" t="n">
        <v>904.428</v>
      </c>
      <c r="L18" t="n">
        <v>804.667</v>
      </c>
      <c r="M18" t="n">
        <v>-377377.125</v>
      </c>
      <c r="N18" t="n">
        <v>-472174</v>
      </c>
      <c r="O18" t="n">
        <v>-428849</v>
      </c>
      <c r="P18" t="n">
        <v>-502048</v>
      </c>
      <c r="Q18" t="n">
        <v>1956</v>
      </c>
      <c r="R18" t="n">
        <v>77.414108</v>
      </c>
      <c r="S18" t="n">
        <v>0</v>
      </c>
      <c r="T18" t="n">
        <v>72.631073</v>
      </c>
      <c r="U18" t="n">
        <v>63.473648</v>
      </c>
      <c r="V18" t="n">
        <v>340442.875</v>
      </c>
      <c r="W18" t="n">
        <v>2.469984</v>
      </c>
      <c r="X18" t="n">
        <v>186.474228</v>
      </c>
      <c r="Y18" t="n">
        <v>795.17</v>
      </c>
      <c r="Z18" t="n">
        <v>160.13</v>
      </c>
      <c r="AA18" t="n">
        <v>189.11</v>
      </c>
      <c r="AB18" t="n">
        <v>399.41</v>
      </c>
      <c r="AC18" t="n">
        <v>96.45</v>
      </c>
      <c r="AD18" t="n">
        <v>987.74</v>
      </c>
      <c r="AE18" t="n">
        <v>-1</v>
      </c>
      <c r="AF18" t="n">
        <v>7375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11498500</v>
      </c>
      <c r="F19" t="n">
        <v>10939800</v>
      </c>
      <c r="G19" t="n">
        <v>4848970</v>
      </c>
      <c r="H19" t="n">
        <v>5826836</v>
      </c>
      <c r="I19" t="n">
        <v>25.590406</v>
      </c>
      <c r="J19" t="n">
        <v>29.7968</v>
      </c>
      <c r="K19" t="n">
        <v>18.539</v>
      </c>
      <c r="L19" t="n">
        <v>18.7772</v>
      </c>
      <c r="M19" t="n">
        <v>-4233881</v>
      </c>
      <c r="N19" t="n">
        <v>-6592080</v>
      </c>
      <c r="O19" t="n">
        <v>-4360470</v>
      </c>
      <c r="P19" t="n">
        <v>-4811940</v>
      </c>
      <c r="Q19" t="n">
        <v>229</v>
      </c>
      <c r="R19" t="n">
        <v>71.733627</v>
      </c>
      <c r="S19" t="n">
        <v>0</v>
      </c>
      <c r="T19" t="n">
        <v>81.284088</v>
      </c>
      <c r="U19" t="n">
        <v>58.872295</v>
      </c>
      <c r="V19" t="n">
        <v>3455949.5</v>
      </c>
      <c r="W19" t="n">
        <v>4.544838</v>
      </c>
      <c r="X19" t="n">
        <v>453</v>
      </c>
      <c r="Y19" t="n">
        <v>7067.95</v>
      </c>
      <c r="Z19" t="n">
        <v>892.84</v>
      </c>
      <c r="AA19" t="n">
        <v>2544.4</v>
      </c>
      <c r="AB19" t="n">
        <v>3431.68</v>
      </c>
      <c r="AC19" t="n">
        <v>256.47</v>
      </c>
      <c r="AD19" t="n">
        <v>7685.48</v>
      </c>
      <c r="AE19" t="n">
        <v>-1</v>
      </c>
      <c r="AF19" t="n">
        <v>41056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883137</v>
      </c>
      <c r="F20" t="n">
        <v>836256</v>
      </c>
      <c r="G20" t="n">
        <v>668679</v>
      </c>
      <c r="H20" t="n">
        <v>921322</v>
      </c>
      <c r="I20" t="n">
        <v>9.972039000000001</v>
      </c>
      <c r="J20" t="n">
        <v>11.0461</v>
      </c>
      <c r="K20" t="n">
        <v>9.875540000000001</v>
      </c>
      <c r="L20" t="n">
        <v>9.661199999999999</v>
      </c>
      <c r="M20" t="n">
        <v>-429739.8125</v>
      </c>
      <c r="N20" t="n">
        <v>-720540</v>
      </c>
      <c r="O20" t="n">
        <v>-573666</v>
      </c>
      <c r="P20" t="n">
        <v>-629803</v>
      </c>
      <c r="Q20" t="n">
        <v>32</v>
      </c>
      <c r="R20" t="n">
        <v>87.03125</v>
      </c>
      <c r="S20" t="n">
        <v>0</v>
      </c>
      <c r="T20" t="n">
        <v>83.973152</v>
      </c>
      <c r="U20" t="n">
        <v>56.227234</v>
      </c>
      <c r="V20" t="n">
        <v>175514.296875</v>
      </c>
      <c r="W20" t="n">
        <v>1.908283</v>
      </c>
      <c r="X20" t="n">
        <v>63.596046</v>
      </c>
      <c r="Y20" t="n">
        <v>483.63</v>
      </c>
      <c r="Z20" t="n">
        <v>102.35</v>
      </c>
      <c r="AA20" t="n">
        <v>244.81</v>
      </c>
      <c r="AB20" t="n">
        <v>117.25</v>
      </c>
      <c r="AC20" t="n">
        <v>48.83</v>
      </c>
      <c r="AD20" t="n">
        <v>583.72</v>
      </c>
      <c r="AE20" t="n">
        <v>-1</v>
      </c>
      <c r="AF20" t="n">
        <v>4329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3415160</v>
      </c>
      <c r="F21" t="n">
        <v>6016170</v>
      </c>
      <c r="G21" t="n">
        <v>3850673</v>
      </c>
      <c r="H21" t="n">
        <v>5226950</v>
      </c>
      <c r="I21" t="n">
        <v>12.822001</v>
      </c>
      <c r="J21" t="n">
        <v>16.4995</v>
      </c>
      <c r="K21" t="n">
        <v>11.3544</v>
      </c>
      <c r="L21" t="n">
        <v>12.8049</v>
      </c>
      <c r="M21" t="n">
        <v>-455932.8125</v>
      </c>
      <c r="N21" t="n">
        <v>-1021490</v>
      </c>
      <c r="O21" t="n">
        <v>-796609</v>
      </c>
      <c r="P21" t="n">
        <v>-1112300</v>
      </c>
      <c r="Q21" t="n">
        <v>798</v>
      </c>
      <c r="R21" t="n">
        <v>682.412292</v>
      </c>
      <c r="S21" t="n">
        <v>0</v>
      </c>
      <c r="T21" t="n">
        <v>95.55851699999999</v>
      </c>
      <c r="U21" t="n">
        <v>75.34741200000001</v>
      </c>
      <c r="V21" t="n">
        <v>2894890</v>
      </c>
      <c r="W21" t="n">
        <v>9.642562</v>
      </c>
      <c r="X21" t="n">
        <v>150.840942</v>
      </c>
      <c r="Y21" t="n">
        <v>6705.81</v>
      </c>
      <c r="Z21" t="n">
        <v>412.39</v>
      </c>
      <c r="AA21" t="n">
        <v>5092.17</v>
      </c>
      <c r="AB21" t="n">
        <v>1147.53</v>
      </c>
      <c r="AC21" t="n">
        <v>12413.57</v>
      </c>
      <c r="AD21" t="n">
        <v>19244.34</v>
      </c>
      <c r="AE21" t="n">
        <v>-1</v>
      </c>
      <c r="AF21" t="n">
        <v>13549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3344750</v>
      </c>
      <c r="F22" t="n">
        <v>2395730</v>
      </c>
      <c r="G22" t="n">
        <v>1581590</v>
      </c>
      <c r="H22" t="n">
        <v>1967091</v>
      </c>
      <c r="I22" t="n">
        <v>9.951033000000001</v>
      </c>
      <c r="J22" t="n">
        <v>9.22218</v>
      </c>
      <c r="K22" t="n">
        <v>7.76216</v>
      </c>
      <c r="L22" t="n">
        <v>8.66451</v>
      </c>
      <c r="M22" t="n">
        <v>-150442.109375</v>
      </c>
      <c r="N22" t="n">
        <v>-561627</v>
      </c>
      <c r="O22" t="n">
        <v>-454053</v>
      </c>
      <c r="P22" t="n">
        <v>-613113</v>
      </c>
      <c r="Q22" t="n">
        <v>744</v>
      </c>
      <c r="R22" t="n">
        <v>79.04435700000001</v>
      </c>
      <c r="S22" t="n">
        <v>0</v>
      </c>
      <c r="T22" t="n">
        <v>50.019855</v>
      </c>
      <c r="U22" t="n">
        <v>64.81636</v>
      </c>
      <c r="V22" t="n">
        <v>891445.375</v>
      </c>
      <c r="W22" t="n">
        <v>3.806716</v>
      </c>
      <c r="X22" t="n">
        <v>117.368111</v>
      </c>
      <c r="Y22" t="n">
        <v>1728.88</v>
      </c>
      <c r="Z22" t="n">
        <v>244.79</v>
      </c>
      <c r="AA22" t="n">
        <v>317.48</v>
      </c>
      <c r="AB22" t="n">
        <v>1074.68</v>
      </c>
      <c r="AC22" t="n">
        <v>101.51</v>
      </c>
      <c r="AD22" t="n">
        <v>2007.24</v>
      </c>
      <c r="AE22" t="n">
        <v>-1</v>
      </c>
      <c r="AF22" t="n">
        <v>19366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695041</v>
      </c>
      <c r="F23" t="n">
        <v>675203</v>
      </c>
      <c r="G23" t="n">
        <v>480110</v>
      </c>
      <c r="H23" t="n">
        <v>548604</v>
      </c>
      <c r="I23" t="n">
        <v>9.831324</v>
      </c>
      <c r="J23" t="n">
        <v>8.815149999999999</v>
      </c>
      <c r="K23" t="n">
        <v>7.87365</v>
      </c>
      <c r="L23" t="n">
        <v>7.6077</v>
      </c>
      <c r="M23" t="n">
        <v>-56333.625</v>
      </c>
      <c r="N23" t="n">
        <v>-72605.10000000001</v>
      </c>
      <c r="O23" t="n">
        <v>-58511.8</v>
      </c>
      <c r="P23" t="n">
        <v>-68199.10000000001</v>
      </c>
      <c r="Q23" t="n">
        <v>1315</v>
      </c>
      <c r="R23" t="n">
        <v>52.851711</v>
      </c>
      <c r="S23" t="n">
        <v>0</v>
      </c>
      <c r="T23" t="n">
        <v>81.533829</v>
      </c>
      <c r="U23" t="n">
        <v>45.716866</v>
      </c>
      <c r="V23" t="n">
        <v>154823.46875</v>
      </c>
      <c r="W23" t="n">
        <v>1.645483</v>
      </c>
      <c r="X23" t="n">
        <v>137.000198</v>
      </c>
      <c r="Y23" t="n">
        <v>246.33</v>
      </c>
      <c r="Z23" t="n">
        <v>59.86</v>
      </c>
      <c r="AA23" t="n">
        <v>77.48999999999999</v>
      </c>
      <c r="AB23" t="n">
        <v>73.70999999999999</v>
      </c>
      <c r="AC23" t="n">
        <v>24.67</v>
      </c>
      <c r="AD23" t="n">
        <v>348.33</v>
      </c>
      <c r="AE23" t="n">
        <v>-1</v>
      </c>
      <c r="AF23" t="n">
        <v>3608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64008500</v>
      </c>
      <c r="F24" t="n">
        <v>49284300</v>
      </c>
      <c r="G24" t="n">
        <v>31835636</v>
      </c>
      <c r="H24" t="n">
        <v>23209541</v>
      </c>
      <c r="I24" t="n">
        <v>1242.616943</v>
      </c>
      <c r="J24" t="n">
        <v>1008.82</v>
      </c>
      <c r="K24" t="n">
        <v>900.201</v>
      </c>
      <c r="L24" t="n">
        <v>801.843</v>
      </c>
      <c r="M24" t="n">
        <v>-60231272</v>
      </c>
      <c r="N24" t="n">
        <v>-93005100</v>
      </c>
      <c r="O24" t="n">
        <v>-77378800</v>
      </c>
      <c r="P24" t="n">
        <v>-98104200</v>
      </c>
      <c r="Q24" t="n">
        <v>733</v>
      </c>
      <c r="R24" t="n">
        <v>74.03274500000001</v>
      </c>
      <c r="S24" t="n">
        <v>0</v>
      </c>
      <c r="T24" t="n">
        <v>92.605881</v>
      </c>
      <c r="U24" t="n">
        <v>59.868942</v>
      </c>
      <c r="V24" t="n">
        <v>5915406.5</v>
      </c>
      <c r="W24" t="n">
        <v>3.182013</v>
      </c>
      <c r="X24" t="n">
        <v>198.175018</v>
      </c>
      <c r="Y24" t="n">
        <v>34937.93</v>
      </c>
      <c r="Z24" t="n">
        <v>2249.21</v>
      </c>
      <c r="AA24" t="n">
        <v>6230.58</v>
      </c>
      <c r="AB24" t="n">
        <v>25932.33</v>
      </c>
      <c r="AC24" t="n">
        <v>1342.58</v>
      </c>
      <c r="AD24" t="n">
        <v>37195.95</v>
      </c>
      <c r="AE24" t="n">
        <v>-1</v>
      </c>
      <c r="AF24" t="n">
        <v>109813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63994300</v>
      </c>
      <c r="G2" t="n">
        <v>15279694</v>
      </c>
      <c r="H2" t="n">
        <v>16160245</v>
      </c>
      <c r="I2" t="n">
        <v>-1</v>
      </c>
      <c r="J2" t="n">
        <v>64.99079999999999</v>
      </c>
      <c r="K2" t="n">
        <v>26.5788</v>
      </c>
      <c r="L2" t="n">
        <v>24.0673</v>
      </c>
      <c r="M2" t="n">
        <v>-1</v>
      </c>
      <c r="N2" t="n">
        <v>-4766050</v>
      </c>
      <c r="O2" t="n">
        <v>-3127390</v>
      </c>
      <c r="P2" t="n">
        <v>-5480430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585.54</v>
      </c>
      <c r="AD2" t="n">
        <v>5657.94</v>
      </c>
      <c r="AE2" t="n">
        <v>-1</v>
      </c>
      <c r="AF2" t="n">
        <v>16697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48895300</v>
      </c>
      <c r="G3" t="n">
        <v>5021229</v>
      </c>
      <c r="H3" t="n">
        <v>6083269</v>
      </c>
      <c r="I3" t="n">
        <v>-1</v>
      </c>
      <c r="J3" t="n">
        <v>25.1093</v>
      </c>
      <c r="K3" t="n">
        <v>8.670540000000001</v>
      </c>
      <c r="L3" t="n">
        <v>9.53715</v>
      </c>
      <c r="M3" t="n">
        <v>-1</v>
      </c>
      <c r="N3" t="n">
        <v>-3162640</v>
      </c>
      <c r="O3" t="n">
        <v>-632600</v>
      </c>
      <c r="P3" t="n">
        <v>-838320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294.61</v>
      </c>
      <c r="AD3" t="n">
        <v>5517.52</v>
      </c>
      <c r="AE3" t="n">
        <v>-1</v>
      </c>
      <c r="AF3" t="n">
        <v>31242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5716870</v>
      </c>
      <c r="G4" t="n">
        <v>1227474</v>
      </c>
      <c r="H4" t="n">
        <v>1598636</v>
      </c>
      <c r="I4" t="n">
        <v>-1</v>
      </c>
      <c r="J4" t="n">
        <v>142.51</v>
      </c>
      <c r="K4" t="n">
        <v>89.3686</v>
      </c>
      <c r="L4" t="n">
        <v>79.5483</v>
      </c>
      <c r="M4" t="n">
        <v>-1</v>
      </c>
      <c r="N4" t="n">
        <v>-726032</v>
      </c>
      <c r="O4" t="n">
        <v>-408825</v>
      </c>
      <c r="P4" t="n">
        <v>-421989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99.59999999999999</v>
      </c>
      <c r="AD4" t="n">
        <v>776.23</v>
      </c>
      <c r="AE4" t="n">
        <v>-1</v>
      </c>
      <c r="AF4" t="n">
        <v>5345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exited with return code -15</t>
        </is>
      </c>
      <c r="E5" t="n">
        <v>-1</v>
      </c>
      <c r="F5" t="n">
        <v>102847000</v>
      </c>
      <c r="G5" t="n">
        <v>10591943</v>
      </c>
      <c r="H5" t="n">
        <v>-1</v>
      </c>
      <c r="I5" t="n">
        <v>-1</v>
      </c>
      <c r="J5" t="n">
        <v>26.5792</v>
      </c>
      <c r="K5" t="n">
        <v>8.590299999999999</v>
      </c>
      <c r="L5" t="n">
        <v>-1</v>
      </c>
      <c r="M5" t="n">
        <v>-1</v>
      </c>
      <c r="N5" t="n">
        <v>-2649950</v>
      </c>
      <c r="O5" t="n">
        <v>-948121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29836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20647200</v>
      </c>
      <c r="G6" t="n">
        <v>3182016</v>
      </c>
      <c r="H6" t="n">
        <v>4258600</v>
      </c>
      <c r="I6" t="n">
        <v>-1</v>
      </c>
      <c r="J6" t="n">
        <v>56.2368</v>
      </c>
      <c r="K6" t="n">
        <v>13.5779</v>
      </c>
      <c r="L6" t="n">
        <v>13.8583</v>
      </c>
      <c r="M6" t="n">
        <v>-1</v>
      </c>
      <c r="N6" t="n">
        <v>-4067080</v>
      </c>
      <c r="O6" t="n">
        <v>-1698110</v>
      </c>
      <c r="P6" t="n">
        <v>-1900180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219.26</v>
      </c>
      <c r="AD6" t="n">
        <v>2012.52</v>
      </c>
      <c r="AE6" t="n">
        <v>-1</v>
      </c>
      <c r="AF6" t="n">
        <v>7303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12852400</v>
      </c>
      <c r="G7" t="n">
        <v>2155643</v>
      </c>
      <c r="H7" t="n">
        <v>2777059</v>
      </c>
      <c r="I7" t="n">
        <v>-1</v>
      </c>
      <c r="J7" t="n">
        <v>21.9492</v>
      </c>
      <c r="K7" t="n">
        <v>9.080019999999999</v>
      </c>
      <c r="L7" t="n">
        <v>9.663959999999999</v>
      </c>
      <c r="M7" t="n">
        <v>-1</v>
      </c>
      <c r="N7" t="n">
        <v>-1144950</v>
      </c>
      <c r="O7" t="n">
        <v>-541245</v>
      </c>
      <c r="P7" t="n">
        <v>-759245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207.93</v>
      </c>
      <c r="AD7" t="n">
        <v>1539.9</v>
      </c>
      <c r="AE7" t="n">
        <v>-1</v>
      </c>
      <c r="AF7" t="n">
        <v>9665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3852080</v>
      </c>
      <c r="G8" t="n">
        <v>827272</v>
      </c>
      <c r="H8" t="n">
        <v>1143463</v>
      </c>
      <c r="I8" t="n">
        <v>-1</v>
      </c>
      <c r="J8" t="n">
        <v>14.0141</v>
      </c>
      <c r="K8" t="n">
        <v>6.82701</v>
      </c>
      <c r="L8" t="n">
        <v>7.4065</v>
      </c>
      <c r="M8" t="n">
        <v>-1</v>
      </c>
      <c r="N8" t="n">
        <v>-360075</v>
      </c>
      <c r="O8" t="n">
        <v>-228899</v>
      </c>
      <c r="P8" t="n">
        <v>-313800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63.86</v>
      </c>
      <c r="AD8" t="n">
        <v>524.9299999999999</v>
      </c>
      <c r="AE8" t="n">
        <v>-1</v>
      </c>
      <c r="AF8" t="n">
        <v>4733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10215200</v>
      </c>
      <c r="G9" t="n">
        <v>1797332</v>
      </c>
      <c r="H9" t="n">
        <v>2136694</v>
      </c>
      <c r="I9" t="n">
        <v>-1</v>
      </c>
      <c r="J9" t="n">
        <v>35.6338</v>
      </c>
      <c r="K9" t="n">
        <v>13.1513</v>
      </c>
      <c r="L9" t="n">
        <v>13.8892</v>
      </c>
      <c r="M9" t="n">
        <v>-1</v>
      </c>
      <c r="N9" t="n">
        <v>-3403570</v>
      </c>
      <c r="O9" t="n">
        <v>-1597270</v>
      </c>
      <c r="P9" t="n">
        <v>-1774530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100.43</v>
      </c>
      <c r="AD9" t="n">
        <v>1199.92</v>
      </c>
      <c r="AE9" t="n">
        <v>-1</v>
      </c>
      <c r="AF9" t="n">
        <v>6942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23632100</v>
      </c>
      <c r="G10" t="n">
        <v>2329626</v>
      </c>
      <c r="H10" t="n">
        <v>2989139</v>
      </c>
      <c r="I10" t="n">
        <v>-1</v>
      </c>
      <c r="J10" t="n">
        <v>2191.24</v>
      </c>
      <c r="K10" t="n">
        <v>949.1799999999999</v>
      </c>
      <c r="L10" t="n">
        <v>859.872</v>
      </c>
      <c r="M10" t="n">
        <v>-1</v>
      </c>
      <c r="N10" t="n">
        <v>-2071070</v>
      </c>
      <c r="O10" t="n">
        <v>-946416</v>
      </c>
      <c r="P10" t="n">
        <v>-1083440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187.62</v>
      </c>
      <c r="AD10" t="n">
        <v>3186.61</v>
      </c>
      <c r="AE10" t="n">
        <v>-1</v>
      </c>
      <c r="AF10" t="n">
        <v>13983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8922920</v>
      </c>
      <c r="G11" t="n">
        <v>1407861</v>
      </c>
      <c r="H11" t="n">
        <v>2014347</v>
      </c>
      <c r="I11" t="n">
        <v>-1</v>
      </c>
      <c r="J11" t="n">
        <v>41.0256</v>
      </c>
      <c r="K11" t="n">
        <v>12.5479</v>
      </c>
      <c r="L11" t="n">
        <v>13.1925</v>
      </c>
      <c r="M11" t="n">
        <v>-1</v>
      </c>
      <c r="N11" t="n">
        <v>-1903660</v>
      </c>
      <c r="O11" t="n">
        <v>-834062</v>
      </c>
      <c r="P11" t="n">
        <v>-916858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104.87</v>
      </c>
      <c r="AD11" t="n">
        <v>1009.4</v>
      </c>
      <c r="AE11" t="n">
        <v>-1</v>
      </c>
      <c r="AF11" t="n">
        <v>4253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96503100</v>
      </c>
      <c r="G12" t="n">
        <v>15427510</v>
      </c>
      <c r="H12" t="n">
        <v>16488849</v>
      </c>
      <c r="I12" t="n">
        <v>-1</v>
      </c>
      <c r="J12" t="n">
        <v>34.6787</v>
      </c>
      <c r="K12" t="n">
        <v>12.232</v>
      </c>
      <c r="L12" t="n">
        <v>12.4988</v>
      </c>
      <c r="M12" t="n">
        <v>-1</v>
      </c>
      <c r="N12" t="n">
        <v>-3512790</v>
      </c>
      <c r="O12" t="n">
        <v>-2152430</v>
      </c>
      <c r="P12" t="n">
        <v>-2983680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29634.77</v>
      </c>
      <c r="AD12" t="n">
        <v>43092.9</v>
      </c>
      <c r="AE12" t="n">
        <v>-1</v>
      </c>
      <c r="AF12" t="n">
        <v>57279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30991700</v>
      </c>
      <c r="G13" t="n">
        <v>4864631</v>
      </c>
      <c r="H13" t="n">
        <v>5826904</v>
      </c>
      <c r="I13" t="n">
        <v>-1</v>
      </c>
      <c r="J13" t="n">
        <v>34.4745</v>
      </c>
      <c r="K13" t="n">
        <v>9.67536</v>
      </c>
      <c r="L13" t="n">
        <v>9.91405</v>
      </c>
      <c r="M13" t="n">
        <v>-1</v>
      </c>
      <c r="N13" t="n">
        <v>-4444950</v>
      </c>
      <c r="O13" t="n">
        <v>-1470310</v>
      </c>
      <c r="P13" t="n">
        <v>-1936430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602.55</v>
      </c>
      <c r="AD13" t="n">
        <v>3715.47</v>
      </c>
      <c r="AE13" t="n">
        <v>-1</v>
      </c>
      <c r="AF13" t="n">
        <v>21658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50697500</v>
      </c>
      <c r="G14" t="n">
        <v>3968059</v>
      </c>
      <c r="H14" t="n">
        <v>4955826</v>
      </c>
      <c r="I14" t="n">
        <v>-1</v>
      </c>
      <c r="J14" t="n">
        <v>45.7433</v>
      </c>
      <c r="K14" t="n">
        <v>11.7957</v>
      </c>
      <c r="L14" t="n">
        <v>11.985</v>
      </c>
      <c r="M14" t="n">
        <v>-1</v>
      </c>
      <c r="N14" t="n">
        <v>-8181230</v>
      </c>
      <c r="O14" t="n">
        <v>-3325900</v>
      </c>
      <c r="P14" t="n">
        <v>-3680340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304.57</v>
      </c>
      <c r="AD14" t="n">
        <v>5703.58</v>
      </c>
      <c r="AE14" t="n">
        <v>-1</v>
      </c>
      <c r="AF14" t="n">
        <v>23953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13658800</v>
      </c>
      <c r="G15" t="n">
        <v>1975511</v>
      </c>
      <c r="H15" t="n">
        <v>2619875</v>
      </c>
      <c r="I15" t="n">
        <v>-1</v>
      </c>
      <c r="J15" t="n">
        <v>20.9039</v>
      </c>
      <c r="K15" t="n">
        <v>8.0746</v>
      </c>
      <c r="L15" t="n">
        <v>10.6055</v>
      </c>
      <c r="M15" t="n">
        <v>-1</v>
      </c>
      <c r="N15" t="n">
        <v>-794040</v>
      </c>
      <c r="O15" t="n">
        <v>-360415</v>
      </c>
      <c r="P15" t="n">
        <v>-533496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115.06</v>
      </c>
      <c r="AD15" t="n">
        <v>1572.98</v>
      </c>
      <c r="AE15" t="n">
        <v>-1</v>
      </c>
      <c r="AF15" t="n">
        <v>7903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2217510</v>
      </c>
      <c r="G16" t="n">
        <v>551409</v>
      </c>
      <c r="H16" t="n">
        <v>719716</v>
      </c>
      <c r="I16" t="n">
        <v>-1</v>
      </c>
      <c r="J16" t="n">
        <v>14.1841</v>
      </c>
      <c r="K16" t="n">
        <v>8.435040000000001</v>
      </c>
      <c r="L16" t="n">
        <v>8.69191</v>
      </c>
      <c r="M16" t="n">
        <v>-1</v>
      </c>
      <c r="N16" t="n">
        <v>-150400</v>
      </c>
      <c r="O16" t="n">
        <v>-85838.89999999999</v>
      </c>
      <c r="P16" t="n">
        <v>-114645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35.28</v>
      </c>
      <c r="AD16" t="n">
        <v>337.66</v>
      </c>
      <c r="AE16" t="n">
        <v>-1</v>
      </c>
      <c r="AF16" t="n">
        <v>3128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11894800</v>
      </c>
      <c r="G17" t="n">
        <v>2432259</v>
      </c>
      <c r="H17" t="n">
        <v>3087479</v>
      </c>
      <c r="I17" t="n">
        <v>-1</v>
      </c>
      <c r="J17" t="n">
        <v>28.6126</v>
      </c>
      <c r="K17" t="n">
        <v>10.6671</v>
      </c>
      <c r="L17" t="n">
        <v>11.5661</v>
      </c>
      <c r="M17" t="n">
        <v>-1</v>
      </c>
      <c r="N17" t="n">
        <v>-1177960</v>
      </c>
      <c r="O17" t="n">
        <v>-647398</v>
      </c>
      <c r="P17" t="n">
        <v>-859676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164.29</v>
      </c>
      <c r="AD17" t="n">
        <v>1482.72</v>
      </c>
      <c r="AE17" t="n">
        <v>-1</v>
      </c>
      <c r="AF17" t="n">
        <v>7149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9037660</v>
      </c>
      <c r="G18" t="n">
        <v>1301841</v>
      </c>
      <c r="H18" t="n">
        <v>1719559</v>
      </c>
      <c r="I18" t="n">
        <v>-1</v>
      </c>
      <c r="J18" t="n">
        <v>2311.51</v>
      </c>
      <c r="K18" t="n">
        <v>939.487</v>
      </c>
      <c r="L18" t="n">
        <v>845.7190000000001</v>
      </c>
      <c r="M18" t="n">
        <v>-1</v>
      </c>
      <c r="N18" t="n">
        <v>-833945</v>
      </c>
      <c r="O18" t="n">
        <v>-444473</v>
      </c>
      <c r="P18" t="n">
        <v>-566237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108.12</v>
      </c>
      <c r="AD18" t="n">
        <v>1287.06</v>
      </c>
      <c r="AE18" t="n">
        <v>-1</v>
      </c>
      <c r="AF18" t="n">
        <v>6905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65716600</v>
      </c>
      <c r="G19" t="n">
        <v>6348468</v>
      </c>
      <c r="H19" t="n">
        <v>7552138</v>
      </c>
      <c r="I19" t="n">
        <v>-1</v>
      </c>
      <c r="J19" t="n">
        <v>102.741</v>
      </c>
      <c r="K19" t="n">
        <v>17.4026</v>
      </c>
      <c r="L19" t="n">
        <v>16.9979</v>
      </c>
      <c r="M19" t="n">
        <v>-1</v>
      </c>
      <c r="N19" t="n">
        <v>-10594900</v>
      </c>
      <c r="O19" t="n">
        <v>-4189240</v>
      </c>
      <c r="P19" t="n">
        <v>-4676760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498.74</v>
      </c>
      <c r="AD19" t="n">
        <v>7611.56</v>
      </c>
      <c r="AE19" t="n">
        <v>-1</v>
      </c>
      <c r="AF19" t="n">
        <v>33827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3833170</v>
      </c>
      <c r="G20" t="n">
        <v>887566</v>
      </c>
      <c r="H20" t="n">
        <v>1202257</v>
      </c>
      <c r="I20" t="n">
        <v>-1</v>
      </c>
      <c r="J20" t="n">
        <v>21.2933</v>
      </c>
      <c r="K20" t="n">
        <v>8.31386</v>
      </c>
      <c r="L20" t="n">
        <v>8.56054</v>
      </c>
      <c r="M20" t="n">
        <v>-1</v>
      </c>
      <c r="N20" t="n">
        <v>-1024930</v>
      </c>
      <c r="O20" t="n">
        <v>-590396</v>
      </c>
      <c r="P20" t="n">
        <v>-658305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63.85</v>
      </c>
      <c r="AD20" t="n">
        <v>583.6</v>
      </c>
      <c r="AE20" t="n">
        <v>-1</v>
      </c>
      <c r="AF20" t="n">
        <v>3983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20203100</v>
      </c>
      <c r="G21" t="n">
        <v>4024039</v>
      </c>
      <c r="H21" t="n">
        <v>5003587</v>
      </c>
      <c r="I21" t="n">
        <v>-1</v>
      </c>
      <c r="J21" t="n">
        <v>36.0289</v>
      </c>
      <c r="K21" t="n">
        <v>11.1645</v>
      </c>
      <c r="L21" t="n">
        <v>11.5654</v>
      </c>
      <c r="M21" t="n">
        <v>-1</v>
      </c>
      <c r="N21" t="n">
        <v>-1518730</v>
      </c>
      <c r="O21" t="n">
        <v>-800029</v>
      </c>
      <c r="P21" t="n">
        <v>-1058570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621.53</v>
      </c>
      <c r="AD21" t="n">
        <v>3905.24</v>
      </c>
      <c r="AE21" t="n">
        <v>-1</v>
      </c>
      <c r="AF21" t="n">
        <v>14136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12786000</v>
      </c>
      <c r="G22" t="n">
        <v>2048079</v>
      </c>
      <c r="H22" t="n">
        <v>2443661</v>
      </c>
      <c r="I22" t="n">
        <v>-1</v>
      </c>
      <c r="J22" t="n">
        <v>18.0052</v>
      </c>
      <c r="K22" t="n">
        <v>7.24816</v>
      </c>
      <c r="L22" t="n">
        <v>7.82095</v>
      </c>
      <c r="M22" t="n">
        <v>-1</v>
      </c>
      <c r="N22" t="n">
        <v>-916041</v>
      </c>
      <c r="O22" t="n">
        <v>-414240</v>
      </c>
      <c r="P22" t="n">
        <v>-557885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101.22</v>
      </c>
      <c r="AD22" t="n">
        <v>1937.48</v>
      </c>
      <c r="AE22" t="n">
        <v>-1</v>
      </c>
      <c r="AF22" t="n">
        <v>15837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2405090</v>
      </c>
      <c r="G23" t="n">
        <v>487669</v>
      </c>
      <c r="H23" t="n">
        <v>563134</v>
      </c>
      <c r="I23" t="n">
        <v>-1</v>
      </c>
      <c r="J23" t="n">
        <v>19.5477</v>
      </c>
      <c r="K23" t="n">
        <v>7.77414</v>
      </c>
      <c r="L23" t="n">
        <v>7.58173</v>
      </c>
      <c r="M23" t="n">
        <v>-1</v>
      </c>
      <c r="N23" t="n">
        <v>-137035</v>
      </c>
      <c r="O23" t="n">
        <v>-61068.6</v>
      </c>
      <c r="P23" t="n">
        <v>-74097.5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25.49</v>
      </c>
      <c r="AD23" t="n">
        <v>324.67</v>
      </c>
      <c r="AE23" t="n">
        <v>-1</v>
      </c>
      <c r="AF23" t="n">
        <v>3316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409895000</v>
      </c>
      <c r="G24" t="n">
        <v>39854798</v>
      </c>
      <c r="H24" t="n">
        <v>29604313</v>
      </c>
      <c r="I24" t="n">
        <v>-1</v>
      </c>
      <c r="J24" t="n">
        <v>3134.92</v>
      </c>
      <c r="K24" t="n">
        <v>929.328</v>
      </c>
      <c r="L24" t="n">
        <v>834.875</v>
      </c>
      <c r="M24" t="n">
        <v>-1</v>
      </c>
      <c r="N24" t="n">
        <v>-275230000</v>
      </c>
      <c r="O24" t="n">
        <v>-98428200</v>
      </c>
      <c r="P24" t="n">
        <v>-130203000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2259.64</v>
      </c>
      <c r="AD24" t="n">
        <v>39382.04</v>
      </c>
      <c r="AE24" t="n">
        <v>-1</v>
      </c>
      <c r="AF24" t="n">
        <v>101607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attention_layer.v</t>
        </is>
      </c>
      <c r="C2" t="inlineStr">
        <is>
          <t>common</t>
        </is>
      </c>
      <c r="D2" t="inlineStr">
        <is>
          <t>success</t>
        </is>
      </c>
      <c r="E2" t="n">
        <v>497104</v>
      </c>
      <c r="F2" t="n">
        <v>558699</v>
      </c>
      <c r="G2" t="n">
        <v>324906</v>
      </c>
      <c r="H2" t="n">
        <v>488580</v>
      </c>
      <c r="I2" t="n">
        <v>15.239582</v>
      </c>
      <c r="J2" t="n">
        <v>6.96433</v>
      </c>
      <c r="K2" t="n">
        <v>5.87918</v>
      </c>
      <c r="L2" t="n">
        <v>10.2821</v>
      </c>
      <c r="M2" t="n">
        <v>-82638.835938</v>
      </c>
      <c r="N2" t="n">
        <v>-147741</v>
      </c>
      <c r="O2" t="n">
        <v>-112526</v>
      </c>
      <c r="P2" t="n">
        <v>-172611</v>
      </c>
      <c r="Q2" t="n">
        <v>15</v>
      </c>
      <c r="R2" t="n">
        <v>59.200001</v>
      </c>
      <c r="S2" t="n">
        <v>0</v>
      </c>
      <c r="T2" t="n">
        <v>39.228531</v>
      </c>
      <c r="U2" t="n">
        <v>43.316154</v>
      </c>
      <c r="V2" t="n">
        <v>167746</v>
      </c>
      <c r="W2" t="n">
        <v>4.598804</v>
      </c>
      <c r="X2" t="n">
        <v>173.000198</v>
      </c>
      <c r="Y2" t="n">
        <v>411.69</v>
      </c>
      <c r="Z2" t="n">
        <v>16.84</v>
      </c>
      <c r="AA2" t="n">
        <v>315.58</v>
      </c>
      <c r="AB2" t="n">
        <v>33.12</v>
      </c>
      <c r="AC2" t="n">
        <v>8.25</v>
      </c>
      <c r="AD2" t="n">
        <v>489.1</v>
      </c>
      <c r="AE2" t="n">
        <v>1067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bnn.v</t>
        </is>
      </c>
      <c r="C3" t="inlineStr">
        <is>
          <t>common</t>
        </is>
      </c>
      <c r="D3" t="inlineStr">
        <is>
          <t>success</t>
        </is>
      </c>
      <c r="E3" t="n">
        <v>953417</v>
      </c>
      <c r="F3" t="n">
        <v>2356510</v>
      </c>
      <c r="G3" t="n">
        <v>890264</v>
      </c>
      <c r="H3" t="n">
        <v>1205068</v>
      </c>
      <c r="I3" t="n">
        <v>12.063805</v>
      </c>
      <c r="J3" t="n">
        <v>15.2712</v>
      </c>
      <c r="K3" t="n">
        <v>8.440580000000001</v>
      </c>
      <c r="L3" t="n">
        <v>8.88908</v>
      </c>
      <c r="M3" t="n">
        <v>-204813.921875</v>
      </c>
      <c r="N3" t="n">
        <v>-208887</v>
      </c>
      <c r="O3" t="n">
        <v>-160409</v>
      </c>
      <c r="P3" t="n">
        <v>-181032</v>
      </c>
      <c r="Q3" t="n">
        <v>10</v>
      </c>
      <c r="R3" t="n">
        <v>55.299999</v>
      </c>
      <c r="S3" t="n">
        <v>0</v>
      </c>
      <c r="T3" t="n">
        <v>75.588509</v>
      </c>
      <c r="U3" t="n">
        <v>75.44510699999999</v>
      </c>
      <c r="V3" t="n">
        <v>2545442.5</v>
      </c>
      <c r="W3" t="n">
        <v>16.48592</v>
      </c>
      <c r="X3" t="n">
        <v>132.231491</v>
      </c>
      <c r="Y3" t="n">
        <v>600.1799999999999</v>
      </c>
      <c r="Z3" t="n">
        <v>56.96</v>
      </c>
      <c r="AA3" t="n">
        <v>355.02</v>
      </c>
      <c r="AB3" t="n">
        <v>164.06</v>
      </c>
      <c r="AC3" t="n">
        <v>26.61</v>
      </c>
      <c r="AD3" t="n">
        <v>670.78</v>
      </c>
      <c r="AE3" t="n">
        <v>6056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bwave_like.fixed.large.v</t>
        </is>
      </c>
      <c r="C4" t="inlineStr">
        <is>
          <t>common</t>
        </is>
      </c>
      <c r="D4" t="inlineStr">
        <is>
          <t>success</t>
        </is>
      </c>
      <c r="E4" t="n">
        <v>3223240</v>
      </c>
      <c r="F4" t="n">
        <v>2322100</v>
      </c>
      <c r="G4" t="n">
        <v>1758316</v>
      </c>
      <c r="H4" t="n">
        <v>2107096</v>
      </c>
      <c r="I4" t="n">
        <v>10.800348</v>
      </c>
      <c r="J4" t="n">
        <v>13.5041</v>
      </c>
      <c r="K4" t="n">
        <v>10.7423</v>
      </c>
      <c r="L4" t="n">
        <v>11.6125</v>
      </c>
      <c r="M4" t="n">
        <v>-468414.15625</v>
      </c>
      <c r="N4" t="n">
        <v>-575436</v>
      </c>
      <c r="O4" t="n">
        <v>-542557</v>
      </c>
      <c r="P4" t="n">
        <v>-833161</v>
      </c>
      <c r="Q4" t="n">
        <v>127</v>
      </c>
      <c r="R4" t="n">
        <v>225.015747</v>
      </c>
      <c r="S4" t="n">
        <v>0</v>
      </c>
      <c r="T4" t="n">
        <v>59.347828</v>
      </c>
      <c r="U4" t="n">
        <v>67.807785</v>
      </c>
      <c r="V4" t="n">
        <v>307282.375</v>
      </c>
      <c r="W4" t="n">
        <v>7.008219</v>
      </c>
      <c r="X4" t="n">
        <v>267.797058</v>
      </c>
      <c r="Y4" t="n">
        <v>489.87</v>
      </c>
      <c r="Z4" t="n">
        <v>59.06</v>
      </c>
      <c r="AA4" t="n">
        <v>38.95</v>
      </c>
      <c r="AB4" t="n">
        <v>252.11</v>
      </c>
      <c r="AC4" t="n">
        <v>161.15</v>
      </c>
      <c r="AD4" t="n">
        <v>831.92</v>
      </c>
      <c r="AE4" t="n">
        <v>1829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bwave_like.fixed.small.v</t>
        </is>
      </c>
      <c r="C5" t="inlineStr">
        <is>
          <t>common</t>
        </is>
      </c>
      <c r="D5" t="inlineStr">
        <is>
          <t>success</t>
        </is>
      </c>
      <c r="E5" t="n">
        <v>529459</v>
      </c>
      <c r="F5" t="n">
        <v>425385</v>
      </c>
      <c r="G5" t="n">
        <v>320784</v>
      </c>
      <c r="H5" t="n">
        <v>424305</v>
      </c>
      <c r="I5" t="n">
        <v>12.196791</v>
      </c>
      <c r="J5" t="n">
        <v>10.2008</v>
      </c>
      <c r="K5" t="n">
        <v>8.69946</v>
      </c>
      <c r="L5" t="n">
        <v>9.279400000000001</v>
      </c>
      <c r="M5" t="n">
        <v>-82659.867188</v>
      </c>
      <c r="N5" t="n">
        <v>-131772</v>
      </c>
      <c r="O5" t="n">
        <v>-123777</v>
      </c>
      <c r="P5" t="n">
        <v>-176406</v>
      </c>
      <c r="Q5" t="n">
        <v>21</v>
      </c>
      <c r="R5" t="n">
        <v>181.285721</v>
      </c>
      <c r="S5" t="n">
        <v>0</v>
      </c>
      <c r="T5" t="n">
        <v>55.213505</v>
      </c>
      <c r="U5" t="n">
        <v>62.260654</v>
      </c>
      <c r="V5" t="n">
        <v>54829.902344</v>
      </c>
      <c r="W5" t="n">
        <v>4.233315</v>
      </c>
      <c r="X5" t="n">
        <v>99.00020600000001</v>
      </c>
      <c r="Y5" t="n">
        <v>93.09</v>
      </c>
      <c r="Z5" t="n">
        <v>14.97</v>
      </c>
      <c r="AA5" t="n">
        <v>11.38</v>
      </c>
      <c r="AB5" t="n">
        <v>20.82</v>
      </c>
      <c r="AC5" t="n">
        <v>8.92</v>
      </c>
      <c r="AD5" t="n">
        <v>168.92</v>
      </c>
      <c r="AE5" t="n">
        <v>494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bwave_like.float.large.v</t>
        </is>
      </c>
      <c r="C6" t="inlineStr">
        <is>
          <t>common</t>
        </is>
      </c>
      <c r="D6" t="inlineStr">
        <is>
          <t>success</t>
        </is>
      </c>
      <c r="E6" t="n">
        <v>7586310</v>
      </c>
      <c r="F6" t="n">
        <v>5610390</v>
      </c>
      <c r="G6" t="n">
        <v>4381105</v>
      </c>
      <c r="H6" t="n">
        <v>5208532</v>
      </c>
      <c r="I6" t="n">
        <v>19.166471</v>
      </c>
      <c r="J6" t="n">
        <v>16.9179</v>
      </c>
      <c r="K6" t="n">
        <v>12.5678</v>
      </c>
      <c r="L6" t="n">
        <v>14.1621</v>
      </c>
      <c r="M6" t="n">
        <v>-1893773.75</v>
      </c>
      <c r="N6" t="n">
        <v>-1735710</v>
      </c>
      <c r="O6" t="n">
        <v>-1562370</v>
      </c>
      <c r="P6" t="n">
        <v>-2548010</v>
      </c>
      <c r="Q6" t="n">
        <v>107</v>
      </c>
      <c r="R6" t="n">
        <v>229.626175</v>
      </c>
      <c r="S6" t="n">
        <v>0</v>
      </c>
      <c r="T6" t="n">
        <v>73.145027</v>
      </c>
      <c r="U6" t="n">
        <v>52.221214</v>
      </c>
      <c r="V6" t="n">
        <v>727878.625</v>
      </c>
      <c r="W6" t="n">
        <v>3.125109</v>
      </c>
      <c r="X6" t="n">
        <v>301.58493</v>
      </c>
      <c r="Y6" t="n">
        <v>1392.81</v>
      </c>
      <c r="Z6" t="n">
        <v>187.56</v>
      </c>
      <c r="AA6" t="n">
        <v>149.47</v>
      </c>
      <c r="AB6" t="n">
        <v>900</v>
      </c>
      <c r="AC6" t="n">
        <v>1886.65</v>
      </c>
      <c r="AD6" t="n">
        <v>3487.07</v>
      </c>
      <c r="AE6" t="n">
        <v>8945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bwave_like.float.small.v</t>
        </is>
      </c>
      <c r="C7" t="inlineStr">
        <is>
          <t>common</t>
        </is>
      </c>
      <c r="D7" t="inlineStr">
        <is>
          <t>success</t>
        </is>
      </c>
      <c r="E7" t="n">
        <v>1314860</v>
      </c>
      <c r="F7" t="n">
        <v>1019280</v>
      </c>
      <c r="G7" t="n">
        <v>787164</v>
      </c>
      <c r="H7" t="n">
        <v>1065871</v>
      </c>
      <c r="I7" t="n">
        <v>15.931285</v>
      </c>
      <c r="J7" t="n">
        <v>11.1527</v>
      </c>
      <c r="K7" t="n">
        <v>7.50437</v>
      </c>
      <c r="L7" t="n">
        <v>8.54579</v>
      </c>
      <c r="M7" t="n">
        <v>-308359.03125</v>
      </c>
      <c r="N7" t="n">
        <v>-356226</v>
      </c>
      <c r="O7" t="n">
        <v>-337476</v>
      </c>
      <c r="P7" t="n">
        <v>-494887</v>
      </c>
      <c r="Q7" t="n">
        <v>12</v>
      </c>
      <c r="R7" t="n">
        <v>182.833328</v>
      </c>
      <c r="S7" t="n">
        <v>0</v>
      </c>
      <c r="T7" t="n">
        <v>74.29679899999999</v>
      </c>
      <c r="U7" t="n">
        <v>47.360519</v>
      </c>
      <c r="V7" t="n">
        <v>189723.484375</v>
      </c>
      <c r="W7" t="n">
        <v>2.937078</v>
      </c>
      <c r="X7" t="n">
        <v>151.000214</v>
      </c>
      <c r="Y7" t="n">
        <v>207.07</v>
      </c>
      <c r="Z7" t="n">
        <v>40.85</v>
      </c>
      <c r="AA7" t="n">
        <v>40.06</v>
      </c>
      <c r="AB7" t="n">
        <v>76.33</v>
      </c>
      <c r="AC7" t="n">
        <v>32.11</v>
      </c>
      <c r="AD7" t="n">
        <v>312.51</v>
      </c>
      <c r="AE7" t="n">
        <v>2383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clstm_like.large.v</t>
        </is>
      </c>
      <c r="C8" t="inlineStr">
        <is>
          <t>common</t>
        </is>
      </c>
      <c r="D8" t="inlineStr">
        <is>
          <t>success</t>
        </is>
      </c>
      <c r="E8" t="n">
        <v>9748900</v>
      </c>
      <c r="F8" t="n">
        <v>10022200</v>
      </c>
      <c r="G8" t="n">
        <v>4313992</v>
      </c>
      <c r="H8" t="n">
        <v>4428628</v>
      </c>
      <c r="I8" t="n">
        <v>11.751633</v>
      </c>
      <c r="J8" t="n">
        <v>16.8858</v>
      </c>
      <c r="K8" t="n">
        <v>7.99536</v>
      </c>
      <c r="L8" t="n">
        <v>8.848269999999999</v>
      </c>
      <c r="M8" t="n">
        <v>-1272549.75</v>
      </c>
      <c r="N8" t="n">
        <v>-2451540</v>
      </c>
      <c r="O8" t="n">
        <v>-1945900</v>
      </c>
      <c r="P8" t="n">
        <v>-2444120</v>
      </c>
      <c r="Q8" t="n">
        <v>274</v>
      </c>
      <c r="R8" t="n">
        <v>59.076641</v>
      </c>
      <c r="S8" t="n">
        <v>0</v>
      </c>
      <c r="T8" t="n">
        <v>71.046806</v>
      </c>
      <c r="U8" t="n">
        <v>65.28836099999999</v>
      </c>
      <c r="V8" t="n">
        <v>11484014</v>
      </c>
      <c r="W8" t="n">
        <v>14.293413</v>
      </c>
      <c r="X8" t="n">
        <v>250.018112</v>
      </c>
      <c r="Y8" t="n">
        <v>4340.85</v>
      </c>
      <c r="Z8" t="n">
        <v>325.61</v>
      </c>
      <c r="AA8" t="n">
        <v>2182.23</v>
      </c>
      <c r="AB8" t="n">
        <v>1680.14</v>
      </c>
      <c r="AC8" t="n">
        <v>118.38</v>
      </c>
      <c r="AD8" t="n">
        <v>4701.16</v>
      </c>
      <c r="AE8" t="n">
        <v>33778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clstm_like.medium.v</t>
        </is>
      </c>
      <c r="C9" t="inlineStr">
        <is>
          <t>common</t>
        </is>
      </c>
      <c r="D9" t="inlineStr">
        <is>
          <t>success</t>
        </is>
      </c>
      <c r="E9" t="n">
        <v>6033740</v>
      </c>
      <c r="F9" t="n">
        <v>5096000</v>
      </c>
      <c r="G9" t="n">
        <v>2575798</v>
      </c>
      <c r="H9" t="n">
        <v>2763810</v>
      </c>
      <c r="I9" t="n">
        <v>13.018092</v>
      </c>
      <c r="J9" t="n">
        <v>15.0084</v>
      </c>
      <c r="K9" t="n">
        <v>7.16166</v>
      </c>
      <c r="L9" t="n">
        <v>8.509040000000001</v>
      </c>
      <c r="M9" t="n">
        <v>-747937.3125</v>
      </c>
      <c r="N9" t="n">
        <v>-1545330</v>
      </c>
      <c r="O9" t="n">
        <v>-1199030</v>
      </c>
      <c r="P9" t="n">
        <v>-1473420</v>
      </c>
      <c r="Q9" t="n">
        <v>137</v>
      </c>
      <c r="R9" t="n">
        <v>43.956203</v>
      </c>
      <c r="S9" t="n">
        <v>0</v>
      </c>
      <c r="T9" t="n">
        <v>71.235626</v>
      </c>
      <c r="U9" t="n">
        <v>63.135376</v>
      </c>
      <c r="V9" t="n">
        <v>5412966</v>
      </c>
      <c r="W9" t="n">
        <v>10.046821</v>
      </c>
      <c r="X9" t="n">
        <v>181.901382</v>
      </c>
      <c r="Y9" t="n">
        <v>1744.64</v>
      </c>
      <c r="Z9" t="n">
        <v>209.61</v>
      </c>
      <c r="AA9" t="n">
        <v>496.39</v>
      </c>
      <c r="AB9" t="n">
        <v>874.02</v>
      </c>
      <c r="AC9" t="n">
        <v>80.13</v>
      </c>
      <c r="AD9" t="n">
        <v>2048.98</v>
      </c>
      <c r="AE9" t="n">
        <v>21571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clstm_like.small.v</t>
        </is>
      </c>
      <c r="C10" t="inlineStr">
        <is>
          <t>common</t>
        </is>
      </c>
      <c r="D10" t="inlineStr">
        <is>
          <t>success</t>
        </is>
      </c>
      <c r="E10" t="n">
        <v>2437900</v>
      </c>
      <c r="F10" t="n">
        <v>1606820</v>
      </c>
      <c r="G10" t="n">
        <v>1003904</v>
      </c>
      <c r="H10" t="n">
        <v>1205132</v>
      </c>
      <c r="I10" t="n">
        <v>14.447506</v>
      </c>
      <c r="J10" t="n">
        <v>10.6681</v>
      </c>
      <c r="K10" t="n">
        <v>6.04876</v>
      </c>
      <c r="L10" t="n">
        <v>6.71031</v>
      </c>
      <c r="M10" t="n">
        <v>-343256.875</v>
      </c>
      <c r="N10" t="n">
        <v>-566637</v>
      </c>
      <c r="O10" t="n">
        <v>-432926</v>
      </c>
      <c r="P10" t="n">
        <v>-540342</v>
      </c>
      <c r="Q10" t="n">
        <v>126</v>
      </c>
      <c r="R10" t="n">
        <v>74.150795</v>
      </c>
      <c r="S10" t="n">
        <v>0</v>
      </c>
      <c r="T10" t="n">
        <v>79.50949900000001</v>
      </c>
      <c r="U10" t="n">
        <v>63.578518</v>
      </c>
      <c r="V10" t="n">
        <v>894831.1875</v>
      </c>
      <c r="W10" t="n">
        <v>3.264723</v>
      </c>
      <c r="X10" t="n">
        <v>173.76239</v>
      </c>
      <c r="Y10" t="n">
        <v>668.77</v>
      </c>
      <c r="Z10" t="n">
        <v>99.95</v>
      </c>
      <c r="AA10" t="n">
        <v>244.93</v>
      </c>
      <c r="AB10" t="n">
        <v>267.35</v>
      </c>
      <c r="AC10" t="n">
        <v>34.71</v>
      </c>
      <c r="AD10" t="n">
        <v>792.41</v>
      </c>
      <c r="AE10" t="n">
        <v>9253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conv_layer.v</t>
        </is>
      </c>
      <c r="C11" t="inlineStr">
        <is>
          <t>common</t>
        </is>
      </c>
      <c r="D11" t="inlineStr">
        <is>
          <t>success</t>
        </is>
      </c>
      <c r="E11" t="n">
        <v>210100</v>
      </c>
      <c r="F11" t="n">
        <v>202344</v>
      </c>
      <c r="G11" t="n">
        <v>157189</v>
      </c>
      <c r="H11" t="n">
        <v>231663</v>
      </c>
      <c r="I11" t="n">
        <v>13.307651</v>
      </c>
      <c r="J11" t="n">
        <v>5.45492</v>
      </c>
      <c r="K11" t="n">
        <v>4.81008</v>
      </c>
      <c r="L11" t="n">
        <v>5.23074</v>
      </c>
      <c r="M11" t="n">
        <v>-64106.230469</v>
      </c>
      <c r="N11" t="n">
        <v>-64514.2</v>
      </c>
      <c r="O11" t="n">
        <v>-58779.4</v>
      </c>
      <c r="P11" t="n">
        <v>-60944.9</v>
      </c>
      <c r="Q11" t="n">
        <v>5</v>
      </c>
      <c r="R11" t="n">
        <v>73</v>
      </c>
      <c r="S11" t="n">
        <v>0</v>
      </c>
      <c r="T11" t="n">
        <v>72.73511499999999</v>
      </c>
      <c r="U11" t="n">
        <v>62.850216</v>
      </c>
      <c r="V11" t="n">
        <v>61022.144531</v>
      </c>
      <c r="W11" t="n">
        <v>2.175167</v>
      </c>
      <c r="X11" t="n">
        <v>43</v>
      </c>
      <c r="Y11" t="n">
        <v>52.18</v>
      </c>
      <c r="Z11" t="n">
        <v>12.18</v>
      </c>
      <c r="AA11" t="n">
        <v>12.94</v>
      </c>
      <c r="AB11" t="n">
        <v>8.550000000000001</v>
      </c>
      <c r="AC11" t="n">
        <v>4.45</v>
      </c>
      <c r="AD11" t="n">
        <v>85.44</v>
      </c>
      <c r="AE11" t="n">
        <v>900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conv_layer_hls.v</t>
        </is>
      </c>
      <c r="C12" t="inlineStr">
        <is>
          <t>common</t>
        </is>
      </c>
      <c r="D12" t="inlineStr">
        <is>
          <t>success</t>
        </is>
      </c>
      <c r="E12" t="n">
        <v>64428.9</v>
      </c>
      <c r="F12" t="n">
        <v>70760.3</v>
      </c>
      <c r="G12" t="n">
        <v>58086</v>
      </c>
      <c r="H12" t="n">
        <v>81954</v>
      </c>
      <c r="I12" t="n">
        <v>8.864219</v>
      </c>
      <c r="J12" t="n">
        <v>9.44355</v>
      </c>
      <c r="K12" t="n">
        <v>7.45842</v>
      </c>
      <c r="L12" t="n">
        <v>7.57046</v>
      </c>
      <c r="M12" t="n">
        <v>-22078.978516</v>
      </c>
      <c r="N12" t="n">
        <v>-21216.5</v>
      </c>
      <c r="O12" t="n">
        <v>-19147.2</v>
      </c>
      <c r="P12" t="n">
        <v>-21088.9</v>
      </c>
      <c r="Q12" t="n">
        <v>2</v>
      </c>
      <c r="R12" t="n">
        <v>3</v>
      </c>
      <c r="S12" t="n">
        <v>0</v>
      </c>
      <c r="T12" t="n">
        <v>6.723186</v>
      </c>
      <c r="U12" t="n">
        <v>41.492249</v>
      </c>
      <c r="V12" t="n">
        <v>17785.25</v>
      </c>
      <c r="W12" t="n">
        <v>1.236719</v>
      </c>
      <c r="X12" t="n">
        <v>73.99936700000001</v>
      </c>
      <c r="Y12" t="n">
        <v>116.7</v>
      </c>
      <c r="Z12" t="n">
        <v>8.99</v>
      </c>
      <c r="AA12" t="n">
        <v>45.6</v>
      </c>
      <c r="AB12" t="n">
        <v>14.56</v>
      </c>
      <c r="AC12" t="n">
        <v>2.85</v>
      </c>
      <c r="AD12" t="n">
        <v>185.13</v>
      </c>
      <c r="AE12" t="n">
        <v>1779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dla_like.large.v</t>
        </is>
      </c>
      <c r="C13" t="inlineStr">
        <is>
          <t>common</t>
        </is>
      </c>
      <c r="D13" t="inlineStr">
        <is>
          <t>success</t>
        </is>
      </c>
      <c r="E13" t="n">
        <v>12893000</v>
      </c>
      <c r="F13" t="n">
        <v>12721300</v>
      </c>
      <c r="G13" t="n">
        <v>6039127</v>
      </c>
      <c r="H13" t="n">
        <v>7581110</v>
      </c>
      <c r="I13" t="n">
        <v>14.375789</v>
      </c>
      <c r="J13" t="n">
        <v>11.918</v>
      </c>
      <c r="K13" t="n">
        <v>7.64619</v>
      </c>
      <c r="L13" t="n">
        <v>8.11679</v>
      </c>
      <c r="M13" t="n">
        <v>-2027677.375</v>
      </c>
      <c r="N13" t="n">
        <v>-2072540</v>
      </c>
      <c r="O13" t="n">
        <v>-1446870</v>
      </c>
      <c r="P13" t="n">
        <v>-1944380</v>
      </c>
      <c r="Q13" t="n">
        <v>1184</v>
      </c>
      <c r="R13" t="n">
        <v>69.99155399999999</v>
      </c>
      <c r="S13" t="n">
        <v>0</v>
      </c>
      <c r="T13" t="n">
        <v>79.940361</v>
      </c>
      <c r="U13" t="n">
        <v>72.022659</v>
      </c>
      <c r="V13" t="n">
        <v>6167061.5</v>
      </c>
      <c r="W13" t="n">
        <v>6.374619</v>
      </c>
      <c r="X13" t="n">
        <v>199</v>
      </c>
      <c r="Y13" t="n">
        <v>12124.83</v>
      </c>
      <c r="Z13" t="n">
        <v>401.87</v>
      </c>
      <c r="AA13" t="n">
        <v>7027.92</v>
      </c>
      <c r="AB13" t="n">
        <v>4313.88</v>
      </c>
      <c r="AC13" t="n">
        <v>171.57</v>
      </c>
      <c r="AD13" t="n">
        <v>12820.28</v>
      </c>
      <c r="AE13" t="n">
        <v>27136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dla_like.medium.v</t>
        </is>
      </c>
      <c r="C14" t="inlineStr">
        <is>
          <t>common</t>
        </is>
      </c>
      <c r="D14" t="inlineStr">
        <is>
          <t>success</t>
        </is>
      </c>
      <c r="E14" t="n">
        <v>2424670</v>
      </c>
      <c r="F14" t="n">
        <v>2837990</v>
      </c>
      <c r="G14" t="n">
        <v>1671945</v>
      </c>
      <c r="H14" t="n">
        <v>2286549</v>
      </c>
      <c r="I14" t="n">
        <v>12.997406</v>
      </c>
      <c r="J14" t="n">
        <v>9.248620000000001</v>
      </c>
      <c r="K14" t="n">
        <v>6.10841</v>
      </c>
      <c r="L14" t="n">
        <v>6.57817</v>
      </c>
      <c r="M14" t="n">
        <v>-601700.6875</v>
      </c>
      <c r="N14" t="n">
        <v>-531487</v>
      </c>
      <c r="O14" t="n">
        <v>-458254</v>
      </c>
      <c r="P14" t="n">
        <v>-540965</v>
      </c>
      <c r="Q14" t="n">
        <v>315</v>
      </c>
      <c r="R14" t="n">
        <v>99.415871</v>
      </c>
      <c r="S14" t="n">
        <v>0</v>
      </c>
      <c r="T14" t="n">
        <v>79.68013000000001</v>
      </c>
      <c r="U14" t="n">
        <v>69.461212</v>
      </c>
      <c r="V14" t="n">
        <v>1147183.375</v>
      </c>
      <c r="W14" t="n">
        <v>3.443951</v>
      </c>
      <c r="X14" t="n">
        <v>124.835686</v>
      </c>
      <c r="Y14" t="n">
        <v>4374.93</v>
      </c>
      <c r="Z14" t="n">
        <v>163.17</v>
      </c>
      <c r="AA14" t="n">
        <v>3544.03</v>
      </c>
      <c r="AB14" t="n">
        <v>507.56</v>
      </c>
      <c r="AC14" t="n">
        <v>53.12</v>
      </c>
      <c r="AD14" t="n">
        <v>4636.44</v>
      </c>
      <c r="AE14" t="n">
        <v>9699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dla_like.small.v</t>
        </is>
      </c>
      <c r="C15" t="inlineStr">
        <is>
          <t>common</t>
        </is>
      </c>
      <c r="D15" t="inlineStr">
        <is>
          <t>success</t>
        </is>
      </c>
      <c r="E15" t="n">
        <v>633232</v>
      </c>
      <c r="F15" t="n">
        <v>1073420</v>
      </c>
      <c r="G15" t="n">
        <v>544007</v>
      </c>
      <c r="H15" t="n">
        <v>817924</v>
      </c>
      <c r="I15" t="n">
        <v>13.072678</v>
      </c>
      <c r="J15" t="n">
        <v>8.7628</v>
      </c>
      <c r="K15" t="n">
        <v>6.32922</v>
      </c>
      <c r="L15" t="n">
        <v>6.09876</v>
      </c>
      <c r="M15" t="n">
        <v>-271697.25</v>
      </c>
      <c r="N15" t="n">
        <v>-205759</v>
      </c>
      <c r="O15" t="n">
        <v>-177490</v>
      </c>
      <c r="P15" t="n">
        <v>-190625</v>
      </c>
      <c r="Q15" t="n">
        <v>187</v>
      </c>
      <c r="R15" t="n">
        <v>66.320854</v>
      </c>
      <c r="S15" t="n">
        <v>0</v>
      </c>
      <c r="T15" t="n">
        <v>80.18576</v>
      </c>
      <c r="U15" t="n">
        <v>70.20433800000001</v>
      </c>
      <c r="V15" t="n">
        <v>697785.625</v>
      </c>
      <c r="W15" t="n">
        <v>4.999395</v>
      </c>
      <c r="X15" t="n">
        <v>111.000198</v>
      </c>
      <c r="Y15" t="n">
        <v>1998.21</v>
      </c>
      <c r="Z15" t="n">
        <v>60.22</v>
      </c>
      <c r="AA15" t="n">
        <v>1778.71</v>
      </c>
      <c r="AB15" t="n">
        <v>135.61</v>
      </c>
      <c r="AC15" t="n">
        <v>19.92</v>
      </c>
      <c r="AD15" t="n">
        <v>2058.5</v>
      </c>
      <c r="AE15" t="n">
        <v>4053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dnnweaver.v</t>
        </is>
      </c>
      <c r="C16" t="inlineStr">
        <is>
          <t>common</t>
        </is>
      </c>
      <c r="D16" t="inlineStr">
        <is>
          <t>success</t>
        </is>
      </c>
      <c r="E16" t="n">
        <v>5393540</v>
      </c>
      <c r="F16" t="n">
        <v>3668020</v>
      </c>
      <c r="G16" t="n">
        <v>2069477</v>
      </c>
      <c r="H16" t="n">
        <v>2848117</v>
      </c>
      <c r="I16" t="n">
        <v>18.581858</v>
      </c>
      <c r="J16" t="n">
        <v>13.6198</v>
      </c>
      <c r="K16" t="n">
        <v>11.3129</v>
      </c>
      <c r="L16" t="n">
        <v>12.798</v>
      </c>
      <c r="M16" t="n">
        <v>-1420465.625</v>
      </c>
      <c r="N16" t="n">
        <v>-1616500</v>
      </c>
      <c r="O16" t="n">
        <v>-1251190</v>
      </c>
      <c r="P16" t="n">
        <v>-1719130</v>
      </c>
      <c r="Q16" t="n">
        <v>33</v>
      </c>
      <c r="R16" t="n">
        <v>21.060606</v>
      </c>
      <c r="S16" t="n">
        <v>0</v>
      </c>
      <c r="T16" t="n">
        <v>45.478836</v>
      </c>
      <c r="U16" t="n">
        <v>67.61979700000001</v>
      </c>
      <c r="V16" t="n">
        <v>1062043.625</v>
      </c>
      <c r="W16" t="n">
        <v>8.252151</v>
      </c>
      <c r="X16" t="n">
        <v>288.817657</v>
      </c>
      <c r="Y16" t="n">
        <v>918.99</v>
      </c>
      <c r="Z16" t="n">
        <v>99.01000000000001</v>
      </c>
      <c r="AA16" t="n">
        <v>192.27</v>
      </c>
      <c r="AB16" t="n">
        <v>471.05</v>
      </c>
      <c r="AC16" t="n">
        <v>63.57</v>
      </c>
      <c r="AD16" t="n">
        <v>1180.07</v>
      </c>
      <c r="AE16" t="n">
        <v>7015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eltwise_layer.v</t>
        </is>
      </c>
      <c r="C17" t="inlineStr">
        <is>
          <t>common</t>
        </is>
      </c>
      <c r="D17" t="inlineStr">
        <is>
          <t>success</t>
        </is>
      </c>
      <c r="E17" t="n">
        <v>136354</v>
      </c>
      <c r="F17" t="n">
        <v>163111</v>
      </c>
      <c r="G17" t="n">
        <v>120047</v>
      </c>
      <c r="H17" t="n">
        <v>179717</v>
      </c>
      <c r="I17" t="n">
        <v>12.92155</v>
      </c>
      <c r="J17" t="n">
        <v>6.00724</v>
      </c>
      <c r="K17" t="n">
        <v>4.86912</v>
      </c>
      <c r="L17" t="n">
        <v>5.10183</v>
      </c>
      <c r="M17" t="n">
        <v>-21301.958984</v>
      </c>
      <c r="N17" t="n">
        <v>-27088.3</v>
      </c>
      <c r="O17" t="n">
        <v>-24789.2</v>
      </c>
      <c r="P17" t="n">
        <v>-27483.3</v>
      </c>
      <c r="Q17" t="n">
        <v>11</v>
      </c>
      <c r="R17" t="n">
        <v>49</v>
      </c>
      <c r="S17" t="n">
        <v>0</v>
      </c>
      <c r="T17" t="n">
        <v>58.026318</v>
      </c>
      <c r="U17" t="n">
        <v>59.978802</v>
      </c>
      <c r="V17" t="n">
        <v>30027.117188</v>
      </c>
      <c r="W17" t="n">
        <v>2.447996</v>
      </c>
      <c r="X17" t="n">
        <v>35</v>
      </c>
      <c r="Y17" t="n">
        <v>37.57</v>
      </c>
      <c r="Z17" t="n">
        <v>7.57</v>
      </c>
      <c r="AA17" t="n">
        <v>6.02</v>
      </c>
      <c r="AB17" t="n">
        <v>5.49</v>
      </c>
      <c r="AC17" t="n">
        <v>3.5</v>
      </c>
      <c r="AD17" t="n">
        <v>68.92</v>
      </c>
      <c r="AE17" t="n">
        <v>391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gemm_layer.v</t>
        </is>
      </c>
      <c r="C18" t="inlineStr">
        <is>
          <t>common</t>
        </is>
      </c>
      <c r="D18" t="inlineStr">
        <is>
          <t>success</t>
        </is>
      </c>
      <c r="E18" t="n">
        <v>808857</v>
      </c>
      <c r="F18" t="n">
        <v>1106300</v>
      </c>
      <c r="G18" t="n">
        <v>648852</v>
      </c>
      <c r="H18" t="n">
        <v>796220</v>
      </c>
      <c r="I18" t="n">
        <v>11.774786</v>
      </c>
      <c r="J18" t="n">
        <v>6.41881</v>
      </c>
      <c r="K18" t="n">
        <v>5.48221</v>
      </c>
      <c r="L18" t="n">
        <v>6.39951</v>
      </c>
      <c r="M18" t="n">
        <v>-83682.84375</v>
      </c>
      <c r="N18" t="n">
        <v>-153016</v>
      </c>
      <c r="O18" t="n">
        <v>-123773</v>
      </c>
      <c r="P18" t="n">
        <v>-146673</v>
      </c>
      <c r="Q18" t="n">
        <v>76</v>
      </c>
      <c r="R18" t="n">
        <v>75</v>
      </c>
      <c r="S18" t="n">
        <v>0</v>
      </c>
      <c r="T18" t="n">
        <v>35.384975</v>
      </c>
      <c r="U18" t="n">
        <v>79.083519</v>
      </c>
      <c r="V18" t="n">
        <v>167076.640625</v>
      </c>
      <c r="W18" t="n">
        <v>3.116055</v>
      </c>
      <c r="X18" t="n">
        <v>151.000198</v>
      </c>
      <c r="Y18" t="n">
        <v>118.84</v>
      </c>
      <c r="Z18" t="n">
        <v>14.26</v>
      </c>
      <c r="AA18" t="n">
        <v>18.33</v>
      </c>
      <c r="AB18" t="n">
        <v>37.25</v>
      </c>
      <c r="AC18" t="n">
        <v>8.289999999999999</v>
      </c>
      <c r="AD18" t="n">
        <v>195.57</v>
      </c>
      <c r="AE18" t="n">
        <v>2192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lenet.v</t>
        </is>
      </c>
      <c r="C19" t="inlineStr">
        <is>
          <t>common</t>
        </is>
      </c>
      <c r="D19" t="inlineStr">
        <is>
          <t>success</t>
        </is>
      </c>
      <c r="E19" t="n">
        <v>87153.8</v>
      </c>
      <c r="F19" t="n">
        <v>164885</v>
      </c>
      <c r="G19" t="n">
        <v>112377</v>
      </c>
      <c r="H19" t="n">
        <v>193238</v>
      </c>
      <c r="I19" t="n">
        <v>18.546486</v>
      </c>
      <c r="J19" t="n">
        <v>11.0653</v>
      </c>
      <c r="K19" t="n">
        <v>9.848369999999999</v>
      </c>
      <c r="L19" t="n">
        <v>9.368119999999999</v>
      </c>
      <c r="M19" t="n">
        <v>-29064.771484</v>
      </c>
      <c r="N19" t="n">
        <v>-19372.5</v>
      </c>
      <c r="O19" t="n">
        <v>-18278.3</v>
      </c>
      <c r="P19" t="n">
        <v>-18751.5</v>
      </c>
      <c r="Q19" t="n">
        <v>11</v>
      </c>
      <c r="R19" t="n">
        <v>19.09091</v>
      </c>
      <c r="S19" t="n">
        <v>0</v>
      </c>
      <c r="T19" t="n">
        <v>61.055855</v>
      </c>
      <c r="U19" t="n">
        <v>59.692146</v>
      </c>
      <c r="V19" t="n">
        <v>54671.121094</v>
      </c>
      <c r="W19" t="n">
        <v>2.377212</v>
      </c>
      <c r="X19" t="n">
        <v>25.756687</v>
      </c>
      <c r="Y19" t="n">
        <v>73.93000000000001</v>
      </c>
      <c r="Z19" t="n">
        <v>14.15</v>
      </c>
      <c r="AA19" t="n">
        <v>22.54</v>
      </c>
      <c r="AB19" t="n">
        <v>15.93</v>
      </c>
      <c r="AC19" t="n">
        <v>5.88</v>
      </c>
      <c r="AD19" t="n">
        <v>109.54</v>
      </c>
      <c r="AE19" t="n">
        <v>1230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lstm.v</t>
        </is>
      </c>
      <c r="C20" t="inlineStr">
        <is>
          <t>common</t>
        </is>
      </c>
      <c r="D20" t="inlineStr">
        <is>
          <t>success</t>
        </is>
      </c>
      <c r="E20" t="n">
        <v>2239760</v>
      </c>
      <c r="F20" t="n">
        <v>1924820</v>
      </c>
      <c r="G20" t="n">
        <v>1247125</v>
      </c>
      <c r="H20" t="n">
        <v>1725693</v>
      </c>
      <c r="I20" t="n">
        <v>14.35751</v>
      </c>
      <c r="J20" t="n">
        <v>13.8954</v>
      </c>
      <c r="K20" t="n">
        <v>7.56528</v>
      </c>
      <c r="L20" t="n">
        <v>8.936019999999999</v>
      </c>
      <c r="M20" t="n">
        <v>-321928.21875</v>
      </c>
      <c r="N20" t="n">
        <v>-519282</v>
      </c>
      <c r="O20" t="n">
        <v>-420924</v>
      </c>
      <c r="P20" t="n">
        <v>-591524</v>
      </c>
      <c r="Q20" t="n">
        <v>101</v>
      </c>
      <c r="R20" t="n">
        <v>55.554455</v>
      </c>
      <c r="S20" t="n">
        <v>0</v>
      </c>
      <c r="T20" t="n">
        <v>52.933609</v>
      </c>
      <c r="U20" t="n">
        <v>38.567425</v>
      </c>
      <c r="V20" t="n">
        <v>368085.53125</v>
      </c>
      <c r="W20" t="n">
        <v>2.149656</v>
      </c>
      <c r="X20" t="n">
        <v>161.000214</v>
      </c>
      <c r="Y20" t="n">
        <v>2178.78</v>
      </c>
      <c r="Z20" t="n">
        <v>78.81999999999999</v>
      </c>
      <c r="AA20" t="n">
        <v>1792.46</v>
      </c>
      <c r="AB20" t="n">
        <v>148.78</v>
      </c>
      <c r="AC20" t="n">
        <v>34.33</v>
      </c>
      <c r="AD20" t="n">
        <v>2403.46</v>
      </c>
      <c r="AE20" t="n">
        <v>4480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reduction_layer.v</t>
        </is>
      </c>
      <c r="C21" t="inlineStr">
        <is>
          <t>common</t>
        </is>
      </c>
      <c r="D21" t="inlineStr">
        <is>
          <t>success</t>
        </is>
      </c>
      <c r="E21" t="n">
        <v>105785</v>
      </c>
      <c r="F21" t="n">
        <v>106873</v>
      </c>
      <c r="G21" t="n">
        <v>94115</v>
      </c>
      <c r="H21" t="n">
        <v>157332</v>
      </c>
      <c r="I21" t="n">
        <v>11.277467</v>
      </c>
      <c r="J21" t="n">
        <v>7.01436</v>
      </c>
      <c r="K21" t="n">
        <v>5.69018</v>
      </c>
      <c r="L21" t="n">
        <v>5.9429</v>
      </c>
      <c r="M21" t="n">
        <v>-40290.035156</v>
      </c>
      <c r="N21" t="n">
        <v>-57248.9</v>
      </c>
      <c r="O21" t="n">
        <v>-46920</v>
      </c>
      <c r="P21" t="n">
        <v>-53543.7</v>
      </c>
      <c r="Q21" t="n">
        <v>3</v>
      </c>
      <c r="R21" t="n">
        <v>6.666667</v>
      </c>
      <c r="S21" t="n">
        <v>0</v>
      </c>
      <c r="T21" t="n">
        <v>70.85020400000001</v>
      </c>
      <c r="U21" t="n">
        <v>60.490231</v>
      </c>
      <c r="V21" t="n">
        <v>48136.917969</v>
      </c>
      <c r="W21" t="n">
        <v>3.42003</v>
      </c>
      <c r="X21" t="n">
        <v>50.649483</v>
      </c>
      <c r="Y21" t="n">
        <v>45.1</v>
      </c>
      <c r="Z21" t="n">
        <v>6.99</v>
      </c>
      <c r="AA21" t="n">
        <v>15.62</v>
      </c>
      <c r="AB21" t="n">
        <v>4.87</v>
      </c>
      <c r="AC21" t="n">
        <v>4.24</v>
      </c>
      <c r="AD21" t="n">
        <v>77.45999999999999</v>
      </c>
      <c r="AE21" t="n">
        <v>635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robot_rl.v</t>
        </is>
      </c>
      <c r="C22" t="inlineStr">
        <is>
          <t>common</t>
        </is>
      </c>
      <c r="D22" t="inlineStr">
        <is>
          <t>success</t>
        </is>
      </c>
      <c r="E22" t="n">
        <v>149553</v>
      </c>
      <c r="F22" t="n">
        <v>154013</v>
      </c>
      <c r="G22" t="n">
        <v>104071</v>
      </c>
      <c r="H22" t="n">
        <v>172719</v>
      </c>
      <c r="I22" t="n">
        <v>16.352411</v>
      </c>
      <c r="J22" t="n">
        <v>8.142860000000001</v>
      </c>
      <c r="K22" t="n">
        <v>6.04568</v>
      </c>
      <c r="L22" t="n">
        <v>6.39472</v>
      </c>
      <c r="M22" t="n">
        <v>-48265.1875</v>
      </c>
      <c r="N22" t="n">
        <v>-47767.6</v>
      </c>
      <c r="O22" t="n">
        <v>-43003.3</v>
      </c>
      <c r="P22" t="n">
        <v>-47758.8</v>
      </c>
      <c r="Q22" t="n">
        <v>7</v>
      </c>
      <c r="R22" t="n">
        <v>27.714285</v>
      </c>
      <c r="S22" t="n">
        <v>0</v>
      </c>
      <c r="T22" t="n">
        <v>61.026352</v>
      </c>
      <c r="U22" t="n">
        <v>63.924297</v>
      </c>
      <c r="V22" t="n">
        <v>46154.878906</v>
      </c>
      <c r="W22" t="n">
        <v>2.008044</v>
      </c>
      <c r="X22" t="n">
        <v>36.028248</v>
      </c>
      <c r="Y22" t="n">
        <v>69.70999999999999</v>
      </c>
      <c r="Z22" t="n">
        <v>11.12</v>
      </c>
      <c r="AA22" t="n">
        <v>26.84</v>
      </c>
      <c r="AB22" t="n">
        <v>12.39</v>
      </c>
      <c r="AC22" t="n">
        <v>4.31</v>
      </c>
      <c r="AD22" t="n">
        <v>103.03</v>
      </c>
      <c r="AE22" t="n">
        <v>953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softmax.v</t>
        </is>
      </c>
      <c r="C23" t="inlineStr">
        <is>
          <t>common</t>
        </is>
      </c>
      <c r="D23" t="inlineStr">
        <is>
          <t>success</t>
        </is>
      </c>
      <c r="E23" t="n">
        <v>79927.39999999999</v>
      </c>
      <c r="F23" t="n">
        <v>104034</v>
      </c>
      <c r="G23" t="n">
        <v>81293</v>
      </c>
      <c r="H23" t="n">
        <v>129556</v>
      </c>
      <c r="I23" t="n">
        <v>15.674168</v>
      </c>
      <c r="J23" t="n">
        <v>10.5888</v>
      </c>
      <c r="K23" t="n">
        <v>9.571099999999999</v>
      </c>
      <c r="L23" t="n">
        <v>8.82577</v>
      </c>
      <c r="M23" t="n">
        <v>-17092.513672</v>
      </c>
      <c r="N23" t="n">
        <v>-16055.7</v>
      </c>
      <c r="O23" t="n">
        <v>-15283.3</v>
      </c>
      <c r="P23" t="n">
        <v>-16200.4</v>
      </c>
      <c r="Q23" t="n">
        <v>5</v>
      </c>
      <c r="R23" t="n">
        <v>49</v>
      </c>
      <c r="S23" t="n">
        <v>0</v>
      </c>
      <c r="T23" t="n">
        <v>45.487366</v>
      </c>
      <c r="U23" t="n">
        <v>36.903454</v>
      </c>
      <c r="V23" t="n">
        <v>8855.125977</v>
      </c>
      <c r="W23" t="n">
        <v>0.747962</v>
      </c>
      <c r="X23" t="n">
        <v>34.568657</v>
      </c>
      <c r="Y23" t="n">
        <v>40.75</v>
      </c>
      <c r="Z23" t="n">
        <v>6.25</v>
      </c>
      <c r="AA23" t="n">
        <v>10.54</v>
      </c>
      <c r="AB23" t="n">
        <v>5.1</v>
      </c>
      <c r="AC23" t="n">
        <v>2.96</v>
      </c>
      <c r="AD23" t="n">
        <v>71.94</v>
      </c>
      <c r="AE23" t="n">
        <v>517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spmv.v</t>
        </is>
      </c>
      <c r="C24" t="inlineStr">
        <is>
          <t>common</t>
        </is>
      </c>
      <c r="D24" t="inlineStr">
        <is>
          <t>success</t>
        </is>
      </c>
      <c r="E24" t="n">
        <v>165164</v>
      </c>
      <c r="F24" t="n">
        <v>224431</v>
      </c>
      <c r="G24" t="n">
        <v>141977</v>
      </c>
      <c r="H24" t="n">
        <v>200144</v>
      </c>
      <c r="I24" t="n">
        <v>8.090427999999999</v>
      </c>
      <c r="J24" t="n">
        <v>7.87568</v>
      </c>
      <c r="K24" t="n">
        <v>6.34042</v>
      </c>
      <c r="L24" t="n">
        <v>6.80184</v>
      </c>
      <c r="M24" t="n">
        <v>-34178.269531</v>
      </c>
      <c r="N24" t="n">
        <v>-43403.1</v>
      </c>
      <c r="O24" t="n">
        <v>-40466.8</v>
      </c>
      <c r="P24" t="n">
        <v>-48795.5</v>
      </c>
      <c r="Q24" t="n">
        <v>0</v>
      </c>
      <c r="R24" t="n">
        <v>0</v>
      </c>
      <c r="S24" t="n">
        <v>0</v>
      </c>
      <c r="T24" t="n">
        <v>45.204178</v>
      </c>
      <c r="U24" t="n">
        <v>41.182999</v>
      </c>
      <c r="V24" t="n">
        <v>48335.777344</v>
      </c>
      <c r="W24" t="n">
        <v>3.351763</v>
      </c>
      <c r="X24" t="n">
        <v>101.000198</v>
      </c>
      <c r="Y24" t="n">
        <v>42.41</v>
      </c>
      <c r="Z24" t="n">
        <v>7.36</v>
      </c>
      <c r="AA24" t="n">
        <v>9.4</v>
      </c>
      <c r="AB24" t="n">
        <v>6.3</v>
      </c>
      <c r="AC24" t="n">
        <v>3.18</v>
      </c>
      <c r="AD24" t="n">
        <v>74.56</v>
      </c>
      <c r="AE24" t="n">
        <v>690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tdarknet_like.large.v</t>
        </is>
      </c>
      <c r="C25" t="inlineStr">
        <is>
          <t>common</t>
        </is>
      </c>
      <c r="D25" t="inlineStr">
        <is>
          <t>success</t>
        </is>
      </c>
      <c r="E25" t="n">
        <v>7836260</v>
      </c>
      <c r="F25" t="n">
        <v>5419820</v>
      </c>
      <c r="G25" t="n">
        <v>2579623</v>
      </c>
      <c r="H25" t="n">
        <v>3861685</v>
      </c>
      <c r="I25" t="n">
        <v>15.141025</v>
      </c>
      <c r="J25" t="n">
        <v>17.6319</v>
      </c>
      <c r="K25" t="n">
        <v>9.424849999999999</v>
      </c>
      <c r="L25" t="n">
        <v>13.2945</v>
      </c>
      <c r="M25" t="n">
        <v>-3804374.5</v>
      </c>
      <c r="N25" t="n">
        <v>-4434000</v>
      </c>
      <c r="O25" t="n">
        <v>-3111470</v>
      </c>
      <c r="P25" t="n">
        <v>-4108240</v>
      </c>
      <c r="Q25" t="n">
        <v>214</v>
      </c>
      <c r="R25" t="n">
        <v>26.981308</v>
      </c>
      <c r="S25" t="n">
        <v>0</v>
      </c>
      <c r="T25" t="n">
        <v>79.990967</v>
      </c>
      <c r="U25" t="n">
        <v>71.864914</v>
      </c>
      <c r="V25" t="n">
        <v>2297684</v>
      </c>
      <c r="W25" t="n">
        <v>8.239088000000001</v>
      </c>
      <c r="X25" t="n">
        <v>367</v>
      </c>
      <c r="Y25" t="n">
        <v>5362.99</v>
      </c>
      <c r="Z25" t="n">
        <v>217.35</v>
      </c>
      <c r="AA25" t="n">
        <v>4038.11</v>
      </c>
      <c r="AB25" t="n">
        <v>719.4400000000001</v>
      </c>
      <c r="AC25" t="n">
        <v>83.73</v>
      </c>
      <c r="AD25" t="n">
        <v>5922.92</v>
      </c>
      <c r="AE25" t="n">
        <v>11486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tdarknet_like.small.v</t>
        </is>
      </c>
      <c r="C26" t="inlineStr">
        <is>
          <t>common</t>
        </is>
      </c>
      <c r="D26" t="inlineStr">
        <is>
          <t>success</t>
        </is>
      </c>
      <c r="E26" t="n">
        <v>14461900</v>
      </c>
      <c r="F26" t="n">
        <v>9760180</v>
      </c>
      <c r="G26" t="n">
        <v>3215973</v>
      </c>
      <c r="H26" t="n">
        <v>3972076</v>
      </c>
      <c r="I26" t="n">
        <v>16.264988</v>
      </c>
      <c r="J26" t="n">
        <v>21.6334</v>
      </c>
      <c r="K26" t="n">
        <v>13.7027</v>
      </c>
      <c r="L26" t="n">
        <v>20.7899</v>
      </c>
      <c r="M26" t="n">
        <v>-1339541.75</v>
      </c>
      <c r="N26" t="n">
        <v>-3288490</v>
      </c>
      <c r="O26" t="n">
        <v>-1754720</v>
      </c>
      <c r="P26" t="n">
        <v>-3059900</v>
      </c>
      <c r="Q26" t="n">
        <v>65</v>
      </c>
      <c r="R26" t="n">
        <v>23.676924</v>
      </c>
      <c r="S26" t="n">
        <v>0</v>
      </c>
      <c r="T26" t="n">
        <v>58.519356</v>
      </c>
      <c r="U26" t="n">
        <v>74.268089</v>
      </c>
      <c r="V26" t="n">
        <v>4700455.5</v>
      </c>
      <c r="W26" t="n">
        <v>36.9431</v>
      </c>
      <c r="X26" t="n">
        <v>725.000183</v>
      </c>
      <c r="Y26" t="n">
        <v>2732.31</v>
      </c>
      <c r="Z26" t="n">
        <v>100.76</v>
      </c>
      <c r="AA26" t="n">
        <v>1029.25</v>
      </c>
      <c r="AB26" t="n">
        <v>573.7</v>
      </c>
      <c r="AC26" t="n">
        <v>75.66</v>
      </c>
      <c r="AD26" t="n">
        <v>3980.08</v>
      </c>
      <c r="AE26" t="n">
        <v>5171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tpu_like.large.os.v</t>
        </is>
      </c>
      <c r="C27" t="inlineStr">
        <is>
          <t>common</t>
        </is>
      </c>
      <c r="D27" t="inlineStr">
        <is>
          <t>success</t>
        </is>
      </c>
      <c r="E27" t="n">
        <v>2988290</v>
      </c>
      <c r="F27" t="n">
        <v>2378450</v>
      </c>
      <c r="G27" t="n">
        <v>1405433</v>
      </c>
      <c r="H27" t="n">
        <v>1498365</v>
      </c>
      <c r="I27" t="n">
        <v>9.280424999999999</v>
      </c>
      <c r="J27" t="n">
        <v>10.436</v>
      </c>
      <c r="K27" t="n">
        <v>9.279299999999999</v>
      </c>
      <c r="L27" t="n">
        <v>10.1765</v>
      </c>
      <c r="M27" t="n">
        <v>-247048.59375</v>
      </c>
      <c r="N27" t="n">
        <v>-432635</v>
      </c>
      <c r="O27" t="n">
        <v>-380910</v>
      </c>
      <c r="P27" t="n">
        <v>-422847</v>
      </c>
      <c r="Q27" t="n">
        <v>261</v>
      </c>
      <c r="R27" t="n">
        <v>336.708801</v>
      </c>
      <c r="S27" t="n">
        <v>0</v>
      </c>
      <c r="T27" t="n">
        <v>41.246944</v>
      </c>
      <c r="U27" t="n">
        <v>76.427094</v>
      </c>
      <c r="V27" t="n">
        <v>332701.21875</v>
      </c>
      <c r="W27" t="n">
        <v>5.540219</v>
      </c>
      <c r="X27" t="n">
        <v>347.314758</v>
      </c>
      <c r="Y27" t="n">
        <v>1534.24</v>
      </c>
      <c r="Z27" t="n">
        <v>44.28</v>
      </c>
      <c r="AA27" t="n">
        <v>33.84</v>
      </c>
      <c r="AB27" t="n">
        <v>1047.32</v>
      </c>
      <c r="AC27" t="n">
        <v>21.82</v>
      </c>
      <c r="AD27" t="n">
        <v>2012.93</v>
      </c>
      <c r="AE27" t="n">
        <v>1797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tpu_like.large.ws.v</t>
        </is>
      </c>
      <c r="C28" t="inlineStr">
        <is>
          <t>common</t>
        </is>
      </c>
      <c r="D28" t="inlineStr">
        <is>
          <t>success</t>
        </is>
      </c>
      <c r="E28" t="n">
        <v>2179220</v>
      </c>
      <c r="F28" t="n">
        <v>1298690</v>
      </c>
      <c r="G28" t="n">
        <v>742575</v>
      </c>
      <c r="H28" t="n">
        <v>917334</v>
      </c>
      <c r="I28" t="n">
        <v>19.701166</v>
      </c>
      <c r="J28" t="n">
        <v>12.874</v>
      </c>
      <c r="K28" t="n">
        <v>9.56132</v>
      </c>
      <c r="L28" t="n">
        <v>10.32</v>
      </c>
      <c r="M28" t="n">
        <v>-196112.375</v>
      </c>
      <c r="N28" t="n">
        <v>-350892</v>
      </c>
      <c r="O28" t="n">
        <v>-255286</v>
      </c>
      <c r="P28" t="n">
        <v>-299771</v>
      </c>
      <c r="Q28" t="n">
        <v>317</v>
      </c>
      <c r="R28" t="n">
        <v>448.11673</v>
      </c>
      <c r="S28" t="n">
        <v>0</v>
      </c>
      <c r="T28" t="n">
        <v>43.667126</v>
      </c>
      <c r="U28" t="n">
        <v>59.23991</v>
      </c>
      <c r="V28" t="n">
        <v>230591.1875</v>
      </c>
      <c r="W28" t="n">
        <v>4.029201</v>
      </c>
      <c r="X28" t="n">
        <v>339</v>
      </c>
      <c r="Y28" t="n">
        <v>1252.1</v>
      </c>
      <c r="Z28" t="n">
        <v>36.86</v>
      </c>
      <c r="AA28" t="n">
        <v>180.22</v>
      </c>
      <c r="AB28" t="n">
        <v>621.14</v>
      </c>
      <c r="AC28" t="n">
        <v>24.54</v>
      </c>
      <c r="AD28" t="n">
        <v>1727.29</v>
      </c>
      <c r="AE28" t="n">
        <v>2026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tpu_like.small.os.v</t>
        </is>
      </c>
      <c r="C29" t="inlineStr">
        <is>
          <t>common</t>
        </is>
      </c>
      <c r="D29" t="inlineStr">
        <is>
          <t>success</t>
        </is>
      </c>
      <c r="E29" t="n">
        <v>437352</v>
      </c>
      <c r="F29" t="n">
        <v>446790</v>
      </c>
      <c r="G29" t="n">
        <v>304671</v>
      </c>
      <c r="H29" t="n">
        <v>344363</v>
      </c>
      <c r="I29" t="n">
        <v>12.113006</v>
      </c>
      <c r="J29" t="n">
        <v>7.90143</v>
      </c>
      <c r="K29" t="n">
        <v>5.53931</v>
      </c>
      <c r="L29" t="n">
        <v>6.20162</v>
      </c>
      <c r="M29" t="n">
        <v>-52882.050781</v>
      </c>
      <c r="N29" t="n">
        <v>-86070</v>
      </c>
      <c r="O29" t="n">
        <v>-80467</v>
      </c>
      <c r="P29" t="n">
        <v>-85191.2</v>
      </c>
      <c r="Q29" t="n">
        <v>31</v>
      </c>
      <c r="R29" t="n">
        <v>229.290329</v>
      </c>
      <c r="S29" t="n">
        <v>0</v>
      </c>
      <c r="T29" t="n">
        <v>35.4067</v>
      </c>
      <c r="U29" t="n">
        <v>72.51821099999999</v>
      </c>
      <c r="V29" t="n">
        <v>68860.390625</v>
      </c>
      <c r="W29" t="n">
        <v>3.743633</v>
      </c>
      <c r="X29" t="n">
        <v>195.000214</v>
      </c>
      <c r="Y29" t="n">
        <v>97.31999999999999</v>
      </c>
      <c r="Z29" t="n">
        <v>11.86</v>
      </c>
      <c r="AA29" t="n">
        <v>11.28</v>
      </c>
      <c r="AB29" t="n">
        <v>19.69</v>
      </c>
      <c r="AC29" t="n">
        <v>4.99</v>
      </c>
      <c r="AD29" t="n">
        <v>169.77</v>
      </c>
      <c r="AE29" t="n">
        <v>522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tpu_like.small.ws.v</t>
        </is>
      </c>
      <c r="C30" t="inlineStr">
        <is>
          <t>common</t>
        </is>
      </c>
      <c r="D30" t="inlineStr">
        <is>
          <t>success</t>
        </is>
      </c>
      <c r="E30" t="n">
        <v>358349</v>
      </c>
      <c r="F30" t="n">
        <v>408493</v>
      </c>
      <c r="G30" t="n">
        <v>215514</v>
      </c>
      <c r="H30" t="n">
        <v>279446</v>
      </c>
      <c r="I30" t="n">
        <v>15.762938</v>
      </c>
      <c r="J30" t="n">
        <v>14.2071</v>
      </c>
      <c r="K30" t="n">
        <v>8.050549999999999</v>
      </c>
      <c r="L30" t="n">
        <v>9.14873</v>
      </c>
      <c r="M30" t="n">
        <v>-62256.140625</v>
      </c>
      <c r="N30" t="n">
        <v>-88163.10000000001</v>
      </c>
      <c r="O30" t="n">
        <v>-76139.5</v>
      </c>
      <c r="P30" t="n">
        <v>-83620.10000000001</v>
      </c>
      <c r="Q30" t="n">
        <v>51</v>
      </c>
      <c r="R30" t="n">
        <v>178.490189</v>
      </c>
      <c r="S30" t="n">
        <v>0</v>
      </c>
      <c r="T30" t="n">
        <v>40.542133</v>
      </c>
      <c r="U30" t="n">
        <v>72.20742</v>
      </c>
      <c r="V30" t="n">
        <v>79199.695312</v>
      </c>
      <c r="W30" t="n">
        <v>3.907623</v>
      </c>
      <c r="X30" t="n">
        <v>183.000214</v>
      </c>
      <c r="Y30" t="n">
        <v>216.63</v>
      </c>
      <c r="Z30" t="n">
        <v>10.91</v>
      </c>
      <c r="AA30" t="n">
        <v>117.92</v>
      </c>
      <c r="AB30" t="n">
        <v>37.79</v>
      </c>
      <c r="AC30" t="n">
        <v>8.369999999999999</v>
      </c>
      <c r="AD30" t="n">
        <v>293.12</v>
      </c>
      <c r="AE30" t="n">
        <v>727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attention_layer.v</t>
        </is>
      </c>
      <c r="C2" t="inlineStr">
        <is>
          <t>common</t>
        </is>
      </c>
      <c r="D2" t="inlineStr">
        <is>
          <t>exited with return code 1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987.75</v>
      </c>
      <c r="AE2" t="n">
        <v>-1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bnn.v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4650360</v>
      </c>
      <c r="G3" t="n">
        <v>888870</v>
      </c>
      <c r="H3" t="n">
        <v>1193240</v>
      </c>
      <c r="I3" t="n">
        <v>-1</v>
      </c>
      <c r="J3" t="n">
        <v>20.0158</v>
      </c>
      <c r="K3" t="n">
        <v>8.4689</v>
      </c>
      <c r="L3" t="n">
        <v>8.735060000000001</v>
      </c>
      <c r="M3" t="n">
        <v>-1</v>
      </c>
      <c r="N3" t="n">
        <v>-259676</v>
      </c>
      <c r="O3" t="n">
        <v>-163089</v>
      </c>
      <c r="P3" t="n">
        <v>-185286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24.38</v>
      </c>
      <c r="AD3" t="n">
        <v>505.68</v>
      </c>
      <c r="AE3" t="n">
        <v>6196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bwave_like.fixed.large.v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4108190</v>
      </c>
      <c r="G4" t="n">
        <v>1773560</v>
      </c>
      <c r="H4" t="n">
        <v>2112082</v>
      </c>
      <c r="I4" t="n">
        <v>-1</v>
      </c>
      <c r="J4" t="n">
        <v>34.3987</v>
      </c>
      <c r="K4" t="n">
        <v>9.68946</v>
      </c>
      <c r="L4" t="n">
        <v>11.1675</v>
      </c>
      <c r="M4" t="n">
        <v>-1</v>
      </c>
      <c r="N4" t="n">
        <v>-829383</v>
      </c>
      <c r="O4" t="n">
        <v>-575580</v>
      </c>
      <c r="P4" t="n">
        <v>-899845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425.13</v>
      </c>
      <c r="AD4" t="n">
        <v>941.79</v>
      </c>
      <c r="AE4" t="n">
        <v>1322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bwave_like.fixed.small.v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843198</v>
      </c>
      <c r="G5" t="n">
        <v>334450</v>
      </c>
      <c r="H5" t="n">
        <v>436221</v>
      </c>
      <c r="I5" t="n">
        <v>-1</v>
      </c>
      <c r="J5" t="n">
        <v>17.5076</v>
      </c>
      <c r="K5" t="n">
        <v>8.77271</v>
      </c>
      <c r="L5" t="n">
        <v>9.547230000000001</v>
      </c>
      <c r="M5" t="n">
        <v>-1</v>
      </c>
      <c r="N5" t="n">
        <v>-189029</v>
      </c>
      <c r="O5" t="n">
        <v>-130153</v>
      </c>
      <c r="P5" t="n">
        <v>-183420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9.220000000000001</v>
      </c>
      <c r="AD5" t="n">
        <v>160.81</v>
      </c>
      <c r="AE5" t="n">
        <v>392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bwave_like.float.large.v</t>
        </is>
      </c>
      <c r="C6" t="inlineStr">
        <is>
          <t>common</t>
        </is>
      </c>
      <c r="D6" t="inlineStr">
        <is>
          <t>exited with return code 2</t>
        </is>
      </c>
      <c r="E6" t="n">
        <v>-1</v>
      </c>
      <c r="F6" t="n">
        <v>14474400</v>
      </c>
      <c r="G6" t="n">
        <v>4940641</v>
      </c>
      <c r="H6" t="n">
        <v>-1</v>
      </c>
      <c r="I6" t="n">
        <v>-1</v>
      </c>
      <c r="J6" t="n">
        <v>33.7306</v>
      </c>
      <c r="K6" t="n">
        <v>9.19018</v>
      </c>
      <c r="L6" t="n">
        <v>-1</v>
      </c>
      <c r="M6" t="n">
        <v>-1</v>
      </c>
      <c r="N6" t="n">
        <v>-2140980</v>
      </c>
      <c r="O6" t="n">
        <v>-1639160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35119.36</v>
      </c>
      <c r="AD6" t="n">
        <v>36247.28</v>
      </c>
      <c r="AE6" t="n">
        <v>7136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bwave_like.float.small.v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2361680</v>
      </c>
      <c r="G7" t="n">
        <v>845299</v>
      </c>
      <c r="H7" t="n">
        <v>1129823</v>
      </c>
      <c r="I7" t="n">
        <v>-1</v>
      </c>
      <c r="J7" t="n">
        <v>16.4702</v>
      </c>
      <c r="K7" t="n">
        <v>6.98095</v>
      </c>
      <c r="L7" t="n">
        <v>8.07733</v>
      </c>
      <c r="M7" t="n">
        <v>-1</v>
      </c>
      <c r="N7" t="n">
        <v>-443461</v>
      </c>
      <c r="O7" t="n">
        <v>-334700</v>
      </c>
      <c r="P7" t="n">
        <v>-496318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39.35</v>
      </c>
      <c r="AD7" t="n">
        <v>306.51</v>
      </c>
      <c r="AE7" t="n">
        <v>1992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clstm_like.large.v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25084600</v>
      </c>
      <c r="G8" t="n">
        <v>4115322</v>
      </c>
      <c r="H8" t="n">
        <v>4458126</v>
      </c>
      <c r="I8" t="n">
        <v>-1</v>
      </c>
      <c r="J8" t="n">
        <v>28.6605</v>
      </c>
      <c r="K8" t="n">
        <v>8.516159999999999</v>
      </c>
      <c r="L8" t="n">
        <v>9.21561</v>
      </c>
      <c r="M8" t="n">
        <v>-1</v>
      </c>
      <c r="N8" t="n">
        <v>-2506640</v>
      </c>
      <c r="O8" t="n">
        <v>-1546470</v>
      </c>
      <c r="P8" t="n">
        <v>-2107910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121.7</v>
      </c>
      <c r="AD8" t="n">
        <v>2739.88</v>
      </c>
      <c r="AE8" t="n">
        <v>22840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clstm_like.medium.v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15288700</v>
      </c>
      <c r="G9" t="n">
        <v>2567691</v>
      </c>
      <c r="H9" t="n">
        <v>2901802</v>
      </c>
      <c r="I9" t="n">
        <v>-1</v>
      </c>
      <c r="J9" t="n">
        <v>33.5186</v>
      </c>
      <c r="K9" t="n">
        <v>7.26456</v>
      </c>
      <c r="L9" t="n">
        <v>8.69061</v>
      </c>
      <c r="M9" t="n">
        <v>-1</v>
      </c>
      <c r="N9" t="n">
        <v>-1569890</v>
      </c>
      <c r="O9" t="n">
        <v>-890804</v>
      </c>
      <c r="P9" t="n">
        <v>-1266800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70.14</v>
      </c>
      <c r="AD9" t="n">
        <v>1705.6</v>
      </c>
      <c r="AE9" t="n">
        <v>15288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clstm_like.small.v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5403570</v>
      </c>
      <c r="G10" t="n">
        <v>1009421</v>
      </c>
      <c r="H10" t="n">
        <v>1237480</v>
      </c>
      <c r="I10" t="n">
        <v>-1</v>
      </c>
      <c r="J10" t="n">
        <v>17.7016</v>
      </c>
      <c r="K10" t="n">
        <v>6.67437</v>
      </c>
      <c r="L10" t="n">
        <v>7.09996</v>
      </c>
      <c r="M10" t="n">
        <v>-1</v>
      </c>
      <c r="N10" t="n">
        <v>-551668</v>
      </c>
      <c r="O10" t="n">
        <v>-474711</v>
      </c>
      <c r="P10" t="n">
        <v>-595652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30.6</v>
      </c>
      <c r="AD10" t="n">
        <v>741.78</v>
      </c>
      <c r="AE10" t="n">
        <v>7731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conv_layer.v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570911</v>
      </c>
      <c r="G11" t="n">
        <v>155324</v>
      </c>
      <c r="H11" t="n">
        <v>228843</v>
      </c>
      <c r="I11" t="n">
        <v>-1</v>
      </c>
      <c r="J11" t="n">
        <v>7.83108</v>
      </c>
      <c r="K11" t="n">
        <v>5.30455</v>
      </c>
      <c r="L11" t="n">
        <v>5.75364</v>
      </c>
      <c r="M11" t="n">
        <v>-1</v>
      </c>
      <c r="N11" t="n">
        <v>-83804.39999999999</v>
      </c>
      <c r="O11" t="n">
        <v>-66455.7</v>
      </c>
      <c r="P11" t="n">
        <v>-68286.2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4.31</v>
      </c>
      <c r="AD11" t="n">
        <v>77.95</v>
      </c>
      <c r="AE11" t="n">
        <v>818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conv_layer_hls.v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397025</v>
      </c>
      <c r="G12" t="n">
        <v>73865</v>
      </c>
      <c r="H12" t="n">
        <v>98786</v>
      </c>
      <c r="I12" t="n">
        <v>-1</v>
      </c>
      <c r="J12" t="n">
        <v>11.8094</v>
      </c>
      <c r="K12" t="n">
        <v>5.56346</v>
      </c>
      <c r="L12" t="n">
        <v>6.44005</v>
      </c>
      <c r="M12" t="n">
        <v>-1</v>
      </c>
      <c r="N12" t="n">
        <v>-34202.1</v>
      </c>
      <c r="O12" t="n">
        <v>-19838.5</v>
      </c>
      <c r="P12" t="n">
        <v>-22285.2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2.83</v>
      </c>
      <c r="AD12" t="n">
        <v>189.48</v>
      </c>
      <c r="AE12" t="n">
        <v>1737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dla_like.large.v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50986800</v>
      </c>
      <c r="G13" t="n">
        <v>7699808</v>
      </c>
      <c r="H13" t="n">
        <v>9164908</v>
      </c>
      <c r="I13" t="n">
        <v>-1</v>
      </c>
      <c r="J13" t="n">
        <v>44.8717</v>
      </c>
      <c r="K13" t="n">
        <v>7.81426</v>
      </c>
      <c r="L13" t="n">
        <v>8.931139999999999</v>
      </c>
      <c r="M13" t="n">
        <v>-1</v>
      </c>
      <c r="N13" t="n">
        <v>-3827010</v>
      </c>
      <c r="O13" t="n">
        <v>-1498430</v>
      </c>
      <c r="P13" t="n">
        <v>-2057400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1948.43</v>
      </c>
      <c r="AD13" t="n">
        <v>12644.86</v>
      </c>
      <c r="AE13" t="n">
        <v>25061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dla_like.medium.v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12907400</v>
      </c>
      <c r="G14" t="n">
        <v>2084926</v>
      </c>
      <c r="H14" t="n">
        <v>2693376</v>
      </c>
      <c r="I14" t="n">
        <v>-1</v>
      </c>
      <c r="J14" t="n">
        <v>32.0364</v>
      </c>
      <c r="K14" t="n">
        <v>7.47622</v>
      </c>
      <c r="L14" t="n">
        <v>8.18402</v>
      </c>
      <c r="M14" t="n">
        <v>-1</v>
      </c>
      <c r="N14" t="n">
        <v>-964470</v>
      </c>
      <c r="O14" t="n">
        <v>-451126</v>
      </c>
      <c r="P14" t="n">
        <v>-556999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77.17</v>
      </c>
      <c r="AD14" t="n">
        <v>4442.69</v>
      </c>
      <c r="AE14" t="n">
        <v>8988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dla_like.small.v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3060700</v>
      </c>
      <c r="G15" t="n">
        <v>576655</v>
      </c>
      <c r="H15" t="n">
        <v>854503</v>
      </c>
      <c r="I15" t="n">
        <v>-1</v>
      </c>
      <c r="J15" t="n">
        <v>17.2735</v>
      </c>
      <c r="K15" t="n">
        <v>6.10895</v>
      </c>
      <c r="L15" t="n">
        <v>6.09662</v>
      </c>
      <c r="M15" t="n">
        <v>-1</v>
      </c>
      <c r="N15" t="n">
        <v>-285874</v>
      </c>
      <c r="O15" t="n">
        <v>-176207</v>
      </c>
      <c r="P15" t="n">
        <v>-193202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17.99</v>
      </c>
      <c r="AD15" t="n">
        <v>1927.24</v>
      </c>
      <c r="AE15" t="n">
        <v>3858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dnnweaver.v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10426300</v>
      </c>
      <c r="G16" t="n">
        <v>1912566</v>
      </c>
      <c r="H16" t="n">
        <v>2667161</v>
      </c>
      <c r="I16" t="n">
        <v>-1</v>
      </c>
      <c r="J16" t="n">
        <v>42.2734</v>
      </c>
      <c r="K16" t="n">
        <v>9.87715</v>
      </c>
      <c r="L16" t="n">
        <v>10.5473</v>
      </c>
      <c r="M16" t="n">
        <v>-1</v>
      </c>
      <c r="N16" t="n">
        <v>-2049630</v>
      </c>
      <c r="O16" t="n">
        <v>-1379650</v>
      </c>
      <c r="P16" t="n">
        <v>-1774960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71.79000000000001</v>
      </c>
      <c r="AD16" t="n">
        <v>1146.16</v>
      </c>
      <c r="AE16" t="n">
        <v>5969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eltwise_layer.v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352107</v>
      </c>
      <c r="G17" t="n">
        <v>132791</v>
      </c>
      <c r="H17" t="n">
        <v>194629</v>
      </c>
      <c r="I17" t="n">
        <v>-1</v>
      </c>
      <c r="J17" t="n">
        <v>7.75541</v>
      </c>
      <c r="K17" t="n">
        <v>4.52351</v>
      </c>
      <c r="L17" t="n">
        <v>4.7647</v>
      </c>
      <c r="M17" t="n">
        <v>-1</v>
      </c>
      <c r="N17" t="n">
        <v>-34112.8</v>
      </c>
      <c r="O17" t="n">
        <v>-26610.5</v>
      </c>
      <c r="P17" t="n">
        <v>-28589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3.79</v>
      </c>
      <c r="AD17" t="n">
        <v>62.46</v>
      </c>
      <c r="AE17" t="n">
        <v>356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gemm_layer.v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1637190</v>
      </c>
      <c r="G18" t="n">
        <v>666642</v>
      </c>
      <c r="H18" t="n">
        <v>796865</v>
      </c>
      <c r="I18" t="n">
        <v>-1</v>
      </c>
      <c r="J18" t="n">
        <v>10.1007</v>
      </c>
      <c r="K18" t="n">
        <v>5.16931</v>
      </c>
      <c r="L18" t="n">
        <v>5.80004</v>
      </c>
      <c r="M18" t="n">
        <v>-1</v>
      </c>
      <c r="N18" t="n">
        <v>-159835</v>
      </c>
      <c r="O18" t="n">
        <v>-127863</v>
      </c>
      <c r="P18" t="n">
        <v>-146276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9.380000000000001</v>
      </c>
      <c r="AD18" t="n">
        <v>172.6</v>
      </c>
      <c r="AE18" t="n">
        <v>2056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lenet.v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569976</v>
      </c>
      <c r="G19" t="n">
        <v>125836</v>
      </c>
      <c r="H19" t="n">
        <v>214645</v>
      </c>
      <c r="I19" t="n">
        <v>-1</v>
      </c>
      <c r="J19" t="n">
        <v>18.0614</v>
      </c>
      <c r="K19" t="n">
        <v>9.68601</v>
      </c>
      <c r="L19" t="n">
        <v>9.80682</v>
      </c>
      <c r="M19" t="n">
        <v>-1</v>
      </c>
      <c r="N19" t="n">
        <v>-26559.7</v>
      </c>
      <c r="O19" t="n">
        <v>-18786.3</v>
      </c>
      <c r="P19" t="n">
        <v>-19588.9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5.79</v>
      </c>
      <c r="AD19" t="n">
        <v>97.13</v>
      </c>
      <c r="AE19" t="n">
        <v>1198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lstm.v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6825970</v>
      </c>
      <c r="G20" t="n">
        <v>1340928</v>
      </c>
      <c r="H20" t="n">
        <v>1825675</v>
      </c>
      <c r="I20" t="n">
        <v>-1</v>
      </c>
      <c r="J20" t="n">
        <v>17.0346</v>
      </c>
      <c r="K20" t="n">
        <v>7.86853</v>
      </c>
      <c r="L20" t="n">
        <v>8.005000000000001</v>
      </c>
      <c r="M20" t="n">
        <v>-1</v>
      </c>
      <c r="N20" t="n">
        <v>-568234</v>
      </c>
      <c r="O20" t="n">
        <v>-409031</v>
      </c>
      <c r="P20" t="n">
        <v>-578215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36.47</v>
      </c>
      <c r="AD20" t="n">
        <v>3088.05</v>
      </c>
      <c r="AE20" t="n">
        <v>4273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reduction_layer.v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402595</v>
      </c>
      <c r="G21" t="n">
        <v>97360</v>
      </c>
      <c r="H21" t="n">
        <v>163725</v>
      </c>
      <c r="I21" t="n">
        <v>-1</v>
      </c>
      <c r="J21" t="n">
        <v>12.4746</v>
      </c>
      <c r="K21" t="n">
        <v>6.05889</v>
      </c>
      <c r="L21" t="n">
        <v>6.03361</v>
      </c>
      <c r="M21" t="n">
        <v>-1</v>
      </c>
      <c r="N21" t="n">
        <v>-67269</v>
      </c>
      <c r="O21" t="n">
        <v>-50967.4</v>
      </c>
      <c r="P21" t="n">
        <v>-56219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4.32</v>
      </c>
      <c r="AD21" t="n">
        <v>71.61</v>
      </c>
      <c r="AE21" t="n">
        <v>631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robot_rl.v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523170</v>
      </c>
      <c r="G22" t="n">
        <v>110593</v>
      </c>
      <c r="H22" t="n">
        <v>179904</v>
      </c>
      <c r="I22" t="n">
        <v>-1</v>
      </c>
      <c r="J22" t="n">
        <v>10.722</v>
      </c>
      <c r="K22" t="n">
        <v>6.35858</v>
      </c>
      <c r="L22" t="n">
        <v>6.63094</v>
      </c>
      <c r="M22" t="n">
        <v>-1</v>
      </c>
      <c r="N22" t="n">
        <v>-64080.2</v>
      </c>
      <c r="O22" t="n">
        <v>-43723.3</v>
      </c>
      <c r="P22" t="n">
        <v>-49136.9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3.96</v>
      </c>
      <c r="AD22" t="n">
        <v>81.48999999999999</v>
      </c>
      <c r="AE22" t="n">
        <v>890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softmax.v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269657</v>
      </c>
      <c r="G23" t="n">
        <v>88438</v>
      </c>
      <c r="H23" t="n">
        <v>137880</v>
      </c>
      <c r="I23" t="n">
        <v>-1</v>
      </c>
      <c r="J23" t="n">
        <v>15.1845</v>
      </c>
      <c r="K23" t="n">
        <v>9.372479999999999</v>
      </c>
      <c r="L23" t="n">
        <v>8.48864</v>
      </c>
      <c r="M23" t="n">
        <v>-1</v>
      </c>
      <c r="N23" t="n">
        <v>-18248.2</v>
      </c>
      <c r="O23" t="n">
        <v>-14954.3</v>
      </c>
      <c r="P23" t="n">
        <v>-16562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2.66</v>
      </c>
      <c r="AD23" t="n">
        <v>63.8</v>
      </c>
      <c r="AE23" t="n">
        <v>499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spmv.v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388650</v>
      </c>
      <c r="G24" t="n">
        <v>161912</v>
      </c>
      <c r="H24" t="n">
        <v>221301</v>
      </c>
      <c r="I24" t="n">
        <v>-1</v>
      </c>
      <c r="J24" t="n">
        <v>10.6003</v>
      </c>
      <c r="K24" t="n">
        <v>5.68748</v>
      </c>
      <c r="L24" t="n">
        <v>6.25612</v>
      </c>
      <c r="M24" t="n">
        <v>-1</v>
      </c>
      <c r="N24" t="n">
        <v>-55061.4</v>
      </c>
      <c r="O24" t="n">
        <v>-42990.3</v>
      </c>
      <c r="P24" t="n">
        <v>-50538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2.86</v>
      </c>
      <c r="AD24" t="n">
        <v>68.79000000000001</v>
      </c>
      <c r="AE24" t="n">
        <v>650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tdarknet_like.large.v</t>
        </is>
      </c>
      <c r="C25" t="inlineStr">
        <is>
          <t>common</t>
        </is>
      </c>
      <c r="D25" t="inlineStr">
        <is>
          <t>success</t>
        </is>
      </c>
      <c r="E25" t="n">
        <v>-1</v>
      </c>
      <c r="F25" t="n">
        <v>21634800</v>
      </c>
      <c r="G25" t="n">
        <v>2585389</v>
      </c>
      <c r="H25" t="n">
        <v>3829118</v>
      </c>
      <c r="I25" t="n">
        <v>-1</v>
      </c>
      <c r="J25" t="n">
        <v>41.4949</v>
      </c>
      <c r="K25" t="n">
        <v>9.420019999999999</v>
      </c>
      <c r="L25" t="n">
        <v>11.6966</v>
      </c>
      <c r="M25" t="n">
        <v>-1</v>
      </c>
      <c r="N25" t="n">
        <v>-6903290</v>
      </c>
      <c r="O25" t="n">
        <v>-2863970</v>
      </c>
      <c r="P25" t="n">
        <v>-3860760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85.26000000000001</v>
      </c>
      <c r="AD25" t="n">
        <v>5498.94</v>
      </c>
      <c r="AE25" t="n">
        <v>9683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tdarknet_like.small.v</t>
        </is>
      </c>
      <c r="C26" t="inlineStr">
        <is>
          <t>common</t>
        </is>
      </c>
      <c r="D26" t="inlineStr">
        <is>
          <t>success</t>
        </is>
      </c>
      <c r="E26" t="n">
        <v>-1</v>
      </c>
      <c r="F26" t="n">
        <v>19549500</v>
      </c>
      <c r="G26" t="n">
        <v>3361516</v>
      </c>
      <c r="H26" t="n">
        <v>3989604</v>
      </c>
      <c r="I26" t="n">
        <v>-1</v>
      </c>
      <c r="J26" t="n">
        <v>43.687</v>
      </c>
      <c r="K26" t="n">
        <v>14.0636</v>
      </c>
      <c r="L26" t="n">
        <v>18.293</v>
      </c>
      <c r="M26" t="n">
        <v>-1</v>
      </c>
      <c r="N26" t="n">
        <v>-4070490</v>
      </c>
      <c r="O26" t="n">
        <v>-1738350</v>
      </c>
      <c r="P26" t="n">
        <v>-3046410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75.90000000000001</v>
      </c>
      <c r="AD26" t="n">
        <v>3960.65</v>
      </c>
      <c r="AE26" t="n">
        <v>4033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tpu_like.large.os.v</t>
        </is>
      </c>
      <c r="C27" t="inlineStr">
        <is>
          <t>common</t>
        </is>
      </c>
      <c r="D27" t="inlineStr">
        <is>
          <t>success</t>
        </is>
      </c>
      <c r="E27" t="n">
        <v>-1</v>
      </c>
      <c r="F27" t="n">
        <v>3457190</v>
      </c>
      <c r="G27" t="n">
        <v>2006141</v>
      </c>
      <c r="H27" t="n">
        <v>2077923</v>
      </c>
      <c r="I27" t="n">
        <v>-1</v>
      </c>
      <c r="J27" t="n">
        <v>20.1584</v>
      </c>
      <c r="K27" t="n">
        <v>7.6782</v>
      </c>
      <c r="L27" t="n">
        <v>8.94022</v>
      </c>
      <c r="M27" t="n">
        <v>-1</v>
      </c>
      <c r="N27" t="n">
        <v>-573751</v>
      </c>
      <c r="O27" t="n">
        <v>-351563</v>
      </c>
      <c r="P27" t="n">
        <v>-394570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54.08</v>
      </c>
      <c r="AD27" t="n">
        <v>1334.02</v>
      </c>
      <c r="AE27" t="n">
        <v>1526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tpu_like.large.ws.v</t>
        </is>
      </c>
      <c r="C28" t="inlineStr">
        <is>
          <t>common</t>
        </is>
      </c>
      <c r="D28" t="inlineStr">
        <is>
          <t>success</t>
        </is>
      </c>
      <c r="E28" t="n">
        <v>-1</v>
      </c>
      <c r="F28" t="n">
        <v>4077680</v>
      </c>
      <c r="G28" t="n">
        <v>847840</v>
      </c>
      <c r="H28" t="n">
        <v>1028945</v>
      </c>
      <c r="I28" t="n">
        <v>-1</v>
      </c>
      <c r="J28" t="n">
        <v>30.1209</v>
      </c>
      <c r="K28" t="n">
        <v>8.822789999999999</v>
      </c>
      <c r="L28" t="n">
        <v>10.2523</v>
      </c>
      <c r="M28" t="n">
        <v>-1</v>
      </c>
      <c r="N28" t="n">
        <v>-473382</v>
      </c>
      <c r="O28" t="n">
        <v>-261759</v>
      </c>
      <c r="P28" t="n">
        <v>-301603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21.17</v>
      </c>
      <c r="AD28" t="n">
        <v>1246.1</v>
      </c>
      <c r="AE28" t="n">
        <v>1888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tpu_like.small.os.v</t>
        </is>
      </c>
      <c r="C29" t="inlineStr">
        <is>
          <t>common</t>
        </is>
      </c>
      <c r="D29" t="inlineStr">
        <is>
          <t>success</t>
        </is>
      </c>
      <c r="E29" t="n">
        <v>-1</v>
      </c>
      <c r="F29" t="n">
        <v>581895</v>
      </c>
      <c r="G29" t="n">
        <v>355248</v>
      </c>
      <c r="H29" t="n">
        <v>385442</v>
      </c>
      <c r="I29" t="n">
        <v>-1</v>
      </c>
      <c r="J29" t="n">
        <v>11.8662</v>
      </c>
      <c r="K29" t="n">
        <v>5.85294</v>
      </c>
      <c r="L29" t="n">
        <v>6.38077</v>
      </c>
      <c r="M29" t="n">
        <v>-1</v>
      </c>
      <c r="N29" t="n">
        <v>-110126</v>
      </c>
      <c r="O29" t="n">
        <v>-86770.39999999999</v>
      </c>
      <c r="P29" t="n">
        <v>-91558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4.8</v>
      </c>
      <c r="AD29" t="n">
        <v>152.68</v>
      </c>
      <c r="AE29" t="n">
        <v>493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tpu_like.small.ws.v</t>
        </is>
      </c>
      <c r="C30" t="inlineStr">
        <is>
          <t>common</t>
        </is>
      </c>
      <c r="D30" t="inlineStr">
        <is>
          <t>success</t>
        </is>
      </c>
      <c r="E30" t="n">
        <v>-1</v>
      </c>
      <c r="F30" t="n">
        <v>698641</v>
      </c>
      <c r="G30" t="n">
        <v>225409</v>
      </c>
      <c r="H30" t="n">
        <v>293764</v>
      </c>
      <c r="I30" t="n">
        <v>-1</v>
      </c>
      <c r="J30" t="n">
        <v>17.0546</v>
      </c>
      <c r="K30" t="n">
        <v>9.689360000000001</v>
      </c>
      <c r="L30" t="n">
        <v>10.5074</v>
      </c>
      <c r="M30" t="n">
        <v>-1</v>
      </c>
      <c r="N30" t="n">
        <v>-109149</v>
      </c>
      <c r="O30" t="n">
        <v>-78100</v>
      </c>
      <c r="P30" t="n">
        <v>-88575.10000000001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5.75</v>
      </c>
      <c r="AD30" t="n">
        <v>197.55</v>
      </c>
      <c r="AE30" t="n">
        <v>681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9061300</v>
      </c>
      <c r="F2" t="n">
        <v>26994300</v>
      </c>
      <c r="G2" t="n">
        <v>9352007</v>
      </c>
      <c r="H2" t="n">
        <v>8991062</v>
      </c>
      <c r="I2" t="n">
        <v>9.97714</v>
      </c>
      <c r="J2" t="n">
        <v>14.346</v>
      </c>
      <c r="K2" t="n">
        <v>5.402</v>
      </c>
      <c r="L2" t="n">
        <v>9.340999999999999</v>
      </c>
      <c r="M2" t="n">
        <v>-655732.8125</v>
      </c>
      <c r="N2" t="n">
        <v>-998078</v>
      </c>
      <c r="O2" t="n">
        <v>-542380</v>
      </c>
      <c r="P2" t="n">
        <v>-886080</v>
      </c>
      <c r="Q2" t="n">
        <v>15140</v>
      </c>
      <c r="R2" t="n">
        <v>37.043198</v>
      </c>
      <c r="S2" t="n">
        <v>0</v>
      </c>
      <c r="T2" t="n">
        <v>68.27376599999999</v>
      </c>
      <c r="U2" t="n">
        <v>61.355778</v>
      </c>
      <c r="V2" t="n">
        <v>22589902</v>
      </c>
      <c r="W2" t="n">
        <v>23.645014</v>
      </c>
      <c r="X2" t="n">
        <v>228.708191</v>
      </c>
      <c r="Y2" t="n">
        <v>8279.549999999999</v>
      </c>
      <c r="Z2" t="n">
        <v>1018.79</v>
      </c>
      <c r="AA2" t="n">
        <v>1078.66</v>
      </c>
      <c r="AB2" t="n">
        <v>5790.5</v>
      </c>
      <c r="AC2" t="n">
        <v>538.45</v>
      </c>
      <c r="AD2" t="n">
        <v>9309.07</v>
      </c>
      <c r="AE2" t="n">
        <v>-1</v>
      </c>
      <c r="AF2" t="n">
        <v>58255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11628700</v>
      </c>
      <c r="F3" t="n">
        <v>81836400</v>
      </c>
      <c r="G3" t="n">
        <v>7438092</v>
      </c>
      <c r="H3" t="n">
        <v>7156017</v>
      </c>
      <c r="I3" t="n">
        <v>8.878299999999999</v>
      </c>
      <c r="J3" t="n">
        <v>27.271</v>
      </c>
      <c r="K3" t="n">
        <v>6.79764</v>
      </c>
      <c r="L3" t="n">
        <v>6.9925</v>
      </c>
      <c r="M3" t="n">
        <v>-1000728.3125</v>
      </c>
      <c r="N3" t="n">
        <v>-3501100</v>
      </c>
      <c r="O3" t="n">
        <v>-966103</v>
      </c>
      <c r="P3" t="n">
        <v>-1708280</v>
      </c>
      <c r="Q3" t="n">
        <v>5934</v>
      </c>
      <c r="R3" t="n">
        <v>32.460396</v>
      </c>
      <c r="S3" t="n">
        <v>0</v>
      </c>
      <c r="T3" t="n">
        <v>78.705185</v>
      </c>
      <c r="U3" t="n">
        <v>79.786278</v>
      </c>
      <c r="V3" t="n">
        <v>65865952</v>
      </c>
      <c r="W3" t="n">
        <v>70.217247</v>
      </c>
      <c r="X3" t="n">
        <v>579.818481</v>
      </c>
      <c r="Y3" t="n">
        <v>6693.68</v>
      </c>
      <c r="Z3" t="n">
        <v>864.46</v>
      </c>
      <c r="AA3" t="n">
        <v>737.8200000000001</v>
      </c>
      <c r="AB3" t="n">
        <v>4503.78</v>
      </c>
      <c r="AC3" t="n">
        <v>416.65</v>
      </c>
      <c r="AD3" t="n">
        <v>7755.46</v>
      </c>
      <c r="AE3" t="n">
        <v>-1</v>
      </c>
      <c r="AF3" t="n">
        <v>45616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11867600</v>
      </c>
      <c r="F4" t="n">
        <v>37812300</v>
      </c>
      <c r="G4" t="n">
        <v>7680606</v>
      </c>
      <c r="H4" t="n">
        <v>7501587</v>
      </c>
      <c r="I4" t="n">
        <v>7.706606</v>
      </c>
      <c r="J4" t="n">
        <v>13.164</v>
      </c>
      <c r="K4" t="n">
        <v>6.326</v>
      </c>
      <c r="L4" t="n">
        <v>8.012</v>
      </c>
      <c r="M4" t="n">
        <v>-893639.625</v>
      </c>
      <c r="N4" t="n">
        <v>-2008780</v>
      </c>
      <c r="O4" t="n">
        <v>-887454</v>
      </c>
      <c r="P4" t="n">
        <v>-1609080</v>
      </c>
      <c r="Q4" t="n">
        <v>9816</v>
      </c>
      <c r="R4" t="n">
        <v>20.832722</v>
      </c>
      <c r="S4" t="n">
        <v>0</v>
      </c>
      <c r="T4" t="n">
        <v>79.41887699999999</v>
      </c>
      <c r="U4" t="n">
        <v>66.21077</v>
      </c>
      <c r="V4" t="n">
        <v>32491146</v>
      </c>
      <c r="W4" t="n">
        <v>34.652195</v>
      </c>
      <c r="X4" t="n">
        <v>310</v>
      </c>
      <c r="Y4" t="n">
        <v>6315.55</v>
      </c>
      <c r="Z4" t="n">
        <v>849.7</v>
      </c>
      <c r="AA4" t="n">
        <v>729.8099999999999</v>
      </c>
      <c r="AB4" t="n">
        <v>4205.73</v>
      </c>
      <c r="AC4" t="n">
        <v>424.08</v>
      </c>
      <c r="AD4" t="n">
        <v>7361.4</v>
      </c>
      <c r="AE4" t="n">
        <v>-1</v>
      </c>
      <c r="AF4" t="n">
        <v>45396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11099300</v>
      </c>
      <c r="F5" t="n">
        <v>35646000</v>
      </c>
      <c r="G5" t="n">
        <v>7086438</v>
      </c>
      <c r="H5" t="n">
        <v>6874845</v>
      </c>
      <c r="I5" t="n">
        <v>7.5443</v>
      </c>
      <c r="J5" t="n">
        <v>16.361</v>
      </c>
      <c r="K5" t="n">
        <v>6.92193</v>
      </c>
      <c r="L5" t="n">
        <v>7.25</v>
      </c>
      <c r="M5" t="n">
        <v>-942649.1875</v>
      </c>
      <c r="N5" t="n">
        <v>-1892590</v>
      </c>
      <c r="O5" t="n">
        <v>-878670</v>
      </c>
      <c r="P5" t="n">
        <v>-1575580</v>
      </c>
      <c r="Q5" t="n">
        <v>7199</v>
      </c>
      <c r="R5" t="n">
        <v>24.45298</v>
      </c>
      <c r="S5" t="n">
        <v>0</v>
      </c>
      <c r="T5" t="n">
        <v>78.81959500000001</v>
      </c>
      <c r="U5" t="n">
        <v>65.575844</v>
      </c>
      <c r="V5" t="n">
        <v>29196758</v>
      </c>
      <c r="W5" t="n">
        <v>32.246147</v>
      </c>
      <c r="X5" t="n">
        <v>315</v>
      </c>
      <c r="Y5" t="n">
        <v>6054.13</v>
      </c>
      <c r="Z5" t="n">
        <v>869.37</v>
      </c>
      <c r="AA5" t="n">
        <v>718.61</v>
      </c>
      <c r="AB5" t="n">
        <v>3864.3</v>
      </c>
      <c r="AC5" t="n">
        <v>373.53</v>
      </c>
      <c r="AD5" t="n">
        <v>7063.29</v>
      </c>
      <c r="AE5" t="n">
        <v>-1</v>
      </c>
      <c r="AF5" t="n">
        <v>43424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6596650</v>
      </c>
      <c r="F6" t="n">
        <v>25121200</v>
      </c>
      <c r="G6" t="n">
        <v>7907686</v>
      </c>
      <c r="H6" t="n">
        <v>9175025</v>
      </c>
      <c r="I6" t="n">
        <v>24.768219</v>
      </c>
      <c r="J6" t="n">
        <v>31.6552</v>
      </c>
      <c r="K6" t="n">
        <v>14.478</v>
      </c>
      <c r="L6" t="n">
        <v>14.519</v>
      </c>
      <c r="M6" t="n">
        <v>-3917416</v>
      </c>
      <c r="N6" t="n">
        <v>-7236050</v>
      </c>
      <c r="O6" t="n">
        <v>-4610940</v>
      </c>
      <c r="P6" t="n">
        <v>-4642850</v>
      </c>
      <c r="Q6" t="n">
        <v>17021</v>
      </c>
      <c r="R6" t="n">
        <v>13.133835</v>
      </c>
      <c r="S6" t="n">
        <v>0</v>
      </c>
      <c r="T6" t="n">
        <v>77.98584</v>
      </c>
      <c r="U6" t="n">
        <v>71.12350499999999</v>
      </c>
      <c r="V6" t="n">
        <v>16746616</v>
      </c>
      <c r="W6" t="n">
        <v>20.859766</v>
      </c>
      <c r="X6" t="n">
        <v>297</v>
      </c>
      <c r="Y6" t="n">
        <v>10621.57</v>
      </c>
      <c r="Z6" t="n">
        <v>1254.87</v>
      </c>
      <c r="AA6" t="n">
        <v>1472.88</v>
      </c>
      <c r="AB6" t="n">
        <v>7317.6</v>
      </c>
      <c r="AC6" t="n">
        <v>727.72</v>
      </c>
      <c r="AD6" t="n">
        <v>12012.42</v>
      </c>
      <c r="AE6" t="n">
        <v>-1</v>
      </c>
      <c r="AF6" t="n">
        <v>47394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7442970</v>
      </c>
      <c r="F7" t="n">
        <v>15079100</v>
      </c>
      <c r="G7" t="n">
        <v>6580334</v>
      </c>
      <c r="H7" t="n">
        <v>6261509</v>
      </c>
      <c r="I7" t="n">
        <v>6.077001</v>
      </c>
      <c r="J7" t="n">
        <v>9.130649999999999</v>
      </c>
      <c r="K7" t="n">
        <v>4.57729</v>
      </c>
      <c r="L7" t="n">
        <v>7.763</v>
      </c>
      <c r="M7" t="n">
        <v>-350903.15625</v>
      </c>
      <c r="N7" t="n">
        <v>-661701</v>
      </c>
      <c r="O7" t="n">
        <v>-422398</v>
      </c>
      <c r="P7" t="n">
        <v>-691368</v>
      </c>
      <c r="Q7" t="n">
        <v>11850</v>
      </c>
      <c r="R7" t="n">
        <v>32.224388</v>
      </c>
      <c r="S7" t="n">
        <v>0</v>
      </c>
      <c r="T7" t="n">
        <v>78.683601</v>
      </c>
      <c r="U7" t="n">
        <v>56.771667</v>
      </c>
      <c r="V7" t="n">
        <v>8270150</v>
      </c>
      <c r="W7" t="n">
        <v>10.767471</v>
      </c>
      <c r="X7" t="n">
        <v>119</v>
      </c>
      <c r="Y7" t="n">
        <v>4785.64</v>
      </c>
      <c r="Z7" t="n">
        <v>772.34</v>
      </c>
      <c r="AA7" t="n">
        <v>870.42</v>
      </c>
      <c r="AB7" t="n">
        <v>2743.75</v>
      </c>
      <c r="AC7" t="n">
        <v>613.88</v>
      </c>
      <c r="AD7" t="n">
        <v>5853.83</v>
      </c>
      <c r="AE7" t="n">
        <v>-1</v>
      </c>
      <c r="AF7" t="n">
        <v>36698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6789450</v>
      </c>
      <c r="F8" t="n">
        <v>15156100</v>
      </c>
      <c r="G8" t="n">
        <v>6382691</v>
      </c>
      <c r="H8" t="n">
        <v>6263045</v>
      </c>
      <c r="I8" t="n">
        <v>7.061001</v>
      </c>
      <c r="J8" t="n">
        <v>13.715</v>
      </c>
      <c r="K8" t="n">
        <v>4.54308</v>
      </c>
      <c r="L8" t="n">
        <v>8.894</v>
      </c>
      <c r="M8" t="n">
        <v>-431258.71875</v>
      </c>
      <c r="N8" t="n">
        <v>-668980</v>
      </c>
      <c r="O8" t="n">
        <v>-407094</v>
      </c>
      <c r="P8" t="n">
        <v>-704701</v>
      </c>
      <c r="Q8" t="n">
        <v>10771</v>
      </c>
      <c r="R8" t="n">
        <v>34.171574</v>
      </c>
      <c r="S8" t="n">
        <v>0</v>
      </c>
      <c r="T8" t="n">
        <v>74.910606</v>
      </c>
      <c r="U8" t="n">
        <v>56.893215</v>
      </c>
      <c r="V8" t="n">
        <v>9038646</v>
      </c>
      <c r="W8" t="n">
        <v>12.29557</v>
      </c>
      <c r="X8" t="n">
        <v>127.054321</v>
      </c>
      <c r="Y8" t="n">
        <v>4543.31</v>
      </c>
      <c r="Z8" t="n">
        <v>698.4400000000001</v>
      </c>
      <c r="AA8" t="n">
        <v>824.67</v>
      </c>
      <c r="AB8" t="n">
        <v>2632.23</v>
      </c>
      <c r="AC8" t="n">
        <v>446.46</v>
      </c>
      <c r="AD8" t="n">
        <v>5436.36</v>
      </c>
      <c r="AE8" t="n">
        <v>-1</v>
      </c>
      <c r="AF8" t="n">
        <v>35264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8143380</v>
      </c>
      <c r="F9" t="n">
        <v>10633300</v>
      </c>
      <c r="G9" t="n">
        <v>4716971</v>
      </c>
      <c r="H9" t="n">
        <v>4036672</v>
      </c>
      <c r="I9" t="n">
        <v>14.500981</v>
      </c>
      <c r="J9" t="n">
        <v>11.096</v>
      </c>
      <c r="K9" t="n">
        <v>5.832</v>
      </c>
      <c r="L9" t="n">
        <v>6.34</v>
      </c>
      <c r="M9" t="n">
        <v>-424145.125</v>
      </c>
      <c r="N9" t="n">
        <v>-858173</v>
      </c>
      <c r="O9" t="n">
        <v>-750020</v>
      </c>
      <c r="P9" t="n">
        <v>-1104220</v>
      </c>
      <c r="Q9" t="n">
        <v>10331</v>
      </c>
      <c r="R9" t="n">
        <v>15.600039</v>
      </c>
      <c r="S9" t="n">
        <v>0</v>
      </c>
      <c r="T9" t="n">
        <v>85.313385</v>
      </c>
      <c r="U9" t="n">
        <v>55.217335</v>
      </c>
      <c r="V9" t="n">
        <v>5730777</v>
      </c>
      <c r="W9" t="n">
        <v>8.109184000000001</v>
      </c>
      <c r="X9" t="n">
        <v>110.765549</v>
      </c>
      <c r="Y9" t="n">
        <v>7141.58</v>
      </c>
      <c r="Z9" t="n">
        <v>762.17</v>
      </c>
      <c r="AA9" t="n">
        <v>1227.35</v>
      </c>
      <c r="AB9" t="n">
        <v>4871.55</v>
      </c>
      <c r="AC9" t="n">
        <v>220.95</v>
      </c>
      <c r="AD9" t="n">
        <v>7720.99</v>
      </c>
      <c r="AE9" t="n">
        <v>-1</v>
      </c>
      <c r="AF9" t="n">
        <v>29747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7888950</v>
      </c>
      <c r="F10" t="n">
        <v>13269400</v>
      </c>
      <c r="G10" t="n">
        <v>4082102</v>
      </c>
      <c r="H10" t="n">
        <v>3576663</v>
      </c>
      <c r="I10" t="n">
        <v>14.596145</v>
      </c>
      <c r="J10" t="n">
        <v>14.2753</v>
      </c>
      <c r="K10" t="n">
        <v>6.634</v>
      </c>
      <c r="L10" t="n">
        <v>6.701</v>
      </c>
      <c r="M10" t="n">
        <v>-824326.625</v>
      </c>
      <c r="N10" t="n">
        <v>-1257350</v>
      </c>
      <c r="O10" t="n">
        <v>-979025</v>
      </c>
      <c r="P10" t="n">
        <v>-1274260</v>
      </c>
      <c r="Q10" t="n">
        <v>9994</v>
      </c>
      <c r="R10" t="n">
        <v>24.053633</v>
      </c>
      <c r="S10" t="n">
        <v>0</v>
      </c>
      <c r="T10" t="n">
        <v>78.96157100000001</v>
      </c>
      <c r="U10" t="n">
        <v>61.470535</v>
      </c>
      <c r="V10" t="n">
        <v>9126911</v>
      </c>
      <c r="W10" t="n">
        <v>13.64633</v>
      </c>
      <c r="X10" t="n">
        <v>141.027771</v>
      </c>
      <c r="Y10" t="n">
        <v>6081.05</v>
      </c>
      <c r="Z10" t="n">
        <v>854.33</v>
      </c>
      <c r="AA10" t="n">
        <v>1405.27</v>
      </c>
      <c r="AB10" t="n">
        <v>3523.39</v>
      </c>
      <c r="AC10" t="n">
        <v>364.06</v>
      </c>
      <c r="AD10" t="n">
        <v>6818.78</v>
      </c>
      <c r="AE10" t="n">
        <v>-1</v>
      </c>
      <c r="AF10" t="n">
        <v>30152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1476620</v>
      </c>
      <c r="F11" t="n">
        <v>8511410</v>
      </c>
      <c r="G11" t="n">
        <v>2242640</v>
      </c>
      <c r="H11" t="n">
        <v>1455891</v>
      </c>
      <c r="I11" t="n">
        <v>5.433</v>
      </c>
      <c r="J11" t="n">
        <v>8.941000000000001</v>
      </c>
      <c r="K11" t="n">
        <v>5.885</v>
      </c>
      <c r="L11" t="n">
        <v>5.895</v>
      </c>
      <c r="M11" t="n">
        <v>-84777.296875</v>
      </c>
      <c r="N11" t="n">
        <v>-419938</v>
      </c>
      <c r="O11" t="n">
        <v>-184479</v>
      </c>
      <c r="P11" t="n">
        <v>-164298</v>
      </c>
      <c r="Q11" t="n">
        <v>7416</v>
      </c>
      <c r="R11" t="n">
        <v>6.424757</v>
      </c>
      <c r="S11" t="n">
        <v>0</v>
      </c>
      <c r="T11" t="n">
        <v>71.817024</v>
      </c>
      <c r="U11" t="n">
        <v>54.839241</v>
      </c>
      <c r="V11" t="n">
        <v>7466062</v>
      </c>
      <c r="W11" t="n">
        <v>12.015118</v>
      </c>
      <c r="X11" t="n">
        <v>123.073357</v>
      </c>
      <c r="Y11" t="n">
        <v>4795.23</v>
      </c>
      <c r="Z11" t="n">
        <v>927.37</v>
      </c>
      <c r="AA11" t="n">
        <v>1687.08</v>
      </c>
      <c r="AB11" t="n">
        <v>1894.87</v>
      </c>
      <c r="AC11" t="n">
        <v>154.98</v>
      </c>
      <c r="AD11" t="n">
        <v>5295.2</v>
      </c>
      <c r="AE11" t="n">
        <v>-1</v>
      </c>
      <c r="AF11" t="n">
        <v>28114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6373350</v>
      </c>
      <c r="F12" t="n">
        <v>7565640</v>
      </c>
      <c r="G12" t="n">
        <v>3464374</v>
      </c>
      <c r="H12" t="n">
        <v>2917725</v>
      </c>
      <c r="I12" t="n">
        <v>14.426789</v>
      </c>
      <c r="J12" t="n">
        <v>12.91</v>
      </c>
      <c r="K12" t="n">
        <v>6.616</v>
      </c>
      <c r="L12" t="n">
        <v>5.936</v>
      </c>
      <c r="M12" t="n">
        <v>-398107.8125</v>
      </c>
      <c r="N12" t="n">
        <v>-665503</v>
      </c>
      <c r="O12" t="n">
        <v>-628603</v>
      </c>
      <c r="P12" t="n">
        <v>-890240</v>
      </c>
      <c r="Q12" t="n">
        <v>7671</v>
      </c>
      <c r="R12" t="n">
        <v>25.283667</v>
      </c>
      <c r="S12" t="n">
        <v>0</v>
      </c>
      <c r="T12" t="n">
        <v>81.72930100000001</v>
      </c>
      <c r="U12" t="n">
        <v>66.580719</v>
      </c>
      <c r="V12" t="n">
        <v>4667806.5</v>
      </c>
      <c r="W12" t="n">
        <v>8.044988</v>
      </c>
      <c r="X12" t="n">
        <v>191.691269</v>
      </c>
      <c r="Y12" t="n">
        <v>5637.51</v>
      </c>
      <c r="Z12" t="n">
        <v>638.8099999999999</v>
      </c>
      <c r="AA12" t="n">
        <v>1485.76</v>
      </c>
      <c r="AB12" t="n">
        <v>3219.65</v>
      </c>
      <c r="AC12" t="n">
        <v>179.3</v>
      </c>
      <c r="AD12" t="n">
        <v>6167.88</v>
      </c>
      <c r="AE12" t="n">
        <v>-1</v>
      </c>
      <c r="AF12" t="n">
        <v>26418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5888760</v>
      </c>
      <c r="F13" t="n">
        <v>4974870</v>
      </c>
      <c r="G13" t="n">
        <v>2359657</v>
      </c>
      <c r="H13" t="n">
        <v>1973919</v>
      </c>
      <c r="I13" t="n">
        <v>14.947009</v>
      </c>
      <c r="J13" t="n">
        <v>10.144</v>
      </c>
      <c r="K13" t="n">
        <v>5.978</v>
      </c>
      <c r="L13" t="n">
        <v>5.084</v>
      </c>
      <c r="M13" t="n">
        <v>-322346.28125</v>
      </c>
      <c r="N13" t="n">
        <v>-1091290</v>
      </c>
      <c r="O13" t="n">
        <v>-558101</v>
      </c>
      <c r="P13" t="n">
        <v>-807021</v>
      </c>
      <c r="Q13" t="n">
        <v>5976</v>
      </c>
      <c r="R13" t="n">
        <v>16.922022</v>
      </c>
      <c r="S13" t="n">
        <v>0</v>
      </c>
      <c r="T13" t="n">
        <v>85.11412</v>
      </c>
      <c r="U13" t="n">
        <v>61.231407</v>
      </c>
      <c r="V13" t="n">
        <v>2628085.5</v>
      </c>
      <c r="W13" t="n">
        <v>5.67702</v>
      </c>
      <c r="X13" t="n">
        <v>297.000183</v>
      </c>
      <c r="Y13" t="n">
        <v>3358.24</v>
      </c>
      <c r="Z13" t="n">
        <v>468.68</v>
      </c>
      <c r="AA13" t="n">
        <v>776.3</v>
      </c>
      <c r="AB13" t="n">
        <v>1553.72</v>
      </c>
      <c r="AC13" t="n">
        <v>127.84</v>
      </c>
      <c r="AD13" t="n">
        <v>4073.95</v>
      </c>
      <c r="AE13" t="n">
        <v>-1</v>
      </c>
      <c r="AF13" t="n">
        <v>18207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5325440</v>
      </c>
      <c r="F14" t="n">
        <v>4388260</v>
      </c>
      <c r="G14" t="n">
        <v>2378675</v>
      </c>
      <c r="H14" t="n">
        <v>2060738</v>
      </c>
      <c r="I14" t="n">
        <v>15.060339</v>
      </c>
      <c r="J14" t="n">
        <v>7.949</v>
      </c>
      <c r="K14" t="n">
        <v>6.02433</v>
      </c>
      <c r="L14" t="n">
        <v>5.89</v>
      </c>
      <c r="M14" t="n">
        <v>-203274.15625</v>
      </c>
      <c r="N14" t="n">
        <v>-907447</v>
      </c>
      <c r="O14" t="n">
        <v>-435064</v>
      </c>
      <c r="P14" t="n">
        <v>-710039</v>
      </c>
      <c r="Q14" t="n">
        <v>5308</v>
      </c>
      <c r="R14" t="n">
        <v>16.722494</v>
      </c>
      <c r="S14" t="n">
        <v>0</v>
      </c>
      <c r="T14" t="n">
        <v>84.786148</v>
      </c>
      <c r="U14" t="n">
        <v>62.469147</v>
      </c>
      <c r="V14" t="n">
        <v>2285828</v>
      </c>
      <c r="W14" t="n">
        <v>5.176311</v>
      </c>
      <c r="X14" t="n">
        <v>273</v>
      </c>
      <c r="Y14" t="n">
        <v>3055.11</v>
      </c>
      <c r="Z14" t="n">
        <v>476.49</v>
      </c>
      <c r="AA14" t="n">
        <v>719.6799999999999</v>
      </c>
      <c r="AB14" t="n">
        <v>1316.47</v>
      </c>
      <c r="AC14" t="n">
        <v>159.64</v>
      </c>
      <c r="AD14" t="n">
        <v>3816.4</v>
      </c>
      <c r="AE14" t="n">
        <v>-1</v>
      </c>
      <c r="AF14" t="n">
        <v>17596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3009050</v>
      </c>
      <c r="F15" t="n">
        <v>5758380</v>
      </c>
      <c r="G15" t="n">
        <v>2523354</v>
      </c>
      <c r="H15" t="n">
        <v>2394661</v>
      </c>
      <c r="I15" t="n">
        <v>9.283956999999999</v>
      </c>
      <c r="J15" t="n">
        <v>12.699</v>
      </c>
      <c r="K15" t="n">
        <v>5.679</v>
      </c>
      <c r="L15" t="n">
        <v>5.409</v>
      </c>
      <c r="M15" t="n">
        <v>-243488.625</v>
      </c>
      <c r="N15" t="n">
        <v>-292382</v>
      </c>
      <c r="O15" t="n">
        <v>-205106</v>
      </c>
      <c r="P15" t="n">
        <v>-307467</v>
      </c>
      <c r="Q15" t="n">
        <v>7307</v>
      </c>
      <c r="R15" t="n">
        <v>33.060078</v>
      </c>
      <c r="S15" t="n">
        <v>0</v>
      </c>
      <c r="T15" t="n">
        <v>82.635544</v>
      </c>
      <c r="U15" t="n">
        <v>71.501328</v>
      </c>
      <c r="V15" t="n">
        <v>4000062.75</v>
      </c>
      <c r="W15" t="n">
        <v>9.655480000000001</v>
      </c>
      <c r="X15" t="n">
        <v>105.017357</v>
      </c>
      <c r="Y15" t="n">
        <v>2873.9</v>
      </c>
      <c r="Z15" t="n">
        <v>355.41</v>
      </c>
      <c r="AA15" t="n">
        <v>377.28</v>
      </c>
      <c r="AB15" t="n">
        <v>1865.69</v>
      </c>
      <c r="AC15" t="n">
        <v>130.93</v>
      </c>
      <c r="AD15" t="n">
        <v>3302.47</v>
      </c>
      <c r="AE15" t="n">
        <v>-1</v>
      </c>
      <c r="AF15" t="n">
        <v>22392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4663390</v>
      </c>
      <c r="F16" t="n">
        <v>4514720</v>
      </c>
      <c r="G16" t="n">
        <v>2696424</v>
      </c>
      <c r="H16" t="n">
        <v>2698595</v>
      </c>
      <c r="I16" t="n">
        <v>14.400828</v>
      </c>
      <c r="J16" t="n">
        <v>7.688</v>
      </c>
      <c r="K16" t="n">
        <v>5.782</v>
      </c>
      <c r="L16" t="n">
        <v>5.047</v>
      </c>
      <c r="M16" t="n">
        <v>-362252</v>
      </c>
      <c r="N16" t="n">
        <v>-583677</v>
      </c>
      <c r="O16" t="n">
        <v>-447564</v>
      </c>
      <c r="P16" t="n">
        <v>-719274</v>
      </c>
      <c r="Q16" t="n">
        <v>5094</v>
      </c>
      <c r="R16" t="n">
        <v>16.186886</v>
      </c>
      <c r="S16" t="n">
        <v>0</v>
      </c>
      <c r="T16" t="n">
        <v>81.01348900000001</v>
      </c>
      <c r="U16" t="n">
        <v>54.784786</v>
      </c>
      <c r="V16" t="n">
        <v>1734709.25</v>
      </c>
      <c r="W16" t="n">
        <v>4.417593</v>
      </c>
      <c r="X16" t="n">
        <v>103.999893</v>
      </c>
      <c r="Y16" t="n">
        <v>2483.89</v>
      </c>
      <c r="Z16" t="n">
        <v>376.51</v>
      </c>
      <c r="AA16" t="n">
        <v>729.0599999999999</v>
      </c>
      <c r="AB16" t="n">
        <v>1119.55</v>
      </c>
      <c r="AC16" t="n">
        <v>209.4</v>
      </c>
      <c r="AD16" t="n">
        <v>2999.43</v>
      </c>
      <c r="AE16" t="n">
        <v>-1</v>
      </c>
      <c r="AF16" t="n">
        <v>16098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3977800</v>
      </c>
      <c r="F17" t="n">
        <v>3988400</v>
      </c>
      <c r="G17" t="n">
        <v>1936130</v>
      </c>
      <c r="H17" t="n">
        <v>1601093</v>
      </c>
      <c r="I17" t="n">
        <v>14.941003</v>
      </c>
      <c r="J17" t="n">
        <v>8.394</v>
      </c>
      <c r="K17" t="n">
        <v>6.259</v>
      </c>
      <c r="L17" t="n">
        <v>5.794</v>
      </c>
      <c r="M17" t="n">
        <v>-201016.03125</v>
      </c>
      <c r="N17" t="n">
        <v>-545198</v>
      </c>
      <c r="O17" t="n">
        <v>-386989</v>
      </c>
      <c r="P17" t="n">
        <v>-579764</v>
      </c>
      <c r="Q17" t="n">
        <v>5784</v>
      </c>
      <c r="R17" t="n">
        <v>16.258991</v>
      </c>
      <c r="S17" t="n">
        <v>0</v>
      </c>
      <c r="T17" t="n">
        <v>86.72571600000001</v>
      </c>
      <c r="U17" t="n">
        <v>67.543144</v>
      </c>
      <c r="V17" t="n">
        <v>2472999.5</v>
      </c>
      <c r="W17" t="n">
        <v>6.343367</v>
      </c>
      <c r="X17" t="n">
        <v>143</v>
      </c>
      <c r="Y17" t="n">
        <v>2622.96</v>
      </c>
      <c r="Z17" t="n">
        <v>347.11</v>
      </c>
      <c r="AA17" t="n">
        <v>596.04</v>
      </c>
      <c r="AB17" t="n">
        <v>1407.59</v>
      </c>
      <c r="AC17" t="n">
        <v>115.52</v>
      </c>
      <c r="AD17" t="n">
        <v>3050.04</v>
      </c>
      <c r="AE17" t="n">
        <v>-1</v>
      </c>
      <c r="AF17" t="n">
        <v>16113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3613310</v>
      </c>
      <c r="F18" t="n">
        <v>3750660</v>
      </c>
      <c r="G18" t="n">
        <v>2020874</v>
      </c>
      <c r="H18" t="n">
        <v>1887614</v>
      </c>
      <c r="I18" t="n">
        <v>14.264432</v>
      </c>
      <c r="J18" t="n">
        <v>10.262</v>
      </c>
      <c r="K18" t="n">
        <v>5.782</v>
      </c>
      <c r="L18" t="n">
        <v>5.256</v>
      </c>
      <c r="M18" t="n">
        <v>-190452.390625</v>
      </c>
      <c r="N18" t="n">
        <v>-532871</v>
      </c>
      <c r="O18" t="n">
        <v>-311626</v>
      </c>
      <c r="P18" t="n">
        <v>-460016</v>
      </c>
      <c r="Q18" t="n">
        <v>4335</v>
      </c>
      <c r="R18" t="n">
        <v>16.731718</v>
      </c>
      <c r="S18" t="n">
        <v>0</v>
      </c>
      <c r="T18" t="n">
        <v>82.69709</v>
      </c>
      <c r="U18" t="n">
        <v>60.672554</v>
      </c>
      <c r="V18" t="n">
        <v>1831691.25</v>
      </c>
      <c r="W18" t="n">
        <v>5.157456</v>
      </c>
      <c r="X18" t="n">
        <v>241.000198</v>
      </c>
      <c r="Y18" t="n">
        <v>2130.61</v>
      </c>
      <c r="Z18" t="n">
        <v>300.6</v>
      </c>
      <c r="AA18" t="n">
        <v>507.26</v>
      </c>
      <c r="AB18" t="n">
        <v>1071.92</v>
      </c>
      <c r="AC18" t="n">
        <v>144.43</v>
      </c>
      <c r="AD18" t="n">
        <v>2579.95</v>
      </c>
      <c r="AE18" t="n">
        <v>-1</v>
      </c>
      <c r="AF18" t="n">
        <v>14874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3277810</v>
      </c>
      <c r="F19" t="n">
        <v>5152260</v>
      </c>
      <c r="G19" t="n">
        <v>1806090</v>
      </c>
      <c r="H19" t="n">
        <v>1730947</v>
      </c>
      <c r="I19" t="n">
        <v>8.935999000000001</v>
      </c>
      <c r="J19" t="n">
        <v>11.8417</v>
      </c>
      <c r="K19" t="n">
        <v>5.58957</v>
      </c>
      <c r="L19" t="n">
        <v>5.545</v>
      </c>
      <c r="M19" t="n">
        <v>-198255.71875</v>
      </c>
      <c r="N19" t="n">
        <v>-289343</v>
      </c>
      <c r="O19" t="n">
        <v>-161119</v>
      </c>
      <c r="P19" t="n">
        <v>-262310</v>
      </c>
      <c r="Q19" t="n">
        <v>5158</v>
      </c>
      <c r="R19" t="n">
        <v>27.989918</v>
      </c>
      <c r="S19" t="n">
        <v>0</v>
      </c>
      <c r="T19" t="n">
        <v>76.70959499999999</v>
      </c>
      <c r="U19" t="n">
        <v>77.911118</v>
      </c>
      <c r="V19" t="n">
        <v>3949974.25</v>
      </c>
      <c r="W19" t="n">
        <v>13.330051</v>
      </c>
      <c r="X19" t="n">
        <v>109.000206</v>
      </c>
      <c r="Y19" t="n">
        <v>1965.03</v>
      </c>
      <c r="Z19" t="n">
        <v>217.86</v>
      </c>
      <c r="AA19" t="n">
        <v>235.27</v>
      </c>
      <c r="AB19" t="n">
        <v>1235.42</v>
      </c>
      <c r="AC19" t="n">
        <v>98.14</v>
      </c>
      <c r="AD19" t="n">
        <v>2341.71</v>
      </c>
      <c r="AE19" t="n">
        <v>-1</v>
      </c>
      <c r="AF19" t="n">
        <v>17403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2453480</v>
      </c>
      <c r="F20" t="n">
        <v>3294620</v>
      </c>
      <c r="G20" t="n">
        <v>1749996</v>
      </c>
      <c r="H20" t="n">
        <v>1689356</v>
      </c>
      <c r="I20" t="n">
        <v>7.97193</v>
      </c>
      <c r="J20" t="n">
        <v>8.715</v>
      </c>
      <c r="K20" t="n">
        <v>5.632</v>
      </c>
      <c r="L20" t="n">
        <v>5.342</v>
      </c>
      <c r="M20" t="n">
        <v>-179140.921875</v>
      </c>
      <c r="N20" t="n">
        <v>-233887</v>
      </c>
      <c r="O20" t="n">
        <v>-157800</v>
      </c>
      <c r="P20" t="n">
        <v>-254668</v>
      </c>
      <c r="Q20" t="n">
        <v>4620</v>
      </c>
      <c r="R20" t="n">
        <v>29.629869</v>
      </c>
      <c r="S20" t="n">
        <v>0</v>
      </c>
      <c r="T20" t="n">
        <v>81.22839399999999</v>
      </c>
      <c r="U20" t="n">
        <v>67.653198</v>
      </c>
      <c r="V20" t="n">
        <v>1692338.375</v>
      </c>
      <c r="W20" t="n">
        <v>5.930206</v>
      </c>
      <c r="X20" t="n">
        <v>79.030731</v>
      </c>
      <c r="Y20" t="n">
        <v>1700.23</v>
      </c>
      <c r="Z20" t="n">
        <v>230.4</v>
      </c>
      <c r="AA20" t="n">
        <v>232.96</v>
      </c>
      <c r="AB20" t="n">
        <v>958.14</v>
      </c>
      <c r="AC20" t="n">
        <v>104.05</v>
      </c>
      <c r="AD20" t="n">
        <v>2089.59</v>
      </c>
      <c r="AE20" t="n">
        <v>-1</v>
      </c>
      <c r="AF20" t="n">
        <v>14751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2616370</v>
      </c>
      <c r="F21" t="n">
        <v>2479560</v>
      </c>
      <c r="G21" t="n">
        <v>1299945</v>
      </c>
      <c r="H21" t="n">
        <v>1332080</v>
      </c>
      <c r="I21" t="n">
        <v>14.826863</v>
      </c>
      <c r="J21" t="n">
        <v>11.506</v>
      </c>
      <c r="K21" t="n">
        <v>7.75994</v>
      </c>
      <c r="L21" t="n">
        <v>7.005</v>
      </c>
      <c r="M21" t="n">
        <v>-439174.65625</v>
      </c>
      <c r="N21" t="n">
        <v>-759912</v>
      </c>
      <c r="O21" t="n">
        <v>-383836</v>
      </c>
      <c r="P21" t="n">
        <v>-499757</v>
      </c>
      <c r="Q21" t="n">
        <v>2666</v>
      </c>
      <c r="R21" t="n">
        <v>23.075394</v>
      </c>
      <c r="S21" t="n">
        <v>0</v>
      </c>
      <c r="T21" t="n">
        <v>72.917618</v>
      </c>
      <c r="U21" t="n">
        <v>67.704071</v>
      </c>
      <c r="V21" t="n">
        <v>1245384.125</v>
      </c>
      <c r="W21" t="n">
        <v>5.93009</v>
      </c>
      <c r="X21" t="n">
        <v>225.999893</v>
      </c>
      <c r="Y21" t="n">
        <v>1563.47</v>
      </c>
      <c r="Z21" t="n">
        <v>221.71</v>
      </c>
      <c r="AA21" t="n">
        <v>325.36</v>
      </c>
      <c r="AB21" t="n">
        <v>505.72</v>
      </c>
      <c r="AC21" t="n">
        <v>91.23999999999999</v>
      </c>
      <c r="AD21" t="n">
        <v>2213.12</v>
      </c>
      <c r="AE21" t="n">
        <v>-1</v>
      </c>
      <c r="AF21" t="n">
        <v>9348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890089</v>
      </c>
      <c r="F22" t="n">
        <v>1663010</v>
      </c>
      <c r="G22" t="n">
        <v>858924</v>
      </c>
      <c r="H22" t="n">
        <v>1054850</v>
      </c>
      <c r="I22" t="n">
        <v>10.297223</v>
      </c>
      <c r="J22" t="n">
        <v>13.3036</v>
      </c>
      <c r="K22" t="n">
        <v>9.39733</v>
      </c>
      <c r="L22" t="n">
        <v>8.372</v>
      </c>
      <c r="M22" t="n">
        <v>-149280.078125</v>
      </c>
      <c r="N22" t="n">
        <v>-258460</v>
      </c>
      <c r="O22" t="n">
        <v>-200944</v>
      </c>
      <c r="P22" t="n">
        <v>-258616</v>
      </c>
      <c r="Q22" t="n">
        <v>1709</v>
      </c>
      <c r="R22" t="n">
        <v>12.991223</v>
      </c>
      <c r="S22" t="n">
        <v>0</v>
      </c>
      <c r="T22" t="n">
        <v>80.20257599999999</v>
      </c>
      <c r="U22" t="n">
        <v>73.394699</v>
      </c>
      <c r="V22" t="n">
        <v>802697.1875</v>
      </c>
      <c r="W22" t="n">
        <v>8.816779</v>
      </c>
      <c r="X22" t="n">
        <v>66.920349</v>
      </c>
      <c r="Y22" t="n">
        <v>604.76</v>
      </c>
      <c r="Z22" t="n">
        <v>94.06</v>
      </c>
      <c r="AA22" t="n">
        <v>216.87</v>
      </c>
      <c r="AB22" t="n">
        <v>214.69</v>
      </c>
      <c r="AC22" t="n">
        <v>74.67</v>
      </c>
      <c r="AD22" t="n">
        <v>770.14</v>
      </c>
      <c r="AE22" t="n">
        <v>-1</v>
      </c>
      <c r="AF22" t="n">
        <v>4905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180730</v>
      </c>
      <c r="F23" t="n">
        <v>150396</v>
      </c>
      <c r="G23" t="n">
        <v>119945</v>
      </c>
      <c r="H23" t="n">
        <v>115141</v>
      </c>
      <c r="I23" t="n">
        <v>14.271916</v>
      </c>
      <c r="J23" t="n">
        <v>6.048</v>
      </c>
      <c r="K23" t="n">
        <v>5.782</v>
      </c>
      <c r="L23" t="n">
        <v>4.924</v>
      </c>
      <c r="M23" t="n">
        <v>-25677.603516</v>
      </c>
      <c r="N23" t="n">
        <v>-48839</v>
      </c>
      <c r="O23" t="n">
        <v>-37836.5</v>
      </c>
      <c r="P23" t="n">
        <v>-45025.6</v>
      </c>
      <c r="Q23" t="n">
        <v>174</v>
      </c>
      <c r="R23" t="n">
        <v>19.310345</v>
      </c>
      <c r="S23" t="n">
        <v>0</v>
      </c>
      <c r="T23" t="n">
        <v>61.543812</v>
      </c>
      <c r="U23" t="n">
        <v>55.971508</v>
      </c>
      <c r="V23" t="n">
        <v>54282.773438</v>
      </c>
      <c r="W23" t="n">
        <v>2.301385</v>
      </c>
      <c r="X23" t="n">
        <v>167</v>
      </c>
      <c r="Y23" t="n">
        <v>186.53</v>
      </c>
      <c r="Z23" t="n">
        <v>16.8</v>
      </c>
      <c r="AA23" t="n">
        <v>31.28</v>
      </c>
      <c r="AB23" t="n">
        <v>21.26</v>
      </c>
      <c r="AC23" t="n">
        <v>9.02</v>
      </c>
      <c r="AD23" t="n">
        <v>310.67</v>
      </c>
      <c r="AE23" t="n">
        <v>-1</v>
      </c>
      <c r="AF23" t="n">
        <v>1020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143</t>
        </is>
      </c>
      <c r="E24" t="n">
        <v>24436700</v>
      </c>
      <c r="F24" t="n">
        <v>-1</v>
      </c>
      <c r="G24" t="n">
        <v>-1</v>
      </c>
      <c r="H24" t="n">
        <v>-1</v>
      </c>
      <c r="I24" t="n">
        <v>11.127</v>
      </c>
      <c r="J24" t="n">
        <v>-1</v>
      </c>
      <c r="K24" t="n">
        <v>-1</v>
      </c>
      <c r="L24" t="n">
        <v>-1</v>
      </c>
      <c r="M24" t="n">
        <v>-1297216.5</v>
      </c>
      <c r="N24" t="n">
        <v>-1</v>
      </c>
      <c r="O24" t="n">
        <v>-1</v>
      </c>
      <c r="P24" t="n">
        <v>-1</v>
      </c>
      <c r="Q24" t="n">
        <v>92426</v>
      </c>
      <c r="R24" t="n">
        <v>271.561371</v>
      </c>
      <c r="S24" t="n">
        <v>0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13064.05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success</t>
        </is>
      </c>
      <c r="E25" t="n">
        <v>14032300</v>
      </c>
      <c r="F25" t="n">
        <v>70963800</v>
      </c>
      <c r="G25" t="n">
        <v>14739989</v>
      </c>
      <c r="H25" t="n">
        <v>16894138</v>
      </c>
      <c r="I25" t="n">
        <v>23.942987</v>
      </c>
      <c r="J25" t="n">
        <v>61.545</v>
      </c>
      <c r="K25" t="n">
        <v>17.8371</v>
      </c>
      <c r="L25" t="n">
        <v>17.827</v>
      </c>
      <c r="M25" t="n">
        <v>-8050892.5</v>
      </c>
      <c r="N25" t="n">
        <v>-18200200</v>
      </c>
      <c r="O25" t="n">
        <v>-9013130</v>
      </c>
      <c r="P25" t="n">
        <v>-9382300</v>
      </c>
      <c r="Q25" t="n">
        <v>31265</v>
      </c>
      <c r="R25" t="n">
        <v>13.079514</v>
      </c>
      <c r="S25" t="n">
        <v>0</v>
      </c>
      <c r="T25" t="n">
        <v>79.29409</v>
      </c>
      <c r="U25" t="n">
        <v>71.786636</v>
      </c>
      <c r="V25" t="n">
        <v>52505980</v>
      </c>
      <c r="W25" t="n">
        <v>36.233234</v>
      </c>
      <c r="X25" t="n">
        <v>404.000092</v>
      </c>
      <c r="Y25" t="n">
        <v>24686.26</v>
      </c>
      <c r="Z25" t="n">
        <v>2357.08</v>
      </c>
      <c r="AA25" t="n">
        <v>2758.84</v>
      </c>
      <c r="AB25" t="n">
        <v>18967.32</v>
      </c>
      <c r="AC25" t="n">
        <v>7270.04</v>
      </c>
      <c r="AD25" t="n">
        <v>32747.41</v>
      </c>
      <c r="AE25" t="n">
        <v>-1</v>
      </c>
      <c r="AF25" t="n">
        <v>86523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success</t>
        </is>
      </c>
      <c r="E26" t="n">
        <v>5361980</v>
      </c>
      <c r="F26" t="n">
        <v>8697630</v>
      </c>
      <c r="G26" t="n">
        <v>3952012</v>
      </c>
      <c r="H26" t="n">
        <v>4619052</v>
      </c>
      <c r="I26" t="n">
        <v>19.767233</v>
      </c>
      <c r="J26" t="n">
        <v>30.6986</v>
      </c>
      <c r="K26" t="n">
        <v>14.1669</v>
      </c>
      <c r="L26" t="n">
        <v>14.111</v>
      </c>
      <c r="M26" t="n">
        <v>-1927113.25</v>
      </c>
      <c r="N26" t="n">
        <v>-3968860</v>
      </c>
      <c r="O26" t="n">
        <v>-2359700</v>
      </c>
      <c r="P26" t="n">
        <v>-3002160</v>
      </c>
      <c r="Q26" t="n">
        <v>6039</v>
      </c>
      <c r="R26" t="n">
        <v>16.065243</v>
      </c>
      <c r="S26" t="n">
        <v>0</v>
      </c>
      <c r="T26" t="n">
        <v>73.879829</v>
      </c>
      <c r="U26" t="n">
        <v>80.30629</v>
      </c>
      <c r="V26" t="n">
        <v>5728856.5</v>
      </c>
      <c r="W26" t="n">
        <v>18.802801</v>
      </c>
      <c r="X26" t="n">
        <v>104.431709</v>
      </c>
      <c r="Y26" t="n">
        <v>3307.84</v>
      </c>
      <c r="Z26" t="n">
        <v>340.67</v>
      </c>
      <c r="AA26" t="n">
        <v>582.5</v>
      </c>
      <c r="AB26" t="n">
        <v>2113.62</v>
      </c>
      <c r="AC26" t="n">
        <v>1532.69</v>
      </c>
      <c r="AD26" t="n">
        <v>5146.29</v>
      </c>
      <c r="AE26" t="n">
        <v>-1</v>
      </c>
      <c r="AF26" t="n">
        <v>22684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79261600</v>
      </c>
      <c r="G2" t="n">
        <v>9045003</v>
      </c>
      <c r="H2" t="n">
        <v>8667738</v>
      </c>
      <c r="I2" t="n">
        <v>-1</v>
      </c>
      <c r="J2" t="n">
        <v>21.632</v>
      </c>
      <c r="K2" t="n">
        <v>5.933</v>
      </c>
      <c r="L2" t="n">
        <v>11.736</v>
      </c>
      <c r="M2" t="n">
        <v>-1</v>
      </c>
      <c r="N2" t="n">
        <v>-1904120</v>
      </c>
      <c r="O2" t="n">
        <v>-610669</v>
      </c>
      <c r="P2" t="n">
        <v>-1152870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1523.08</v>
      </c>
      <c r="AD2" t="n">
        <v>8702.76</v>
      </c>
      <c r="AE2" t="n">
        <v>-1</v>
      </c>
      <c r="AF2" t="n">
        <v>40820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101286000</v>
      </c>
      <c r="G3" t="n">
        <v>8757562</v>
      </c>
      <c r="H3" t="n">
        <v>8566743</v>
      </c>
      <c r="I3" t="n">
        <v>-1</v>
      </c>
      <c r="J3" t="n">
        <v>21.97</v>
      </c>
      <c r="K3" t="n">
        <v>7.06564</v>
      </c>
      <c r="L3" t="n">
        <v>8.292999999999999</v>
      </c>
      <c r="M3" t="n">
        <v>-1</v>
      </c>
      <c r="N3" t="n">
        <v>-2398200</v>
      </c>
      <c r="O3" t="n">
        <v>-948081</v>
      </c>
      <c r="P3" t="n">
        <v>-1843330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2167.99</v>
      </c>
      <c r="AD3" t="n">
        <v>8280.389999999999</v>
      </c>
      <c r="AE3" t="n">
        <v>-1</v>
      </c>
      <c r="AF3" t="n">
        <v>31135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101302000</v>
      </c>
      <c r="G4" t="n">
        <v>9039669</v>
      </c>
      <c r="H4" t="n">
        <v>8935543</v>
      </c>
      <c r="I4" t="n">
        <v>-1</v>
      </c>
      <c r="J4" t="n">
        <v>19.34</v>
      </c>
      <c r="K4" t="n">
        <v>6.68299</v>
      </c>
      <c r="L4" t="n">
        <v>8.262</v>
      </c>
      <c r="M4" t="n">
        <v>-1</v>
      </c>
      <c r="N4" t="n">
        <v>-3112350</v>
      </c>
      <c r="O4" t="n">
        <v>-888885</v>
      </c>
      <c r="P4" t="n">
        <v>-1709740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2977.19</v>
      </c>
      <c r="AD4" t="n">
        <v>9095.719999999999</v>
      </c>
      <c r="AE4" t="n">
        <v>-1</v>
      </c>
      <c r="AF4" t="n">
        <v>30718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97460800</v>
      </c>
      <c r="G5" t="n">
        <v>8381775</v>
      </c>
      <c r="H5" t="n">
        <v>8232893</v>
      </c>
      <c r="I5" t="n">
        <v>-1</v>
      </c>
      <c r="J5" t="n">
        <v>18.687</v>
      </c>
      <c r="K5" t="n">
        <v>6.5663</v>
      </c>
      <c r="L5" t="n">
        <v>7.665</v>
      </c>
      <c r="M5" t="n">
        <v>-1</v>
      </c>
      <c r="N5" t="n">
        <v>-2011690</v>
      </c>
      <c r="O5" t="n">
        <v>-923067</v>
      </c>
      <c r="P5" t="n">
        <v>-1698500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1882.07</v>
      </c>
      <c r="AD5" t="n">
        <v>7778.3</v>
      </c>
      <c r="AE5" t="n">
        <v>-1</v>
      </c>
      <c r="AF5" t="n">
        <v>29827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134199000</v>
      </c>
      <c r="G6" t="n">
        <v>8945805</v>
      </c>
      <c r="H6" t="n">
        <v>10660748</v>
      </c>
      <c r="I6" t="n">
        <v>-1</v>
      </c>
      <c r="J6" t="n">
        <v>67.468</v>
      </c>
      <c r="K6" t="n">
        <v>14.626</v>
      </c>
      <c r="L6" t="n">
        <v>14.601</v>
      </c>
      <c r="M6" t="n">
        <v>-1</v>
      </c>
      <c r="N6" t="n">
        <v>-17171500</v>
      </c>
      <c r="O6" t="n">
        <v>-4699360</v>
      </c>
      <c r="P6" t="n">
        <v>-4907850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2423.87</v>
      </c>
      <c r="AD6" t="n">
        <v>15447.19</v>
      </c>
      <c r="AE6" t="n">
        <v>-1</v>
      </c>
      <c r="AF6" t="n">
        <v>46664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64769900</v>
      </c>
      <c r="G7" t="n">
        <v>8213812</v>
      </c>
      <c r="H7" t="n">
        <v>8118748</v>
      </c>
      <c r="I7" t="n">
        <v>-1</v>
      </c>
      <c r="J7" t="n">
        <v>17.251</v>
      </c>
      <c r="K7" t="n">
        <v>5.156</v>
      </c>
      <c r="L7" t="n">
        <v>9.26</v>
      </c>
      <c r="M7" t="n">
        <v>-1</v>
      </c>
      <c r="N7" t="n">
        <v>-1574430</v>
      </c>
      <c r="O7" t="n">
        <v>-497244</v>
      </c>
      <c r="P7" t="n">
        <v>-939275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1185.98</v>
      </c>
      <c r="AD7" t="n">
        <v>6944.64</v>
      </c>
      <c r="AE7" t="n">
        <v>-1</v>
      </c>
      <c r="AF7" t="n">
        <v>33049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59286200</v>
      </c>
      <c r="G8" t="n">
        <v>7773348</v>
      </c>
      <c r="H8" t="n">
        <v>7576897</v>
      </c>
      <c r="I8" t="n">
        <v>-1</v>
      </c>
      <c r="J8" t="n">
        <v>16.733</v>
      </c>
      <c r="K8" t="n">
        <v>4.4903</v>
      </c>
      <c r="L8" t="n">
        <v>8.939</v>
      </c>
      <c r="M8" t="n">
        <v>-1</v>
      </c>
      <c r="N8" t="n">
        <v>-1476290</v>
      </c>
      <c r="O8" t="n">
        <v>-468711</v>
      </c>
      <c r="P8" t="n">
        <v>-910925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687.33</v>
      </c>
      <c r="AD8" t="n">
        <v>5833.18</v>
      </c>
      <c r="AE8" t="n">
        <v>-1</v>
      </c>
      <c r="AF8" t="n">
        <v>31687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52699200</v>
      </c>
      <c r="G9" t="n">
        <v>4938359</v>
      </c>
      <c r="H9" t="n">
        <v>4430637</v>
      </c>
      <c r="I9" t="n">
        <v>-1</v>
      </c>
      <c r="J9" t="n">
        <v>22.292</v>
      </c>
      <c r="K9" t="n">
        <v>5.693</v>
      </c>
      <c r="L9" t="n">
        <v>5.67</v>
      </c>
      <c r="M9" t="n">
        <v>-1</v>
      </c>
      <c r="N9" t="n">
        <v>-1670950</v>
      </c>
      <c r="O9" t="n">
        <v>-705427</v>
      </c>
      <c r="P9" t="n">
        <v>-1030220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901.28</v>
      </c>
      <c r="AD9" t="n">
        <v>7364.91</v>
      </c>
      <c r="AE9" t="n">
        <v>-1</v>
      </c>
      <c r="AF9" t="n">
        <v>26650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51438100</v>
      </c>
      <c r="G10" t="n">
        <v>4754299</v>
      </c>
      <c r="H10" t="n">
        <v>4414651</v>
      </c>
      <c r="I10" t="n">
        <v>-1</v>
      </c>
      <c r="J10" t="n">
        <v>27.203</v>
      </c>
      <c r="K10" t="n">
        <v>6.907</v>
      </c>
      <c r="L10" t="n">
        <v>6.133</v>
      </c>
      <c r="M10" t="n">
        <v>-1</v>
      </c>
      <c r="N10" t="n">
        <v>-2412460</v>
      </c>
      <c r="O10" t="n">
        <v>-1007480</v>
      </c>
      <c r="P10" t="n">
        <v>-1304240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275.12</v>
      </c>
      <c r="AD10" t="n">
        <v>7437.95</v>
      </c>
      <c r="AE10" t="n">
        <v>-1</v>
      </c>
      <c r="AF10" t="n">
        <v>25506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36995600</v>
      </c>
      <c r="G11" t="n">
        <v>2674785</v>
      </c>
      <c r="H11" t="n">
        <v>1969453</v>
      </c>
      <c r="I11" t="n">
        <v>-1</v>
      </c>
      <c r="J11" t="n">
        <v>16.482</v>
      </c>
      <c r="K11" t="n">
        <v>4.915</v>
      </c>
      <c r="L11" t="n">
        <v>5.671</v>
      </c>
      <c r="M11" t="n">
        <v>-1</v>
      </c>
      <c r="N11" t="n">
        <v>-1308440</v>
      </c>
      <c r="O11" t="n">
        <v>-220217</v>
      </c>
      <c r="P11" t="n">
        <v>-236985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152.04</v>
      </c>
      <c r="AD11" t="n">
        <v>4371.57</v>
      </c>
      <c r="AE11" t="n">
        <v>-1</v>
      </c>
      <c r="AF11" t="n">
        <v>24690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40310200</v>
      </c>
      <c r="G12" t="n">
        <v>3581799</v>
      </c>
      <c r="H12" t="n">
        <v>3141699</v>
      </c>
      <c r="I12" t="n">
        <v>-1</v>
      </c>
      <c r="J12" t="n">
        <v>24.847</v>
      </c>
      <c r="K12" t="n">
        <v>6.31772</v>
      </c>
      <c r="L12" t="n">
        <v>5.812</v>
      </c>
      <c r="M12" t="n">
        <v>-1</v>
      </c>
      <c r="N12" t="n">
        <v>-1369230</v>
      </c>
      <c r="O12" t="n">
        <v>-520575</v>
      </c>
      <c r="P12" t="n">
        <v>-729016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192.84</v>
      </c>
      <c r="AD12" t="n">
        <v>5836.11</v>
      </c>
      <c r="AE12" t="n">
        <v>-1</v>
      </c>
      <c r="AF12" t="n">
        <v>21835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32034600</v>
      </c>
      <c r="G13" t="n">
        <v>2484837</v>
      </c>
      <c r="H13" t="n">
        <v>2159230</v>
      </c>
      <c r="I13" t="n">
        <v>-1</v>
      </c>
      <c r="J13" t="n">
        <v>32.9453</v>
      </c>
      <c r="K13" t="n">
        <v>5.818</v>
      </c>
      <c r="L13" t="n">
        <v>4.924</v>
      </c>
      <c r="M13" t="n">
        <v>-1</v>
      </c>
      <c r="N13" t="n">
        <v>-1698920</v>
      </c>
      <c r="O13" t="n">
        <v>-574073</v>
      </c>
      <c r="P13" t="n">
        <v>-849645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137.57</v>
      </c>
      <c r="AD13" t="n">
        <v>3939.05</v>
      </c>
      <c r="AE13" t="n">
        <v>-1</v>
      </c>
      <c r="AF13" t="n">
        <v>16690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30256700</v>
      </c>
      <c r="G14" t="n">
        <v>2484695</v>
      </c>
      <c r="H14" t="n">
        <v>2212759</v>
      </c>
      <c r="I14" t="n">
        <v>-1</v>
      </c>
      <c r="J14" t="n">
        <v>32.998</v>
      </c>
      <c r="K14" t="n">
        <v>6.01531</v>
      </c>
      <c r="L14" t="n">
        <v>5.303</v>
      </c>
      <c r="M14" t="n">
        <v>-1</v>
      </c>
      <c r="N14" t="n">
        <v>-1560630</v>
      </c>
      <c r="O14" t="n">
        <v>-377829</v>
      </c>
      <c r="P14" t="n">
        <v>-606808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144.44</v>
      </c>
      <c r="AD14" t="n">
        <v>3692.33</v>
      </c>
      <c r="AE14" t="n">
        <v>-1</v>
      </c>
      <c r="AF14" t="n">
        <v>16645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24616600</v>
      </c>
      <c r="G15" t="n">
        <v>2798977</v>
      </c>
      <c r="H15" t="n">
        <v>2675634</v>
      </c>
      <c r="I15" t="n">
        <v>-1</v>
      </c>
      <c r="J15" t="n">
        <v>22.53</v>
      </c>
      <c r="K15" t="n">
        <v>6.69018</v>
      </c>
      <c r="L15" t="n">
        <v>6.865</v>
      </c>
      <c r="M15" t="n">
        <v>-1</v>
      </c>
      <c r="N15" t="n">
        <v>-741980</v>
      </c>
      <c r="O15" t="n">
        <v>-229206</v>
      </c>
      <c r="P15" t="n">
        <v>-370306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139.27</v>
      </c>
      <c r="AD15" t="n">
        <v>3057.83</v>
      </c>
      <c r="AE15" t="n">
        <v>-1</v>
      </c>
      <c r="AF15" t="n">
        <v>17730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24276600</v>
      </c>
      <c r="G16" t="n">
        <v>2645050</v>
      </c>
      <c r="H16" t="n">
        <v>2685834</v>
      </c>
      <c r="I16" t="n">
        <v>-1</v>
      </c>
      <c r="J16" t="n">
        <v>20.967</v>
      </c>
      <c r="K16" t="n">
        <v>6.02066</v>
      </c>
      <c r="L16" t="n">
        <v>5.28</v>
      </c>
      <c r="M16" t="n">
        <v>-1</v>
      </c>
      <c r="N16" t="n">
        <v>-1267620</v>
      </c>
      <c r="O16" t="n">
        <v>-466428</v>
      </c>
      <c r="P16" t="n">
        <v>-728782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179.82</v>
      </c>
      <c r="AD16" t="n">
        <v>3205.27</v>
      </c>
      <c r="AE16" t="n">
        <v>-1</v>
      </c>
      <c r="AF16" t="n">
        <v>14730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21997400</v>
      </c>
      <c r="G17" t="n">
        <v>2230021</v>
      </c>
      <c r="H17" t="n">
        <v>1973548</v>
      </c>
      <c r="I17" t="n">
        <v>-1</v>
      </c>
      <c r="J17" t="n">
        <v>19.11</v>
      </c>
      <c r="K17" t="n">
        <v>5.782</v>
      </c>
      <c r="L17" t="n">
        <v>5.163</v>
      </c>
      <c r="M17" t="n">
        <v>-1</v>
      </c>
      <c r="N17" t="n">
        <v>-1082210</v>
      </c>
      <c r="O17" t="n">
        <v>-374926</v>
      </c>
      <c r="P17" t="n">
        <v>-567257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120.19</v>
      </c>
      <c r="AD17" t="n">
        <v>2698.36</v>
      </c>
      <c r="AE17" t="n">
        <v>-1</v>
      </c>
      <c r="AF17" t="n">
        <v>14239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19591800</v>
      </c>
      <c r="G18" t="n">
        <v>2202655</v>
      </c>
      <c r="H18" t="n">
        <v>2119630</v>
      </c>
      <c r="I18" t="n">
        <v>-1</v>
      </c>
      <c r="J18" t="n">
        <v>19.758</v>
      </c>
      <c r="K18" t="n">
        <v>5.782</v>
      </c>
      <c r="L18" t="n">
        <v>4.981</v>
      </c>
      <c r="M18" t="n">
        <v>-1</v>
      </c>
      <c r="N18" t="n">
        <v>-987420</v>
      </c>
      <c r="O18" t="n">
        <v>-362913</v>
      </c>
      <c r="P18" t="n">
        <v>-550562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141.61</v>
      </c>
      <c r="AD18" t="n">
        <v>2592.47</v>
      </c>
      <c r="AE18" t="n">
        <v>-1</v>
      </c>
      <c r="AF18" t="n">
        <v>12755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15837300</v>
      </c>
      <c r="G19" t="n">
        <v>1805004</v>
      </c>
      <c r="H19" t="n">
        <v>1741199</v>
      </c>
      <c r="I19" t="n">
        <v>-1</v>
      </c>
      <c r="J19" t="n">
        <v>18.605</v>
      </c>
      <c r="K19" t="n">
        <v>6.419</v>
      </c>
      <c r="L19" t="n">
        <v>6.224</v>
      </c>
      <c r="M19" t="n">
        <v>-1</v>
      </c>
      <c r="N19" t="n">
        <v>-607544</v>
      </c>
      <c r="O19" t="n">
        <v>-172791</v>
      </c>
      <c r="P19" t="n">
        <v>-296611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96.67</v>
      </c>
      <c r="AD19" t="n">
        <v>1953.53</v>
      </c>
      <c r="AE19" t="n">
        <v>-1</v>
      </c>
      <c r="AF19" t="n">
        <v>12522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15205700</v>
      </c>
      <c r="G20" t="n">
        <v>1739095</v>
      </c>
      <c r="H20" t="n">
        <v>1693042</v>
      </c>
      <c r="I20" t="n">
        <v>-1</v>
      </c>
      <c r="J20" t="n">
        <v>17.597</v>
      </c>
      <c r="K20" t="n">
        <v>6.235</v>
      </c>
      <c r="L20" t="n">
        <v>6.303</v>
      </c>
      <c r="M20" t="n">
        <v>-1</v>
      </c>
      <c r="N20" t="n">
        <v>-581624</v>
      </c>
      <c r="O20" t="n">
        <v>-164348</v>
      </c>
      <c r="P20" t="n">
        <v>-292196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101.36</v>
      </c>
      <c r="AD20" t="n">
        <v>2018.4</v>
      </c>
      <c r="AE20" t="n">
        <v>-1</v>
      </c>
      <c r="AF20" t="n">
        <v>12168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14719300</v>
      </c>
      <c r="G21" t="n">
        <v>1443788</v>
      </c>
      <c r="H21" t="n">
        <v>1522599</v>
      </c>
      <c r="I21" t="n">
        <v>-1</v>
      </c>
      <c r="J21" t="n">
        <v>28.428</v>
      </c>
      <c r="K21" t="n">
        <v>7.4471</v>
      </c>
      <c r="L21" t="n">
        <v>6.655</v>
      </c>
      <c r="M21" t="n">
        <v>-1</v>
      </c>
      <c r="N21" t="n">
        <v>-1208510</v>
      </c>
      <c r="O21" t="n">
        <v>-369071</v>
      </c>
      <c r="P21" t="n">
        <v>-491569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102.62</v>
      </c>
      <c r="AD21" t="n">
        <v>2325.82</v>
      </c>
      <c r="AE21" t="n">
        <v>-1</v>
      </c>
      <c r="AF21" t="n">
        <v>8606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5192130</v>
      </c>
      <c r="G22" t="n">
        <v>1012501</v>
      </c>
      <c r="H22" t="n">
        <v>1298499</v>
      </c>
      <c r="I22" t="n">
        <v>-1</v>
      </c>
      <c r="J22" t="n">
        <v>22.8095</v>
      </c>
      <c r="K22" t="n">
        <v>9.16133</v>
      </c>
      <c r="L22" t="n">
        <v>8.891</v>
      </c>
      <c r="M22" t="n">
        <v>-1</v>
      </c>
      <c r="N22" t="n">
        <v>-431892</v>
      </c>
      <c r="O22" t="n">
        <v>-200382</v>
      </c>
      <c r="P22" t="n">
        <v>-272901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116.37</v>
      </c>
      <c r="AD22" t="n">
        <v>770.96</v>
      </c>
      <c r="AE22" t="n">
        <v>-1</v>
      </c>
      <c r="AF22" t="n">
        <v>4482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546345</v>
      </c>
      <c r="G23" t="n">
        <v>123217</v>
      </c>
      <c r="H23" t="n">
        <v>119290</v>
      </c>
      <c r="I23" t="n">
        <v>-1</v>
      </c>
      <c r="J23" t="n">
        <v>7.523</v>
      </c>
      <c r="K23" t="n">
        <v>5.693</v>
      </c>
      <c r="L23" t="n">
        <v>4.791</v>
      </c>
      <c r="M23" t="n">
        <v>-1</v>
      </c>
      <c r="N23" t="n">
        <v>-66559.8</v>
      </c>
      <c r="O23" t="n">
        <v>-39225.5</v>
      </c>
      <c r="P23" t="n">
        <v>-48918.7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7</v>
      </c>
      <c r="AD23" t="n">
        <v>277.33</v>
      </c>
      <c r="AE23" t="n">
        <v>-1</v>
      </c>
      <c r="AF23" t="n">
        <v>882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143</t>
        </is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exited with return code 143</t>
        </is>
      </c>
      <c r="E25" t="n">
        <v>-1</v>
      </c>
      <c r="F25" t="n">
        <v>277149000</v>
      </c>
      <c r="G25" t="n">
        <v>18284239</v>
      </c>
      <c r="H25" t="n">
        <v>-1</v>
      </c>
      <c r="I25" t="n">
        <v>-1</v>
      </c>
      <c r="J25" t="n">
        <v>89.89100000000001</v>
      </c>
      <c r="K25" t="n">
        <v>16.8305</v>
      </c>
      <c r="L25" t="n">
        <v>-1</v>
      </c>
      <c r="M25" t="n">
        <v>-1</v>
      </c>
      <c r="N25" t="n">
        <v>-37448300</v>
      </c>
      <c r="O25" t="n">
        <v>-9251850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84614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exited with return code 143</t>
        </is>
      </c>
      <c r="E26" t="n">
        <v>-1</v>
      </c>
      <c r="F26" t="n">
        <v>35766500</v>
      </c>
      <c r="G26" t="n">
        <v>5063950</v>
      </c>
      <c r="H26" t="n">
        <v>-1</v>
      </c>
      <c r="I26" t="n">
        <v>-1</v>
      </c>
      <c r="J26" t="n">
        <v>63.196</v>
      </c>
      <c r="K26" t="n">
        <v>16.2463</v>
      </c>
      <c r="L26" t="n">
        <v>-1</v>
      </c>
      <c r="M26" t="n">
        <v>-1</v>
      </c>
      <c r="N26" t="n">
        <v>-4906330</v>
      </c>
      <c r="O26" t="n">
        <v>-2635440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20004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7232.47</v>
      </c>
      <c r="F2" t="n">
        <v>11597.3</v>
      </c>
      <c r="G2" t="n">
        <v>9861</v>
      </c>
      <c r="H2" t="n">
        <v>19114</v>
      </c>
      <c r="I2" t="n">
        <v>2.023157</v>
      </c>
      <c r="J2" t="n">
        <v>5.46413</v>
      </c>
      <c r="K2" t="n">
        <v>5.46413</v>
      </c>
      <c r="L2" t="n">
        <v>18.9553</v>
      </c>
      <c r="M2" t="n">
        <v>-13.015519</v>
      </c>
      <c r="N2" t="n">
        <v>-35.008</v>
      </c>
      <c r="O2" t="n">
        <v>-35.008</v>
      </c>
      <c r="P2" t="n">
        <v>-125.236</v>
      </c>
      <c r="Q2" t="n">
        <v>209</v>
      </c>
      <c r="R2" t="n">
        <v>1.789474</v>
      </c>
      <c r="S2" t="n">
        <v>0</v>
      </c>
      <c r="T2" t="n">
        <v>88.235291</v>
      </c>
      <c r="U2" t="n">
        <v>64.96114300000001</v>
      </c>
      <c r="V2" t="n">
        <v>3952.841797</v>
      </c>
      <c r="W2" t="n">
        <v>2.560131</v>
      </c>
      <c r="X2" t="n">
        <v>20.0002</v>
      </c>
      <c r="Y2" t="n">
        <v>12.06</v>
      </c>
      <c r="Z2" t="n">
        <v>0.88</v>
      </c>
      <c r="AA2" t="n">
        <v>8.949999999999999</v>
      </c>
      <c r="AB2" t="n">
        <v>0.28</v>
      </c>
      <c r="AC2" t="n">
        <v>3.49</v>
      </c>
      <c r="AD2" t="n">
        <v>16.31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7117.69</v>
      </c>
      <c r="F3" t="n">
        <v>12272.2</v>
      </c>
      <c r="G3" t="n">
        <v>10187</v>
      </c>
      <c r="H3" t="n">
        <v>20280</v>
      </c>
      <c r="I3" t="n">
        <v>1.759012</v>
      </c>
      <c r="J3" t="n">
        <v>4.27225</v>
      </c>
      <c r="K3" t="n">
        <v>4.27225</v>
      </c>
      <c r="L3" t="n">
        <v>20.6645</v>
      </c>
      <c r="M3" t="n">
        <v>-30.077353</v>
      </c>
      <c r="N3" t="n">
        <v>-72.62820000000001</v>
      </c>
      <c r="O3" t="n">
        <v>-72.62820000000001</v>
      </c>
      <c r="P3" t="n">
        <v>-327.951</v>
      </c>
      <c r="Q3" t="n">
        <v>170</v>
      </c>
      <c r="R3" t="n">
        <v>1</v>
      </c>
      <c r="S3" t="n">
        <v>0</v>
      </c>
      <c r="T3" t="n">
        <v>77.14286</v>
      </c>
      <c r="U3" t="n">
        <v>48.992249</v>
      </c>
      <c r="V3" t="n">
        <v>2584.398682</v>
      </c>
      <c r="W3" t="n">
        <v>2.00341</v>
      </c>
      <c r="X3" t="n">
        <v>22.0002</v>
      </c>
      <c r="Y3" t="n">
        <v>3.63</v>
      </c>
      <c r="Z3" t="n">
        <v>0.66</v>
      </c>
      <c r="AA3" t="n">
        <v>0.66</v>
      </c>
      <c r="AB3" t="n">
        <v>0.33</v>
      </c>
      <c r="AC3" t="n">
        <v>2.29</v>
      </c>
      <c r="AD3" t="n">
        <v>6.66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5945.53</v>
      </c>
      <c r="F4" t="n">
        <v>11155.8</v>
      </c>
      <c r="G4" t="n">
        <v>9472</v>
      </c>
      <c r="H4" t="n">
        <v>16557</v>
      </c>
      <c r="I4" t="n">
        <v>1.476578</v>
      </c>
      <c r="J4" t="n">
        <v>3.24207</v>
      </c>
      <c r="K4" t="n">
        <v>3.24207</v>
      </c>
      <c r="L4" t="n">
        <v>10.1769</v>
      </c>
      <c r="M4" t="n">
        <v>-485.615143</v>
      </c>
      <c r="N4" t="n">
        <v>-720.436</v>
      </c>
      <c r="O4" t="n">
        <v>-720.436</v>
      </c>
      <c r="P4" t="n">
        <v>-2382.03</v>
      </c>
      <c r="Q4" t="n">
        <v>224</v>
      </c>
      <c r="R4" t="n">
        <v>5.352679</v>
      </c>
      <c r="S4" t="n">
        <v>0</v>
      </c>
      <c r="T4" t="n">
        <v>25.072464</v>
      </c>
      <c r="U4" t="n">
        <v>21.737307</v>
      </c>
      <c r="V4" t="n">
        <v>1420.029297</v>
      </c>
      <c r="W4" t="n">
        <v>0.5959</v>
      </c>
      <c r="X4" t="n">
        <v>17.981909</v>
      </c>
      <c r="Y4" t="n">
        <v>15.6</v>
      </c>
      <c r="Z4" t="n">
        <v>0.85</v>
      </c>
      <c r="AA4" t="n">
        <v>12.26</v>
      </c>
      <c r="AB4" t="n">
        <v>0.67</v>
      </c>
      <c r="AC4" t="n">
        <v>1.41</v>
      </c>
      <c r="AD4" t="n">
        <v>17.74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9885.110000000001</v>
      </c>
      <c r="F5" t="n">
        <v>14580.8</v>
      </c>
      <c r="G5" t="n">
        <v>10884</v>
      </c>
      <c r="H5" t="n">
        <v>18941</v>
      </c>
      <c r="I5" t="n">
        <v>1.759012</v>
      </c>
      <c r="J5" t="n">
        <v>5.11585</v>
      </c>
      <c r="K5" t="n">
        <v>5.11585</v>
      </c>
      <c r="L5" t="n">
        <v>15.2653</v>
      </c>
      <c r="M5" t="n">
        <v>-292.282196</v>
      </c>
      <c r="N5" t="n">
        <v>-697.915</v>
      </c>
      <c r="O5" t="n">
        <v>-697.915</v>
      </c>
      <c r="P5" t="n">
        <v>-2416.16</v>
      </c>
      <c r="Q5" t="n">
        <v>212</v>
      </c>
      <c r="R5" t="n">
        <v>3.334906</v>
      </c>
      <c r="S5" t="n">
        <v>0</v>
      </c>
      <c r="T5" t="n">
        <v>29.305555</v>
      </c>
      <c r="U5" t="n">
        <v>43.212238</v>
      </c>
      <c r="V5" t="n">
        <v>2631.459961</v>
      </c>
      <c r="W5" t="n">
        <v>1.257868</v>
      </c>
      <c r="X5" t="n">
        <v>20.563637</v>
      </c>
      <c r="Y5" t="n">
        <v>13.48</v>
      </c>
      <c r="Z5" t="n">
        <v>0.98</v>
      </c>
      <c r="AA5" t="n">
        <v>10.01</v>
      </c>
      <c r="AB5" t="n">
        <v>0.65</v>
      </c>
      <c r="AC5" t="n">
        <v>1.86</v>
      </c>
      <c r="AD5" t="n">
        <v>16.09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6831.65</v>
      </c>
      <c r="F6" t="n">
        <v>11267.8</v>
      </c>
      <c r="G6" t="n">
        <v>8439</v>
      </c>
      <c r="H6" t="n">
        <v>14925</v>
      </c>
      <c r="I6" t="n">
        <v>4.38217</v>
      </c>
      <c r="J6" t="n">
        <v>10.0722</v>
      </c>
      <c r="K6" t="n">
        <v>10.0722</v>
      </c>
      <c r="L6" t="n">
        <v>24.2503</v>
      </c>
      <c r="M6" t="n">
        <v>-706.5426639999999</v>
      </c>
      <c r="N6" t="n">
        <v>-1308.14</v>
      </c>
      <c r="O6" t="n">
        <v>-1308.14</v>
      </c>
      <c r="P6" t="n">
        <v>-4036.44</v>
      </c>
      <c r="Q6" t="n">
        <v>210</v>
      </c>
      <c r="R6" t="n">
        <v>1.095238</v>
      </c>
      <c r="S6" t="n">
        <v>0</v>
      </c>
      <c r="T6" t="n">
        <v>63.025211</v>
      </c>
      <c r="U6" t="n">
        <v>39.817631</v>
      </c>
      <c r="V6" t="n">
        <v>2424.203125</v>
      </c>
      <c r="W6" t="n">
        <v>1.228066</v>
      </c>
      <c r="X6" t="n">
        <v>20.970604</v>
      </c>
      <c r="Y6" t="n">
        <v>4.14</v>
      </c>
      <c r="Z6" t="n">
        <v>0.89</v>
      </c>
      <c r="AA6" t="n">
        <v>1.03</v>
      </c>
      <c r="AB6" t="n">
        <v>0.44</v>
      </c>
      <c r="AC6" t="n">
        <v>0.87</v>
      </c>
      <c r="AD6" t="n">
        <v>5.71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6946.09</v>
      </c>
      <c r="F7" t="n">
        <v>10072.9</v>
      </c>
      <c r="G7" t="n">
        <v>8491</v>
      </c>
      <c r="H7" t="n">
        <v>14132</v>
      </c>
      <c r="I7" t="n">
        <v>1.212434</v>
      </c>
      <c r="J7" t="n">
        <v>2.55905</v>
      </c>
      <c r="K7" t="n">
        <v>2.55905</v>
      </c>
      <c r="L7" t="n">
        <v>11.1347</v>
      </c>
      <c r="M7" t="n">
        <v>-426.449799</v>
      </c>
      <c r="N7" t="n">
        <v>-652.958</v>
      </c>
      <c r="O7" t="n">
        <v>-652.958</v>
      </c>
      <c r="P7" t="n">
        <v>-2395.08</v>
      </c>
      <c r="Q7" t="n">
        <v>183</v>
      </c>
      <c r="R7" t="n">
        <v>1</v>
      </c>
      <c r="S7" t="n">
        <v>0</v>
      </c>
      <c r="T7" t="n">
        <v>28.548124</v>
      </c>
      <c r="U7" t="n">
        <v>26.341948</v>
      </c>
      <c r="V7" t="n">
        <v>1271.485107</v>
      </c>
      <c r="W7" t="n">
        <v>0.631951</v>
      </c>
      <c r="X7" t="n">
        <v>13.999999</v>
      </c>
      <c r="Y7" t="n">
        <v>10.94</v>
      </c>
      <c r="Z7" t="n">
        <v>0.6</v>
      </c>
      <c r="AA7" t="n">
        <v>8</v>
      </c>
      <c r="AB7" t="n">
        <v>0.44</v>
      </c>
      <c r="AC7" t="n">
        <v>0.93</v>
      </c>
      <c r="AD7" t="n">
        <v>12.58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6629.8</v>
      </c>
      <c r="F8" t="n">
        <v>10783.3</v>
      </c>
      <c r="G8" t="n">
        <v>9132</v>
      </c>
      <c r="H8" t="n">
        <v>16557</v>
      </c>
      <c r="I8" t="n">
        <v>2.023157</v>
      </c>
      <c r="J8" t="n">
        <v>4.95526</v>
      </c>
      <c r="K8" t="n">
        <v>4.95526</v>
      </c>
      <c r="L8" t="n">
        <v>20.028</v>
      </c>
      <c r="M8" t="n">
        <v>-85.988174</v>
      </c>
      <c r="N8" t="n">
        <v>-204.6</v>
      </c>
      <c r="O8" t="n">
        <v>-204.6</v>
      </c>
      <c r="P8" t="n">
        <v>-822.681</v>
      </c>
      <c r="Q8" t="n">
        <v>144</v>
      </c>
      <c r="R8" t="n">
        <v>1</v>
      </c>
      <c r="S8" t="n">
        <v>0</v>
      </c>
      <c r="T8" t="n">
        <v>69.454544</v>
      </c>
      <c r="U8" t="n">
        <v>51.013214</v>
      </c>
      <c r="V8" t="n">
        <v>1875.574097</v>
      </c>
      <c r="W8" t="n">
        <v>1.652488</v>
      </c>
      <c r="X8" t="n">
        <v>18.000198</v>
      </c>
      <c r="Y8" t="n">
        <v>2.97</v>
      </c>
      <c r="Z8" t="n">
        <v>0.48</v>
      </c>
      <c r="AA8" t="n">
        <v>0.45</v>
      </c>
      <c r="AB8" t="n">
        <v>0.28</v>
      </c>
      <c r="AC8" t="n">
        <v>1.71</v>
      </c>
      <c r="AD8" t="n">
        <v>5.35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7708.67</v>
      </c>
      <c r="F9" t="n">
        <v>13155.9</v>
      </c>
      <c r="G9" t="n">
        <v>10653</v>
      </c>
      <c r="H9" t="n">
        <v>20792</v>
      </c>
      <c r="I9" t="n">
        <v>2.023157</v>
      </c>
      <c r="J9" t="n">
        <v>4.78112</v>
      </c>
      <c r="K9" t="n">
        <v>4.78112</v>
      </c>
      <c r="L9" t="n">
        <v>19.3921</v>
      </c>
      <c r="M9" t="n">
        <v>-24.097883</v>
      </c>
      <c r="N9" t="n">
        <v>-57.923</v>
      </c>
      <c r="O9" t="n">
        <v>-57.923</v>
      </c>
      <c r="P9" t="n">
        <v>-242.287</v>
      </c>
      <c r="Q9" t="n">
        <v>190</v>
      </c>
      <c r="R9" t="n">
        <v>1</v>
      </c>
      <c r="S9" t="n">
        <v>0</v>
      </c>
      <c r="T9" t="n">
        <v>83.098595</v>
      </c>
      <c r="U9" t="n">
        <v>52.210526</v>
      </c>
      <c r="V9" t="n">
        <v>3096.647705</v>
      </c>
      <c r="W9" t="n">
        <v>2.173086</v>
      </c>
      <c r="X9" t="n">
        <v>24.000198</v>
      </c>
      <c r="Y9" t="n">
        <v>3.51</v>
      </c>
      <c r="Z9" t="n">
        <v>0.66</v>
      </c>
      <c r="AA9" t="n">
        <v>0.5600000000000001</v>
      </c>
      <c r="AB9" t="n">
        <v>0.52</v>
      </c>
      <c r="AC9" t="n">
        <v>2.25</v>
      </c>
      <c r="AD9" t="n">
        <v>6.44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9104.43</v>
      </c>
      <c r="F10" t="n">
        <v>16446.5</v>
      </c>
      <c r="G10" t="n">
        <v>13079</v>
      </c>
      <c r="H10" t="n">
        <v>24706</v>
      </c>
      <c r="I10" t="n">
        <v>2.023157</v>
      </c>
      <c r="J10" t="n">
        <v>4.78112</v>
      </c>
      <c r="K10" t="n">
        <v>4.78112</v>
      </c>
      <c r="L10" t="n">
        <v>18.6613</v>
      </c>
      <c r="M10" t="n">
        <v>-50.999649</v>
      </c>
      <c r="N10" t="n">
        <v>-128.274</v>
      </c>
      <c r="O10" t="n">
        <v>-128.274</v>
      </c>
      <c r="P10" t="n">
        <v>-523.21</v>
      </c>
      <c r="Q10" t="n">
        <v>209</v>
      </c>
      <c r="R10" t="n">
        <v>7.244019</v>
      </c>
      <c r="S10" t="n">
        <v>0</v>
      </c>
      <c r="T10" t="n">
        <v>72.256096</v>
      </c>
      <c r="U10" t="n">
        <v>62.924423</v>
      </c>
      <c r="V10" t="n">
        <v>5369.29834</v>
      </c>
      <c r="W10" t="n">
        <v>2.94047</v>
      </c>
      <c r="X10" t="n">
        <v>21.910526</v>
      </c>
      <c r="Y10" t="n">
        <v>11.97</v>
      </c>
      <c r="Z10" t="n">
        <v>0.89</v>
      </c>
      <c r="AA10" t="n">
        <v>8.609999999999999</v>
      </c>
      <c r="AB10" t="n">
        <v>0.58</v>
      </c>
      <c r="AC10" t="n">
        <v>3.43</v>
      </c>
      <c r="AD10" t="n">
        <v>16.22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4670.8</v>
      </c>
      <c r="F11" t="n">
        <v>6627.33</v>
      </c>
      <c r="G11" t="n">
        <v>5386</v>
      </c>
      <c r="H11" t="n">
        <v>9344</v>
      </c>
      <c r="I11" t="n">
        <v>4.118025</v>
      </c>
      <c r="J11" t="n">
        <v>9.38922</v>
      </c>
      <c r="K11" t="n">
        <v>9.38922</v>
      </c>
      <c r="L11" t="n">
        <v>21.7064</v>
      </c>
      <c r="M11" t="n">
        <v>-763.17804</v>
      </c>
      <c r="N11" t="n">
        <v>-1330.44</v>
      </c>
      <c r="O11" t="n">
        <v>-1330.44</v>
      </c>
      <c r="P11" t="n">
        <v>-3581.59</v>
      </c>
      <c r="Q11" t="n">
        <v>133</v>
      </c>
      <c r="R11" t="n">
        <v>1</v>
      </c>
      <c r="S11" t="n">
        <v>0</v>
      </c>
      <c r="T11" t="n">
        <v>42.60355</v>
      </c>
      <c r="U11" t="n">
        <v>43.17757</v>
      </c>
      <c r="V11" t="n">
        <v>1762.279663</v>
      </c>
      <c r="W11" t="n">
        <v>1.097994</v>
      </c>
      <c r="X11" t="n">
        <v>11.0002</v>
      </c>
      <c r="Y11" t="n">
        <v>3.47</v>
      </c>
      <c r="Z11" t="n">
        <v>0.6</v>
      </c>
      <c r="AA11" t="n">
        <v>0.89</v>
      </c>
      <c r="AB11" t="n">
        <v>0.22</v>
      </c>
      <c r="AC11" t="n">
        <v>0.46</v>
      </c>
      <c r="AD11" t="n">
        <v>4.67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16681.8</v>
      </c>
      <c r="G2" t="n">
        <v>10098</v>
      </c>
      <c r="H2" t="n">
        <v>19068</v>
      </c>
      <c r="I2" t="n">
        <v>-1</v>
      </c>
      <c r="J2" t="n">
        <v>5.46413</v>
      </c>
      <c r="K2" t="n">
        <v>5.46413</v>
      </c>
      <c r="L2" t="n">
        <v>19.2374</v>
      </c>
      <c r="M2" t="n">
        <v>-1</v>
      </c>
      <c r="N2" t="n">
        <v>-33.9767</v>
      </c>
      <c r="O2" t="n">
        <v>-33.9767</v>
      </c>
      <c r="P2" t="n">
        <v>-133.11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2.4</v>
      </c>
      <c r="AD2" t="n">
        <v>11.94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16997.6</v>
      </c>
      <c r="G3" t="n">
        <v>11101</v>
      </c>
      <c r="H3" t="n">
        <v>21603</v>
      </c>
      <c r="I3" t="n">
        <v>-1</v>
      </c>
      <c r="J3" t="n">
        <v>4.78112</v>
      </c>
      <c r="K3" t="n">
        <v>4.78112</v>
      </c>
      <c r="L3" t="n">
        <v>21.9225</v>
      </c>
      <c r="M3" t="n">
        <v>-1</v>
      </c>
      <c r="N3" t="n">
        <v>-73.9806</v>
      </c>
      <c r="O3" t="n">
        <v>-73.9806</v>
      </c>
      <c r="P3" t="n">
        <v>-345.694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2.65</v>
      </c>
      <c r="AD3" t="n">
        <v>5.19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20926.7</v>
      </c>
      <c r="G4" t="n">
        <v>10154</v>
      </c>
      <c r="H4" t="n">
        <v>16391</v>
      </c>
      <c r="I4" t="n">
        <v>-1</v>
      </c>
      <c r="J4" t="n">
        <v>2.38491</v>
      </c>
      <c r="K4" t="n">
        <v>2.38491</v>
      </c>
      <c r="L4" t="n">
        <v>10.4184</v>
      </c>
      <c r="M4" t="n">
        <v>-1</v>
      </c>
      <c r="N4" t="n">
        <v>-715.747</v>
      </c>
      <c r="O4" t="n">
        <v>-715.747</v>
      </c>
      <c r="P4" t="n">
        <v>-2436.94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1.13</v>
      </c>
      <c r="AD4" t="n">
        <v>17.91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23254.5</v>
      </c>
      <c r="G5" t="n">
        <v>10817</v>
      </c>
      <c r="H5" t="n">
        <v>18992</v>
      </c>
      <c r="I5" t="n">
        <v>-1</v>
      </c>
      <c r="J5" t="n">
        <v>4.78112</v>
      </c>
      <c r="K5" t="n">
        <v>4.78112</v>
      </c>
      <c r="L5" t="n">
        <v>15.3473</v>
      </c>
      <c r="M5" t="n">
        <v>-1</v>
      </c>
      <c r="N5" t="n">
        <v>-704.048</v>
      </c>
      <c r="O5" t="n">
        <v>-704.048</v>
      </c>
      <c r="P5" t="n">
        <v>-2616.03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1.78</v>
      </c>
      <c r="AD5" t="n">
        <v>13.3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18867.2</v>
      </c>
      <c r="G6" t="n">
        <v>9194</v>
      </c>
      <c r="H6" t="n">
        <v>15912</v>
      </c>
      <c r="I6" t="n">
        <v>-1</v>
      </c>
      <c r="J6" t="n">
        <v>10.0722</v>
      </c>
      <c r="K6" t="n">
        <v>10.0722</v>
      </c>
      <c r="L6" t="n">
        <v>22.1529</v>
      </c>
      <c r="M6" t="n">
        <v>-1</v>
      </c>
      <c r="N6" t="n">
        <v>-1307.77</v>
      </c>
      <c r="O6" t="n">
        <v>-1307.77</v>
      </c>
      <c r="P6" t="n">
        <v>-4236.24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1.16</v>
      </c>
      <c r="AD6" t="n">
        <v>5.36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18136.4</v>
      </c>
      <c r="G7" t="n">
        <v>8288</v>
      </c>
      <c r="H7" t="n">
        <v>13772</v>
      </c>
      <c r="I7" t="n">
        <v>-1</v>
      </c>
      <c r="J7" t="n">
        <v>2.55905</v>
      </c>
      <c r="K7" t="n">
        <v>2.55905</v>
      </c>
      <c r="L7" t="n">
        <v>12.1377</v>
      </c>
      <c r="M7" t="n">
        <v>-1</v>
      </c>
      <c r="N7" t="n">
        <v>-637.808</v>
      </c>
      <c r="O7" t="n">
        <v>-637.808</v>
      </c>
      <c r="P7" t="n">
        <v>-2491.4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0.79</v>
      </c>
      <c r="AD7" t="n">
        <v>9.369999999999999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15638.6</v>
      </c>
      <c r="G8" t="n">
        <v>9634</v>
      </c>
      <c r="H8" t="n">
        <v>17334</v>
      </c>
      <c r="I8" t="n">
        <v>-1</v>
      </c>
      <c r="J8" t="n">
        <v>4.95526</v>
      </c>
      <c r="K8" t="n">
        <v>4.95526</v>
      </c>
      <c r="L8" t="n">
        <v>19.7854</v>
      </c>
      <c r="M8" t="n">
        <v>-1</v>
      </c>
      <c r="N8" t="n">
        <v>-203.903</v>
      </c>
      <c r="O8" t="n">
        <v>-203.903</v>
      </c>
      <c r="P8" t="n">
        <v>-827.558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1.92</v>
      </c>
      <c r="AD8" t="n">
        <v>4.26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17282.1</v>
      </c>
      <c r="G9" t="n">
        <v>11336</v>
      </c>
      <c r="H9" t="n">
        <v>22409</v>
      </c>
      <c r="I9" t="n">
        <v>-1</v>
      </c>
      <c r="J9" t="n">
        <v>4.95526</v>
      </c>
      <c r="K9" t="n">
        <v>4.95526</v>
      </c>
      <c r="L9" t="n">
        <v>19.0343</v>
      </c>
      <c r="M9" t="n">
        <v>-1</v>
      </c>
      <c r="N9" t="n">
        <v>-58.4454</v>
      </c>
      <c r="O9" t="n">
        <v>-58.4454</v>
      </c>
      <c r="P9" t="n">
        <v>-239.404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2.93</v>
      </c>
      <c r="AD9" t="n">
        <v>5.56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21525.5</v>
      </c>
      <c r="G10" t="n">
        <v>14073</v>
      </c>
      <c r="H10" t="n">
        <v>26307</v>
      </c>
      <c r="I10" t="n">
        <v>-1</v>
      </c>
      <c r="J10" t="n">
        <v>4.78112</v>
      </c>
      <c r="K10" t="n">
        <v>4.78112</v>
      </c>
      <c r="L10" t="n">
        <v>21.5499</v>
      </c>
      <c r="M10" t="n">
        <v>-1</v>
      </c>
      <c r="N10" t="n">
        <v>-128.783</v>
      </c>
      <c r="O10" t="n">
        <v>-128.783</v>
      </c>
      <c r="P10" t="n">
        <v>-585.3869999999999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4.03</v>
      </c>
      <c r="AD10" t="n">
        <v>13.67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12144.9</v>
      </c>
      <c r="G11" t="n">
        <v>5628</v>
      </c>
      <c r="H11" t="n">
        <v>9616</v>
      </c>
      <c r="I11" t="n">
        <v>-1</v>
      </c>
      <c r="J11" t="n">
        <v>9.38922</v>
      </c>
      <c r="K11" t="n">
        <v>9.38922</v>
      </c>
      <c r="L11" t="n">
        <v>21.6668</v>
      </c>
      <c r="M11" t="n">
        <v>-1</v>
      </c>
      <c r="N11" t="n">
        <v>-1334.65</v>
      </c>
      <c r="O11" t="n">
        <v>-1334.65</v>
      </c>
      <c r="P11" t="n">
        <v>-3827.67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0.47</v>
      </c>
      <c r="AD11" t="n">
        <v>3.23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2025-12-25T14:59:14Z</dcterms:created>
  <dcterms:modified xmlns:dcterms="http://purl.org/dc/terms/" xmlns:xsi="http://www.w3.org/2001/XMLSchema-instance" xsi:type="dcterms:W3CDTF">2025-12-25T14:59:14Z</dcterms:modified>
</cp:coreProperties>
</file>