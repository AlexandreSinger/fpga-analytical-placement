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data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baseline.txt" sheetId="4" state="visible" r:id="rId4"/>
    <sheet xmlns:r="http://schemas.openxmlformats.org/officeDocument/2006/relationships" name="inter_pl_update.t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>
        <f>IF(OR(ISBLANK(summary_data!A1),ISERROR(summary_data!A1)),"",summary_data!A1)</f>
        <v/>
      </c>
      <c r="B1">
        <f>IF(OR(ISBLANK(summary_data!A2),ISERROR(summary_data!A2)),"",summary_data!A2)</f>
        <v/>
      </c>
      <c r="C1">
        <f>IF(OR(ISBLANK(summary_data!A3),ISERROR(summary_data!A3)),"",summary_data!A3)</f>
        <v/>
      </c>
    </row>
    <row r="2">
      <c r="A2">
        <f>IF(OR(ISBLANK(summary_data!B1),ISERROR(summary_data!B1)),"",summary_data!B1)</f>
        <v/>
      </c>
      <c r="B2">
        <f>IF(OR(ISBLANK(summary_data!B2),ISERROR(summary_data!B2)),"",summary_data!B2)</f>
        <v/>
      </c>
      <c r="C2">
        <f>IF(OR(ISBLANK(summary_data!B3),ISERROR(summary_data!B3)),"",summary_data!B3)</f>
        <v/>
      </c>
    </row>
    <row r="3">
      <c r="A3">
        <f>IF(OR(ISBLANK(summary_data!C1),ISERROR(summary_data!C1)),"",summary_data!C1)</f>
        <v/>
      </c>
      <c r="B3">
        <f>IF(OR(ISBLANK(summary_data!C2),ISERROR(summary_data!C2)),"",summary_data!C2)</f>
        <v/>
      </c>
      <c r="C3">
        <f>IF(OR(ISBLANK(summary_data!C3),ISERROR(summary_data!C3)),"",summary_data!C3)</f>
        <v/>
      </c>
    </row>
    <row r="4">
      <c r="A4">
        <f>IF(OR(ISBLANK(summary_data!D1),ISERROR(summary_data!D1)),"",summary_data!D1)</f>
        <v/>
      </c>
      <c r="B4">
        <f>IF(OR(ISBLANK(summary_data!D2),ISERROR(summary_data!D2)),"",summary_data!D2)</f>
        <v/>
      </c>
      <c r="C4">
        <f>IF(OR(ISBLANK(summary_data!D3),ISERROR(summary_data!D3)),"",summary_data!D3)</f>
        <v/>
      </c>
    </row>
    <row r="5">
      <c r="A5">
        <f>IF(OR(ISBLANK(summary_data!E1),ISERROR(summary_data!E1)),"",summary_data!E1)</f>
        <v/>
      </c>
      <c r="B5">
        <f>IF(OR(ISBLANK(summary_data!E2),ISERROR(summary_data!E2)),"",summary_data!E2)</f>
        <v/>
      </c>
      <c r="C5">
        <f>IF(OR(ISBLANK(summary_data!E3),ISERROR(summary_data!E3)),"",summary_data!E3)</f>
        <v/>
      </c>
    </row>
    <row r="6">
      <c r="A6">
        <f>IF(OR(ISBLANK(summary_data!F1),ISERROR(summary_data!F1)),"",summary_data!F1)</f>
        <v/>
      </c>
      <c r="B6">
        <f>IF(OR(ISBLANK(summary_data!F2),ISERROR(summary_data!F2)),"",summary_data!F2)</f>
        <v/>
      </c>
      <c r="C6">
        <f>IF(OR(ISBLANK(summary_data!F3),ISERROR(summary_data!F3)),"",summary_data!F3)</f>
        <v/>
      </c>
    </row>
    <row r="7">
      <c r="A7">
        <f>IF(OR(ISBLANK(summary_data!G1),ISERROR(summary_data!G1)),"",summary_data!G1)</f>
        <v/>
      </c>
      <c r="B7">
        <f>IF(OR(ISBLANK(summary_data!G2),ISERROR(summary_data!G2)),"",summary_data!G2)</f>
        <v/>
      </c>
      <c r="C7">
        <f>IF(OR(ISBLANK(summary_data!G3),ISERROR(summary_data!G3)),"",summary_data!G3)</f>
        <v/>
      </c>
    </row>
    <row r="8">
      <c r="A8">
        <f>IF(OR(ISBLANK(summary_data!H1),ISERROR(summary_data!H1)),"",summary_data!H1)</f>
        <v/>
      </c>
      <c r="B8">
        <f>IF(OR(ISBLANK(summary_data!H2),ISERROR(summary_data!H2)),"",summary_data!H2)</f>
        <v/>
      </c>
      <c r="C8">
        <f>IF(OR(ISBLANK(summary_data!H3),ISERROR(summary_data!H3)),"",summary_data!H3)</f>
        <v/>
      </c>
    </row>
    <row r="9">
      <c r="A9">
        <f>IF(OR(ISBLANK(summary_data!I1),ISERROR(summary_data!I1)),"",summary_data!I1)</f>
        <v/>
      </c>
      <c r="B9">
        <f>IF(OR(ISBLANK(summary_data!I2),ISERROR(summary_data!I2)),"",summary_data!I2)</f>
        <v/>
      </c>
      <c r="C9">
        <f>IF(OR(ISBLANK(summary_data!I3),ISERROR(summary_data!I3)),"",summary_data!I3)</f>
        <v/>
      </c>
    </row>
    <row r="10">
      <c r="A10">
        <f>IF(OR(ISBLANK(summary_data!J1),ISERROR(summary_data!J1)),"",summary_data!J1)</f>
        <v/>
      </c>
      <c r="B10">
        <f>IF(OR(ISBLANK(summary_data!J2),ISERROR(summary_data!J2)),"",summary_data!J2)</f>
        <v/>
      </c>
      <c r="C10">
        <f>IF(OR(ISBLANK(summary_data!J3),ISERROR(summary_data!J3)),"",summary_data!J3)</f>
        <v/>
      </c>
    </row>
    <row r="11">
      <c r="A11">
        <f>IF(OR(ISBLANK(summary_data!K1),ISERROR(summary_data!K1)),"",summary_data!K1)</f>
        <v/>
      </c>
      <c r="B11">
        <f>IF(OR(ISBLANK(summary_data!K2),ISERROR(summary_data!K2)),"",summary_data!K2)</f>
        <v/>
      </c>
      <c r="C11">
        <f>IF(OR(ISBLANK(summary_data!K3),ISERROR(summary_data!K3)),"",summary_data!K3)</f>
        <v/>
      </c>
    </row>
    <row r="12">
      <c r="A12">
        <f>IF(OR(ISBLANK(summary_data!L1),ISERROR(summary_data!L1)),"",summary_data!L1)</f>
        <v/>
      </c>
      <c r="B12">
        <f>IF(OR(ISBLANK(summary_data!L2),ISERROR(summary_data!L2)),"",summary_data!L2)</f>
        <v/>
      </c>
      <c r="C12">
        <f>IF(OR(ISBLANK(summary_data!L3),ISERROR(summary_data!L3)),"",summary_data!L3)</f>
        <v/>
      </c>
    </row>
    <row r="13">
      <c r="A13">
        <f>IF(OR(ISBLANK(summary_data!M1),ISERROR(summary_data!M1)),"",summary_data!M1)</f>
        <v/>
      </c>
      <c r="B13">
        <f>IF(OR(ISBLANK(summary_data!M2),ISERROR(summary_data!M2)),"",summary_data!M2)</f>
        <v/>
      </c>
      <c r="C13">
        <f>IF(OR(ISBLANK(summary_data!M3),ISERROR(summary_data!M3)),"",summary_data!M3)</f>
        <v/>
      </c>
    </row>
    <row r="14">
      <c r="A14">
        <f>IF(OR(ISBLANK(summary_data!N1),ISERROR(summary_data!N1)),"",summary_data!N1)</f>
        <v/>
      </c>
      <c r="B14">
        <f>IF(OR(ISBLANK(summary_data!N2),ISERROR(summary_data!N2)),"",summary_data!N2)</f>
        <v/>
      </c>
      <c r="C14">
        <f>IF(OR(ISBLANK(summary_data!N3),ISERROR(summary_data!N3)),"",summary_data!N3)</f>
        <v/>
      </c>
    </row>
    <row r="15">
      <c r="A15">
        <f>IF(OR(ISBLANK(summary_data!O1),ISERROR(summary_data!O1)),"",summary_data!O1)</f>
        <v/>
      </c>
      <c r="B15">
        <f>IF(OR(ISBLANK(summary_data!O2),ISERROR(summary_data!O2)),"",summary_data!O2)</f>
        <v/>
      </c>
      <c r="C15">
        <f>IF(OR(ISBLANK(summary_data!O3),ISERROR(summary_data!O3)),"",summary_data!O3)</f>
        <v/>
      </c>
    </row>
    <row r="16">
      <c r="A16">
        <f>IF(OR(ISBLANK(summary_data!P1),ISERROR(summary_data!P1)),"",summary_data!P1)</f>
        <v/>
      </c>
      <c r="B16">
        <f>IF(OR(ISBLANK(summary_data!P2),ISERROR(summary_data!P2)),"",summary_data!P2)</f>
        <v/>
      </c>
      <c r="C16">
        <f>IF(OR(ISBLANK(summary_data!P3),ISERROR(summary_data!P3)),"",summary_data!P3)</f>
        <v/>
      </c>
    </row>
    <row r="17">
      <c r="A17">
        <f>IF(OR(ISBLANK(summary_data!Q1),ISERROR(summary_data!Q1)),"",summary_data!Q1)</f>
        <v/>
      </c>
      <c r="B17">
        <f>IF(OR(ISBLANK(summary_data!Q2),ISERROR(summary_data!Q2)),"",summary_data!Q2)</f>
        <v/>
      </c>
      <c r="C17">
        <f>IF(OR(ISBLANK(summary_data!Q3),ISERROR(summary_data!Q3)),"",summary_data!Q3)</f>
        <v/>
      </c>
    </row>
    <row r="18">
      <c r="A18">
        <f>IF(OR(ISBLANK(summary_data!R1),ISERROR(summary_data!R1)),"",summary_data!R1)</f>
        <v/>
      </c>
      <c r="B18">
        <f>IF(OR(ISBLANK(summary_data!R2),ISERROR(summary_data!R2)),"",summary_data!R2)</f>
        <v/>
      </c>
      <c r="C18">
        <f>IF(OR(ISBLANK(summary_data!R3),ISERROR(summary_data!R3)),"",summary_data!R3)</f>
        <v/>
      </c>
    </row>
    <row r="19">
      <c r="A19">
        <f>IF(OR(ISBLANK(summary_data!S1),ISERROR(summary_data!S1)),"",summary_data!S1)</f>
        <v/>
      </c>
      <c r="B19">
        <f>IF(OR(ISBLANK(summary_data!S2),ISERROR(summary_data!S2)),"",summary_data!S2)</f>
        <v/>
      </c>
      <c r="C19">
        <f>IF(OR(ISBLANK(summary_data!S3),ISERROR(summary_data!S3)),"",summary_data!S3)</f>
        <v/>
      </c>
    </row>
    <row r="20">
      <c r="A20">
        <f>IF(OR(ISBLANK(summary_data!T1),ISERROR(summary_data!T1)),"",summary_data!T1)</f>
        <v/>
      </c>
      <c r="B20">
        <f>IF(OR(ISBLANK(summary_data!T2),ISERROR(summary_data!T2)),"",summary_data!T2)</f>
        <v/>
      </c>
      <c r="C20">
        <f>IF(OR(ISBLANK(summary_data!T3),ISERROR(summary_data!T3)),"",summary_data!T3)</f>
        <v/>
      </c>
    </row>
    <row r="21">
      <c r="A21">
        <f>IF(OR(ISBLANK(summary_data!U1),ISERROR(summary_data!U1)),"",summary_data!U1)</f>
        <v/>
      </c>
      <c r="B21">
        <f>IF(OR(ISBLANK(summary_data!U2),ISERROR(summary_data!U2)),"",summary_data!U2)</f>
        <v/>
      </c>
      <c r="C21">
        <f>IF(OR(ISBLANK(summary_data!U3),ISERROR(summary_data!U3)),"",summary_data!U3)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>
        <f>ratios!C2</f>
        <v/>
      </c>
      <c r="C1">
        <f>ratios!D2</f>
        <v/>
      </c>
      <c r="D1">
        <f>ratios!E2</f>
        <v/>
      </c>
      <c r="E1">
        <f>ratios!F2</f>
        <v/>
      </c>
      <c r="F1">
        <f>ratios!G2</f>
        <v/>
      </c>
      <c r="G1">
        <f>ratios!H2</f>
        <v/>
      </c>
      <c r="H1">
        <f>ratios!I2</f>
        <v/>
      </c>
      <c r="I1">
        <f>ratios!J2</f>
        <v/>
      </c>
      <c r="J1">
        <f>ratios!K2</f>
        <v/>
      </c>
      <c r="K1">
        <f>ratios!L2</f>
        <v/>
      </c>
      <c r="L1">
        <f>ratios!M2</f>
        <v/>
      </c>
      <c r="M1">
        <f>ratios!N2</f>
        <v/>
      </c>
      <c r="N1">
        <f>ratios!O2</f>
        <v/>
      </c>
      <c r="O1">
        <f>ratios!P2</f>
        <v/>
      </c>
      <c r="P1">
        <f>ratios!Q2</f>
        <v/>
      </c>
      <c r="Q1">
        <f>ratios!R2</f>
        <v/>
      </c>
      <c r="R1">
        <f>ratios!S2</f>
        <v/>
      </c>
      <c r="S1">
        <f>ratios!T2</f>
        <v/>
      </c>
      <c r="T1">
        <f>ratios!U2</f>
        <v/>
      </c>
      <c r="U1">
        <f>ratios!V2</f>
        <v/>
      </c>
    </row>
    <row r="2">
      <c r="A2" t="inlineStr">
        <is>
          <t>baseline.txt</t>
        </is>
      </c>
      <c r="B2">
        <f>ratios!C22</f>
        <v/>
      </c>
      <c r="C2">
        <f>ratios!D22</f>
        <v/>
      </c>
      <c r="D2">
        <f>ratios!E22</f>
        <v/>
      </c>
      <c r="E2">
        <f>ratios!F22</f>
        <v/>
      </c>
      <c r="F2">
        <f>ratios!G22</f>
        <v/>
      </c>
      <c r="G2">
        <f>ratios!H22</f>
        <v/>
      </c>
      <c r="H2">
        <f>ratios!I22</f>
        <v/>
      </c>
      <c r="I2">
        <f>ratios!J22</f>
        <v/>
      </c>
      <c r="J2">
        <f>ratios!K22</f>
        <v/>
      </c>
      <c r="K2">
        <f>ratios!L22</f>
        <v/>
      </c>
      <c r="L2">
        <f>ratios!M22</f>
        <v/>
      </c>
      <c r="M2">
        <f>ratios!N22</f>
        <v/>
      </c>
      <c r="N2">
        <f>ratios!O22</f>
        <v/>
      </c>
      <c r="O2">
        <f>ratios!P22</f>
        <v/>
      </c>
      <c r="P2">
        <f>ratios!Q22</f>
        <v/>
      </c>
      <c r="Q2">
        <f>ratios!R22</f>
        <v/>
      </c>
      <c r="R2">
        <f>ratios!S22</f>
        <v/>
      </c>
      <c r="S2">
        <f>ratios!T22</f>
        <v/>
      </c>
      <c r="T2">
        <f>ratios!U22</f>
        <v/>
      </c>
      <c r="U2">
        <f>ratios!V22</f>
        <v/>
      </c>
    </row>
    <row r="3">
      <c r="A3" t="inlineStr">
        <is>
          <t>inter_pl_update.txt</t>
        </is>
      </c>
      <c r="B3">
        <f>ratios!C45</f>
        <v/>
      </c>
      <c r="C3">
        <f>ratios!D45</f>
        <v/>
      </c>
      <c r="D3">
        <f>ratios!E45</f>
        <v/>
      </c>
      <c r="E3">
        <f>ratios!F45</f>
        <v/>
      </c>
      <c r="F3">
        <f>ratios!G45</f>
        <v/>
      </c>
      <c r="G3">
        <f>ratios!H45</f>
        <v/>
      </c>
      <c r="H3">
        <f>ratios!I45</f>
        <v/>
      </c>
      <c r="I3">
        <f>ratios!J45</f>
        <v/>
      </c>
      <c r="J3">
        <f>ratios!K45</f>
        <v/>
      </c>
      <c r="K3">
        <f>ratios!L45</f>
        <v/>
      </c>
      <c r="L3">
        <f>ratios!M45</f>
        <v/>
      </c>
      <c r="M3">
        <f>ratios!N45</f>
        <v/>
      </c>
      <c r="N3">
        <f>ratios!O45</f>
        <v/>
      </c>
      <c r="O3">
        <f>ratios!P45</f>
        <v/>
      </c>
      <c r="P3">
        <f>ratios!Q45</f>
        <v/>
      </c>
      <c r="Q3">
        <f>ratios!R45</f>
        <v/>
      </c>
      <c r="R3">
        <f>ratios!S45</f>
        <v/>
      </c>
      <c r="S3">
        <f>ratios!T45</f>
        <v/>
      </c>
      <c r="T3">
        <f>ratios!U45</f>
        <v/>
      </c>
      <c r="U3">
        <f>ratios!V45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baseline.txt</t>
        </is>
      </c>
    </row>
    <row r="2">
      <c r="A2">
        <f>baseline.txt!A1</f>
        <v/>
      </c>
      <c r="B2">
        <f>baseline.txt!B1</f>
        <v/>
      </c>
      <c r="C2">
        <f>baseline.txt!D1</f>
        <v/>
      </c>
      <c r="D2">
        <f>baseline.txt!H1</f>
        <v/>
      </c>
      <c r="E2">
        <f>baseline.txt!J1</f>
        <v/>
      </c>
      <c r="F2">
        <f>baseline.txt!L1</f>
        <v/>
      </c>
      <c r="G2">
        <f>baseline.txt!M1</f>
        <v/>
      </c>
      <c r="H2">
        <f>baseline.txt!S1</f>
        <v/>
      </c>
      <c r="I2">
        <f>baseline.txt!U1</f>
        <v/>
      </c>
      <c r="J2">
        <f>baseline.txt!V1</f>
        <v/>
      </c>
      <c r="K2">
        <f>baseline.txt!AD1</f>
        <v/>
      </c>
      <c r="L2">
        <f>baseline.txt!AH1</f>
        <v/>
      </c>
      <c r="M2">
        <f>baseline.txt!AK1</f>
        <v/>
      </c>
      <c r="N2">
        <f>baseline.txt!AN1</f>
        <v/>
      </c>
      <c r="O2">
        <f>baseline.txt!AR1</f>
        <v/>
      </c>
      <c r="P2">
        <f>baseline.txt!AT1</f>
        <v/>
      </c>
      <c r="Q2">
        <f>baseline.txt!AZ1</f>
        <v/>
      </c>
      <c r="R2">
        <f>baseline.txt!BC1</f>
        <v/>
      </c>
      <c r="S2">
        <f>baseline.txt!BP1</f>
        <v/>
      </c>
      <c r="T2">
        <f>baseline.txt!CF1</f>
        <v/>
      </c>
      <c r="U2">
        <f>baseline.txt!CG1</f>
        <v/>
      </c>
      <c r="V2">
        <f>baseline.txt!CP1</f>
        <v/>
      </c>
    </row>
    <row r="3">
      <c r="A3">
        <f>baseline.txt!A2</f>
        <v/>
      </c>
      <c r="B3">
        <f>baseline.txt!B2</f>
        <v/>
      </c>
      <c r="C3">
        <f>IF(OR(baseline.txt!D2 = 0,baseline.txt!D2=-1),"",baseline.txt!D2 / baseline.txt!D2)</f>
        <v/>
      </c>
      <c r="D3">
        <f>IF(OR(baseline.txt!H2 = 0,baseline.txt!H2=-1),"",baseline.txt!H2 / baseline.txt!H2)</f>
        <v/>
      </c>
      <c r="E3">
        <f>IF(OR(baseline.txt!J2 = 0,baseline.txt!J2=-1),"",baseline.txt!J2 / baseline.txt!J2)</f>
        <v/>
      </c>
      <c r="F3">
        <f>IF(OR(baseline.txt!L2 = 0,baseline.txt!L2=-1),"",baseline.txt!L2 / baseline.txt!L2)</f>
        <v/>
      </c>
      <c r="G3">
        <f>IF(OR(baseline.txt!M2 = 0,baseline.txt!M2=-1),"",baseline.txt!M2 / baseline.txt!M2)</f>
        <v/>
      </c>
      <c r="H3">
        <f>IF(OR(baseline.txt!S2 = 0,baseline.txt!S2=-1),"",baseline.txt!S2 / baseline.txt!S2)</f>
        <v/>
      </c>
      <c r="I3">
        <f>IF(OR(baseline.txt!U2 = 0,baseline.txt!U2=-1),"",baseline.txt!U2 / baseline.txt!U2)</f>
        <v/>
      </c>
      <c r="J3">
        <f>IF(OR(baseline.txt!V2 = 0,baseline.txt!V2=-1),"",baseline.txt!V2 / baseline.txt!V2)</f>
        <v/>
      </c>
      <c r="K3">
        <f>IF(OR(baseline.txt!AD2 = 0,baseline.txt!AD2=-1),"",baseline.txt!AD2 / baseline.txt!AD2)</f>
        <v/>
      </c>
      <c r="L3">
        <f>IF(OR(baseline.txt!AH2 = 0,baseline.txt!AH2=-1),"",baseline.txt!AH2 / baseline.txt!AH2)</f>
        <v/>
      </c>
      <c r="M3">
        <f>IF(OR(baseline.txt!AK2 = 0,baseline.txt!AK2=-1),"",baseline.txt!AK2 / baseline.txt!AK2)</f>
        <v/>
      </c>
      <c r="N3">
        <f>IF(OR(baseline.txt!AN2 = 0,baseline.txt!AN2=-1),"",baseline.txt!AN2 / baseline.txt!AN2)</f>
        <v/>
      </c>
      <c r="O3">
        <f>IF(OR(baseline.txt!AR2 = 0,baseline.txt!AR2=-1),"",baseline.txt!AR2 / baseline.txt!AR2)</f>
        <v/>
      </c>
      <c r="P3">
        <f>IF(OR(baseline.txt!AT2 = 0,baseline.txt!AT2=-1),"",baseline.txt!AT2 / baseline.txt!AT2)</f>
        <v/>
      </c>
      <c r="Q3">
        <f>IF(OR(baseline.txt!AZ2 = 0,baseline.txt!AZ2=-1),"",baseline.txt!AZ2 / baseline.txt!AZ2)</f>
        <v/>
      </c>
      <c r="R3">
        <f>IF(OR(baseline.txt!BC2 = 0,baseline.txt!BC2=-1),"",baseline.txt!BC2 / baseline.txt!BC2)</f>
        <v/>
      </c>
      <c r="S3">
        <f>IF(OR(baseline.txt!BP2 = 0,baseline.txt!BP2=-1),"",baseline.txt!BP2 / baseline.txt!BP2)</f>
        <v/>
      </c>
      <c r="T3">
        <f>IF(OR(baseline.txt!CF2 = 0,baseline.txt!CF2=-1),"",baseline.txt!CF2 / baseline.txt!CF2)</f>
        <v/>
      </c>
      <c r="U3">
        <f>IF(OR(baseline.txt!CG2 = 0,baseline.txt!CG2=-1),"",baseline.txt!CG2 / baseline.txt!CG2)</f>
        <v/>
      </c>
      <c r="V3">
        <f>IF(OR(baseline.txt!CP2 = 0,baseline.txt!CP2=-1),"",baseline.txt!CP2 / baseline.txt!CP2)</f>
        <v/>
      </c>
    </row>
    <row r="4">
      <c r="A4">
        <f>baseline.txt!A3</f>
        <v/>
      </c>
      <c r="B4">
        <f>baseline.txt!B3</f>
        <v/>
      </c>
      <c r="C4">
        <f>IF(OR(baseline.txt!D3 = 0,baseline.txt!D3=-1),"",baseline.txt!D3 / baseline.txt!D3)</f>
        <v/>
      </c>
      <c r="D4">
        <f>IF(OR(baseline.txt!H3 = 0,baseline.txt!H3=-1),"",baseline.txt!H3 / baseline.txt!H3)</f>
        <v/>
      </c>
      <c r="E4">
        <f>IF(OR(baseline.txt!J3 = 0,baseline.txt!J3=-1),"",baseline.txt!J3 / baseline.txt!J3)</f>
        <v/>
      </c>
      <c r="F4">
        <f>IF(OR(baseline.txt!L3 = 0,baseline.txt!L3=-1),"",baseline.txt!L3 / baseline.txt!L3)</f>
        <v/>
      </c>
      <c r="G4">
        <f>IF(OR(baseline.txt!M3 = 0,baseline.txt!M3=-1),"",baseline.txt!M3 / baseline.txt!M3)</f>
        <v/>
      </c>
      <c r="H4">
        <f>IF(OR(baseline.txt!S3 = 0,baseline.txt!S3=-1),"",baseline.txt!S3 / baseline.txt!S3)</f>
        <v/>
      </c>
      <c r="I4">
        <f>IF(OR(baseline.txt!U3 = 0,baseline.txt!U3=-1),"",baseline.txt!U3 / baseline.txt!U3)</f>
        <v/>
      </c>
      <c r="J4">
        <f>IF(OR(baseline.txt!V3 = 0,baseline.txt!V3=-1),"",baseline.txt!V3 / baseline.txt!V3)</f>
        <v/>
      </c>
      <c r="K4">
        <f>IF(OR(baseline.txt!AD3 = 0,baseline.txt!AD3=-1),"",baseline.txt!AD3 / baseline.txt!AD3)</f>
        <v/>
      </c>
      <c r="L4">
        <f>IF(OR(baseline.txt!AH3 = 0,baseline.txt!AH3=-1),"",baseline.txt!AH3 / baseline.txt!AH3)</f>
        <v/>
      </c>
      <c r="M4">
        <f>IF(OR(baseline.txt!AK3 = 0,baseline.txt!AK3=-1),"",baseline.txt!AK3 / baseline.txt!AK3)</f>
        <v/>
      </c>
      <c r="N4">
        <f>IF(OR(baseline.txt!AN3 = 0,baseline.txt!AN3=-1),"",baseline.txt!AN3 / baseline.txt!AN3)</f>
        <v/>
      </c>
      <c r="O4">
        <f>IF(OR(baseline.txt!AR3 = 0,baseline.txt!AR3=-1),"",baseline.txt!AR3 / baseline.txt!AR3)</f>
        <v/>
      </c>
      <c r="P4">
        <f>IF(OR(baseline.txt!AT3 = 0,baseline.txt!AT3=-1),"",baseline.txt!AT3 / baseline.txt!AT3)</f>
        <v/>
      </c>
      <c r="Q4">
        <f>IF(OR(baseline.txt!AZ3 = 0,baseline.txt!AZ3=-1),"",baseline.txt!AZ3 / baseline.txt!AZ3)</f>
        <v/>
      </c>
      <c r="R4">
        <f>IF(OR(baseline.txt!BC3 = 0,baseline.txt!BC3=-1),"",baseline.txt!BC3 / baseline.txt!BC3)</f>
        <v/>
      </c>
      <c r="S4">
        <f>IF(OR(baseline.txt!BP3 = 0,baseline.txt!BP3=-1),"",baseline.txt!BP3 / baseline.txt!BP3)</f>
        <v/>
      </c>
      <c r="T4">
        <f>IF(OR(baseline.txt!CF3 = 0,baseline.txt!CF3=-1),"",baseline.txt!CF3 / baseline.txt!CF3)</f>
        <v/>
      </c>
      <c r="U4">
        <f>IF(OR(baseline.txt!CG3 = 0,baseline.txt!CG3=-1),"",baseline.txt!CG3 / baseline.txt!CG3)</f>
        <v/>
      </c>
      <c r="V4">
        <f>IF(OR(baseline.txt!CP3 = 0,baseline.txt!CP3=-1),"",baseline.txt!CP3 / baseline.txt!CP3)</f>
        <v/>
      </c>
    </row>
    <row r="5">
      <c r="A5">
        <f>baseline.txt!A4</f>
        <v/>
      </c>
      <c r="B5">
        <f>baseline.txt!B4</f>
        <v/>
      </c>
      <c r="C5">
        <f>IF(OR(baseline.txt!D4 = 0,baseline.txt!D4=-1),"",baseline.txt!D4 / baseline.txt!D4)</f>
        <v/>
      </c>
      <c r="D5">
        <f>IF(OR(baseline.txt!H4 = 0,baseline.txt!H4=-1),"",baseline.txt!H4 / baseline.txt!H4)</f>
        <v/>
      </c>
      <c r="E5">
        <f>IF(OR(baseline.txt!J4 = 0,baseline.txt!J4=-1),"",baseline.txt!J4 / baseline.txt!J4)</f>
        <v/>
      </c>
      <c r="F5">
        <f>IF(OR(baseline.txt!L4 = 0,baseline.txt!L4=-1),"",baseline.txt!L4 / baseline.txt!L4)</f>
        <v/>
      </c>
      <c r="G5">
        <f>IF(OR(baseline.txt!M4 = 0,baseline.txt!M4=-1),"",baseline.txt!M4 / baseline.txt!M4)</f>
        <v/>
      </c>
      <c r="H5">
        <f>IF(OR(baseline.txt!S4 = 0,baseline.txt!S4=-1),"",baseline.txt!S4 / baseline.txt!S4)</f>
        <v/>
      </c>
      <c r="I5">
        <f>IF(OR(baseline.txt!U4 = 0,baseline.txt!U4=-1),"",baseline.txt!U4 / baseline.txt!U4)</f>
        <v/>
      </c>
      <c r="J5">
        <f>IF(OR(baseline.txt!V4 = 0,baseline.txt!V4=-1),"",baseline.txt!V4 / baseline.txt!V4)</f>
        <v/>
      </c>
      <c r="K5">
        <f>IF(OR(baseline.txt!AD4 = 0,baseline.txt!AD4=-1),"",baseline.txt!AD4 / baseline.txt!AD4)</f>
        <v/>
      </c>
      <c r="L5">
        <f>IF(OR(baseline.txt!AH4 = 0,baseline.txt!AH4=-1),"",baseline.txt!AH4 / baseline.txt!AH4)</f>
        <v/>
      </c>
      <c r="M5">
        <f>IF(OR(baseline.txt!AK4 = 0,baseline.txt!AK4=-1),"",baseline.txt!AK4 / baseline.txt!AK4)</f>
        <v/>
      </c>
      <c r="N5">
        <f>IF(OR(baseline.txt!AN4 = 0,baseline.txt!AN4=-1),"",baseline.txt!AN4 / baseline.txt!AN4)</f>
        <v/>
      </c>
      <c r="O5">
        <f>IF(OR(baseline.txt!AR4 = 0,baseline.txt!AR4=-1),"",baseline.txt!AR4 / baseline.txt!AR4)</f>
        <v/>
      </c>
      <c r="P5">
        <f>IF(OR(baseline.txt!AT4 = 0,baseline.txt!AT4=-1),"",baseline.txt!AT4 / baseline.txt!AT4)</f>
        <v/>
      </c>
      <c r="Q5">
        <f>IF(OR(baseline.txt!AZ4 = 0,baseline.txt!AZ4=-1),"",baseline.txt!AZ4 / baseline.txt!AZ4)</f>
        <v/>
      </c>
      <c r="R5">
        <f>IF(OR(baseline.txt!BC4 = 0,baseline.txt!BC4=-1),"",baseline.txt!BC4 / baseline.txt!BC4)</f>
        <v/>
      </c>
      <c r="S5">
        <f>IF(OR(baseline.txt!BP4 = 0,baseline.txt!BP4=-1),"",baseline.txt!BP4 / baseline.txt!BP4)</f>
        <v/>
      </c>
      <c r="T5">
        <f>IF(OR(baseline.txt!CF4 = 0,baseline.txt!CF4=-1),"",baseline.txt!CF4 / baseline.txt!CF4)</f>
        <v/>
      </c>
      <c r="U5">
        <f>IF(OR(baseline.txt!CG4 = 0,baseline.txt!CG4=-1),"",baseline.txt!CG4 / baseline.txt!CG4)</f>
        <v/>
      </c>
      <c r="V5">
        <f>IF(OR(baseline.txt!CP4 = 0,baseline.txt!CP4=-1),"",baseline.txt!CP4 / baseline.txt!CP4)</f>
        <v/>
      </c>
    </row>
    <row r="6">
      <c r="A6">
        <f>baseline.txt!A5</f>
        <v/>
      </c>
      <c r="B6">
        <f>baseline.txt!B5</f>
        <v/>
      </c>
      <c r="C6">
        <f>IF(OR(baseline.txt!D5 = 0,baseline.txt!D5=-1),"",baseline.txt!D5 / baseline.txt!D5)</f>
        <v/>
      </c>
      <c r="D6">
        <f>IF(OR(baseline.txt!H5 = 0,baseline.txt!H5=-1),"",baseline.txt!H5 / baseline.txt!H5)</f>
        <v/>
      </c>
      <c r="E6">
        <f>IF(OR(baseline.txt!J5 = 0,baseline.txt!J5=-1),"",baseline.txt!J5 / baseline.txt!J5)</f>
        <v/>
      </c>
      <c r="F6">
        <f>IF(OR(baseline.txt!L5 = 0,baseline.txt!L5=-1),"",baseline.txt!L5 / baseline.txt!L5)</f>
        <v/>
      </c>
      <c r="G6">
        <f>IF(OR(baseline.txt!M5 = 0,baseline.txt!M5=-1),"",baseline.txt!M5 / baseline.txt!M5)</f>
        <v/>
      </c>
      <c r="H6">
        <f>IF(OR(baseline.txt!S5 = 0,baseline.txt!S5=-1),"",baseline.txt!S5 / baseline.txt!S5)</f>
        <v/>
      </c>
      <c r="I6">
        <f>IF(OR(baseline.txt!U5 = 0,baseline.txt!U5=-1),"",baseline.txt!U5 / baseline.txt!U5)</f>
        <v/>
      </c>
      <c r="J6">
        <f>IF(OR(baseline.txt!V5 = 0,baseline.txt!V5=-1),"",baseline.txt!V5 / baseline.txt!V5)</f>
        <v/>
      </c>
      <c r="K6">
        <f>IF(OR(baseline.txt!AD5 = 0,baseline.txt!AD5=-1),"",baseline.txt!AD5 / baseline.txt!AD5)</f>
        <v/>
      </c>
      <c r="L6">
        <f>IF(OR(baseline.txt!AH5 = 0,baseline.txt!AH5=-1),"",baseline.txt!AH5 / baseline.txt!AH5)</f>
        <v/>
      </c>
      <c r="M6">
        <f>IF(OR(baseline.txt!AK5 = 0,baseline.txt!AK5=-1),"",baseline.txt!AK5 / baseline.txt!AK5)</f>
        <v/>
      </c>
      <c r="N6">
        <f>IF(OR(baseline.txt!AN5 = 0,baseline.txt!AN5=-1),"",baseline.txt!AN5 / baseline.txt!AN5)</f>
        <v/>
      </c>
      <c r="O6">
        <f>IF(OR(baseline.txt!AR5 = 0,baseline.txt!AR5=-1),"",baseline.txt!AR5 / baseline.txt!AR5)</f>
        <v/>
      </c>
      <c r="P6">
        <f>IF(OR(baseline.txt!AT5 = 0,baseline.txt!AT5=-1),"",baseline.txt!AT5 / baseline.txt!AT5)</f>
        <v/>
      </c>
      <c r="Q6">
        <f>IF(OR(baseline.txt!AZ5 = 0,baseline.txt!AZ5=-1),"",baseline.txt!AZ5 / baseline.txt!AZ5)</f>
        <v/>
      </c>
      <c r="R6">
        <f>IF(OR(baseline.txt!BC5 = 0,baseline.txt!BC5=-1),"",baseline.txt!BC5 / baseline.txt!BC5)</f>
        <v/>
      </c>
      <c r="S6">
        <f>IF(OR(baseline.txt!BP5 = 0,baseline.txt!BP5=-1),"",baseline.txt!BP5 / baseline.txt!BP5)</f>
        <v/>
      </c>
      <c r="T6">
        <f>IF(OR(baseline.txt!CF5 = 0,baseline.txt!CF5=-1),"",baseline.txt!CF5 / baseline.txt!CF5)</f>
        <v/>
      </c>
      <c r="U6">
        <f>IF(OR(baseline.txt!CG5 = 0,baseline.txt!CG5=-1),"",baseline.txt!CG5 / baseline.txt!CG5)</f>
        <v/>
      </c>
      <c r="V6">
        <f>IF(OR(baseline.txt!CP5 = 0,baseline.txt!CP5=-1),"",baseline.txt!CP5 / baseline.txt!CP5)</f>
        <v/>
      </c>
    </row>
    <row r="7">
      <c r="A7">
        <f>baseline.txt!A6</f>
        <v/>
      </c>
      <c r="B7">
        <f>baseline.txt!B6</f>
        <v/>
      </c>
      <c r="C7">
        <f>IF(OR(baseline.txt!D6 = 0,baseline.txt!D6=-1),"",baseline.txt!D6 / baseline.txt!D6)</f>
        <v/>
      </c>
      <c r="D7">
        <f>IF(OR(baseline.txt!H6 = 0,baseline.txt!H6=-1),"",baseline.txt!H6 / baseline.txt!H6)</f>
        <v/>
      </c>
      <c r="E7">
        <f>IF(OR(baseline.txt!J6 = 0,baseline.txt!J6=-1),"",baseline.txt!J6 / baseline.txt!J6)</f>
        <v/>
      </c>
      <c r="F7">
        <f>IF(OR(baseline.txt!L6 = 0,baseline.txt!L6=-1),"",baseline.txt!L6 / baseline.txt!L6)</f>
        <v/>
      </c>
      <c r="G7">
        <f>IF(OR(baseline.txt!M6 = 0,baseline.txt!M6=-1),"",baseline.txt!M6 / baseline.txt!M6)</f>
        <v/>
      </c>
      <c r="H7">
        <f>IF(OR(baseline.txt!S6 = 0,baseline.txt!S6=-1),"",baseline.txt!S6 / baseline.txt!S6)</f>
        <v/>
      </c>
      <c r="I7">
        <f>IF(OR(baseline.txt!U6 = 0,baseline.txt!U6=-1),"",baseline.txt!U6 / baseline.txt!U6)</f>
        <v/>
      </c>
      <c r="J7">
        <f>IF(OR(baseline.txt!V6 = 0,baseline.txt!V6=-1),"",baseline.txt!V6 / baseline.txt!V6)</f>
        <v/>
      </c>
      <c r="K7">
        <f>IF(OR(baseline.txt!AD6 = 0,baseline.txt!AD6=-1),"",baseline.txt!AD6 / baseline.txt!AD6)</f>
        <v/>
      </c>
      <c r="L7">
        <f>IF(OR(baseline.txt!AH6 = 0,baseline.txt!AH6=-1),"",baseline.txt!AH6 / baseline.txt!AH6)</f>
        <v/>
      </c>
      <c r="M7">
        <f>IF(OR(baseline.txt!AK6 = 0,baseline.txt!AK6=-1),"",baseline.txt!AK6 / baseline.txt!AK6)</f>
        <v/>
      </c>
      <c r="N7">
        <f>IF(OR(baseline.txt!AN6 = 0,baseline.txt!AN6=-1),"",baseline.txt!AN6 / baseline.txt!AN6)</f>
        <v/>
      </c>
      <c r="O7">
        <f>IF(OR(baseline.txt!AR6 = 0,baseline.txt!AR6=-1),"",baseline.txt!AR6 / baseline.txt!AR6)</f>
        <v/>
      </c>
      <c r="P7">
        <f>IF(OR(baseline.txt!AT6 = 0,baseline.txt!AT6=-1),"",baseline.txt!AT6 / baseline.txt!AT6)</f>
        <v/>
      </c>
      <c r="Q7">
        <f>IF(OR(baseline.txt!AZ6 = 0,baseline.txt!AZ6=-1),"",baseline.txt!AZ6 / baseline.txt!AZ6)</f>
        <v/>
      </c>
      <c r="R7">
        <f>IF(OR(baseline.txt!BC6 = 0,baseline.txt!BC6=-1),"",baseline.txt!BC6 / baseline.txt!BC6)</f>
        <v/>
      </c>
      <c r="S7">
        <f>IF(OR(baseline.txt!BP6 = 0,baseline.txt!BP6=-1),"",baseline.txt!BP6 / baseline.txt!BP6)</f>
        <v/>
      </c>
      <c r="T7">
        <f>IF(OR(baseline.txt!CF6 = 0,baseline.txt!CF6=-1),"",baseline.txt!CF6 / baseline.txt!CF6)</f>
        <v/>
      </c>
      <c r="U7">
        <f>IF(OR(baseline.txt!CG6 = 0,baseline.txt!CG6=-1),"",baseline.txt!CG6 / baseline.txt!CG6)</f>
        <v/>
      </c>
      <c r="V7">
        <f>IF(OR(baseline.txt!CP6 = 0,baseline.txt!CP6=-1),"",baseline.txt!CP6 / baseline.txt!CP6)</f>
        <v/>
      </c>
    </row>
    <row r="8">
      <c r="A8">
        <f>baseline.txt!A7</f>
        <v/>
      </c>
      <c r="B8">
        <f>baseline.txt!B7</f>
        <v/>
      </c>
      <c r="C8">
        <f>IF(OR(baseline.txt!D7 = 0,baseline.txt!D7=-1),"",baseline.txt!D7 / baseline.txt!D7)</f>
        <v/>
      </c>
      <c r="D8">
        <f>IF(OR(baseline.txt!H7 = 0,baseline.txt!H7=-1),"",baseline.txt!H7 / baseline.txt!H7)</f>
        <v/>
      </c>
      <c r="E8">
        <f>IF(OR(baseline.txt!J7 = 0,baseline.txt!J7=-1),"",baseline.txt!J7 / baseline.txt!J7)</f>
        <v/>
      </c>
      <c r="F8">
        <f>IF(OR(baseline.txt!L7 = 0,baseline.txt!L7=-1),"",baseline.txt!L7 / baseline.txt!L7)</f>
        <v/>
      </c>
      <c r="G8">
        <f>IF(OR(baseline.txt!M7 = 0,baseline.txt!M7=-1),"",baseline.txt!M7 / baseline.txt!M7)</f>
        <v/>
      </c>
      <c r="H8">
        <f>IF(OR(baseline.txt!S7 = 0,baseline.txt!S7=-1),"",baseline.txt!S7 / baseline.txt!S7)</f>
        <v/>
      </c>
      <c r="I8">
        <f>IF(OR(baseline.txt!U7 = 0,baseline.txt!U7=-1),"",baseline.txt!U7 / baseline.txt!U7)</f>
        <v/>
      </c>
      <c r="J8">
        <f>IF(OR(baseline.txt!V7 = 0,baseline.txt!V7=-1),"",baseline.txt!V7 / baseline.txt!V7)</f>
        <v/>
      </c>
      <c r="K8">
        <f>IF(OR(baseline.txt!AD7 = 0,baseline.txt!AD7=-1),"",baseline.txt!AD7 / baseline.txt!AD7)</f>
        <v/>
      </c>
      <c r="L8">
        <f>IF(OR(baseline.txt!AH7 = 0,baseline.txt!AH7=-1),"",baseline.txt!AH7 / baseline.txt!AH7)</f>
        <v/>
      </c>
      <c r="M8">
        <f>IF(OR(baseline.txt!AK7 = 0,baseline.txt!AK7=-1),"",baseline.txt!AK7 / baseline.txt!AK7)</f>
        <v/>
      </c>
      <c r="N8">
        <f>IF(OR(baseline.txt!AN7 = 0,baseline.txt!AN7=-1),"",baseline.txt!AN7 / baseline.txt!AN7)</f>
        <v/>
      </c>
      <c r="O8">
        <f>IF(OR(baseline.txt!AR7 = 0,baseline.txt!AR7=-1),"",baseline.txt!AR7 / baseline.txt!AR7)</f>
        <v/>
      </c>
      <c r="P8">
        <f>IF(OR(baseline.txt!AT7 = 0,baseline.txt!AT7=-1),"",baseline.txt!AT7 / baseline.txt!AT7)</f>
        <v/>
      </c>
      <c r="Q8">
        <f>IF(OR(baseline.txt!AZ7 = 0,baseline.txt!AZ7=-1),"",baseline.txt!AZ7 / baseline.txt!AZ7)</f>
        <v/>
      </c>
      <c r="R8">
        <f>IF(OR(baseline.txt!BC7 = 0,baseline.txt!BC7=-1),"",baseline.txt!BC7 / baseline.txt!BC7)</f>
        <v/>
      </c>
      <c r="S8">
        <f>IF(OR(baseline.txt!BP7 = 0,baseline.txt!BP7=-1),"",baseline.txt!BP7 / baseline.txt!BP7)</f>
        <v/>
      </c>
      <c r="T8">
        <f>IF(OR(baseline.txt!CF7 = 0,baseline.txt!CF7=-1),"",baseline.txt!CF7 / baseline.txt!CF7)</f>
        <v/>
      </c>
      <c r="U8">
        <f>IF(OR(baseline.txt!CG7 = 0,baseline.txt!CG7=-1),"",baseline.txt!CG7 / baseline.txt!CG7)</f>
        <v/>
      </c>
      <c r="V8">
        <f>IF(OR(baseline.txt!CP7 = 0,baseline.txt!CP7=-1),"",baseline.txt!CP7 / baseline.txt!CP7)</f>
        <v/>
      </c>
    </row>
    <row r="9">
      <c r="A9">
        <f>baseline.txt!A8</f>
        <v/>
      </c>
      <c r="B9">
        <f>baseline.txt!B8</f>
        <v/>
      </c>
      <c r="C9">
        <f>IF(OR(baseline.txt!D8 = 0,baseline.txt!D8=-1),"",baseline.txt!D8 / baseline.txt!D8)</f>
        <v/>
      </c>
      <c r="D9">
        <f>IF(OR(baseline.txt!H8 = 0,baseline.txt!H8=-1),"",baseline.txt!H8 / baseline.txt!H8)</f>
        <v/>
      </c>
      <c r="E9">
        <f>IF(OR(baseline.txt!J8 = 0,baseline.txt!J8=-1),"",baseline.txt!J8 / baseline.txt!J8)</f>
        <v/>
      </c>
      <c r="F9">
        <f>IF(OR(baseline.txt!L8 = 0,baseline.txt!L8=-1),"",baseline.txt!L8 / baseline.txt!L8)</f>
        <v/>
      </c>
      <c r="G9">
        <f>IF(OR(baseline.txt!M8 = 0,baseline.txt!M8=-1),"",baseline.txt!M8 / baseline.txt!M8)</f>
        <v/>
      </c>
      <c r="H9">
        <f>IF(OR(baseline.txt!S8 = 0,baseline.txt!S8=-1),"",baseline.txt!S8 / baseline.txt!S8)</f>
        <v/>
      </c>
      <c r="I9">
        <f>IF(OR(baseline.txt!U8 = 0,baseline.txt!U8=-1),"",baseline.txt!U8 / baseline.txt!U8)</f>
        <v/>
      </c>
      <c r="J9">
        <f>IF(OR(baseline.txt!V8 = 0,baseline.txt!V8=-1),"",baseline.txt!V8 / baseline.txt!V8)</f>
        <v/>
      </c>
      <c r="K9">
        <f>IF(OR(baseline.txt!AD8 = 0,baseline.txt!AD8=-1),"",baseline.txt!AD8 / baseline.txt!AD8)</f>
        <v/>
      </c>
      <c r="L9">
        <f>IF(OR(baseline.txt!AH8 = 0,baseline.txt!AH8=-1),"",baseline.txt!AH8 / baseline.txt!AH8)</f>
        <v/>
      </c>
      <c r="M9">
        <f>IF(OR(baseline.txt!AK8 = 0,baseline.txt!AK8=-1),"",baseline.txt!AK8 / baseline.txt!AK8)</f>
        <v/>
      </c>
      <c r="N9">
        <f>IF(OR(baseline.txt!AN8 = 0,baseline.txt!AN8=-1),"",baseline.txt!AN8 / baseline.txt!AN8)</f>
        <v/>
      </c>
      <c r="O9">
        <f>IF(OR(baseline.txt!AR8 = 0,baseline.txt!AR8=-1),"",baseline.txt!AR8 / baseline.txt!AR8)</f>
        <v/>
      </c>
      <c r="P9">
        <f>IF(OR(baseline.txt!AT8 = 0,baseline.txt!AT8=-1),"",baseline.txt!AT8 / baseline.txt!AT8)</f>
        <v/>
      </c>
      <c r="Q9">
        <f>IF(OR(baseline.txt!AZ8 = 0,baseline.txt!AZ8=-1),"",baseline.txt!AZ8 / baseline.txt!AZ8)</f>
        <v/>
      </c>
      <c r="R9">
        <f>IF(OR(baseline.txt!BC8 = 0,baseline.txt!BC8=-1),"",baseline.txt!BC8 / baseline.txt!BC8)</f>
        <v/>
      </c>
      <c r="S9">
        <f>IF(OR(baseline.txt!BP8 = 0,baseline.txt!BP8=-1),"",baseline.txt!BP8 / baseline.txt!BP8)</f>
        <v/>
      </c>
      <c r="T9">
        <f>IF(OR(baseline.txt!CF8 = 0,baseline.txt!CF8=-1),"",baseline.txt!CF8 / baseline.txt!CF8)</f>
        <v/>
      </c>
      <c r="U9">
        <f>IF(OR(baseline.txt!CG8 = 0,baseline.txt!CG8=-1),"",baseline.txt!CG8 / baseline.txt!CG8)</f>
        <v/>
      </c>
      <c r="V9">
        <f>IF(OR(baseline.txt!CP8 = 0,baseline.txt!CP8=-1),"",baseline.txt!CP8 / baseline.txt!CP8)</f>
        <v/>
      </c>
    </row>
    <row r="10">
      <c r="A10">
        <f>baseline.txt!A9</f>
        <v/>
      </c>
      <c r="B10">
        <f>baseline.txt!B9</f>
        <v/>
      </c>
      <c r="C10">
        <f>IF(OR(baseline.txt!D9 = 0,baseline.txt!D9=-1),"",baseline.txt!D9 / baseline.txt!D9)</f>
        <v/>
      </c>
      <c r="D10">
        <f>IF(OR(baseline.txt!H9 = 0,baseline.txt!H9=-1),"",baseline.txt!H9 / baseline.txt!H9)</f>
        <v/>
      </c>
      <c r="E10">
        <f>IF(OR(baseline.txt!J9 = 0,baseline.txt!J9=-1),"",baseline.txt!J9 / baseline.txt!J9)</f>
        <v/>
      </c>
      <c r="F10">
        <f>IF(OR(baseline.txt!L9 = 0,baseline.txt!L9=-1),"",baseline.txt!L9 / baseline.txt!L9)</f>
        <v/>
      </c>
      <c r="G10">
        <f>IF(OR(baseline.txt!M9 = 0,baseline.txt!M9=-1),"",baseline.txt!M9 / baseline.txt!M9)</f>
        <v/>
      </c>
      <c r="H10">
        <f>IF(OR(baseline.txt!S9 = 0,baseline.txt!S9=-1),"",baseline.txt!S9 / baseline.txt!S9)</f>
        <v/>
      </c>
      <c r="I10">
        <f>IF(OR(baseline.txt!U9 = 0,baseline.txt!U9=-1),"",baseline.txt!U9 / baseline.txt!U9)</f>
        <v/>
      </c>
      <c r="J10">
        <f>IF(OR(baseline.txt!V9 = 0,baseline.txt!V9=-1),"",baseline.txt!V9 / baseline.txt!V9)</f>
        <v/>
      </c>
      <c r="K10">
        <f>IF(OR(baseline.txt!AD9 = 0,baseline.txt!AD9=-1),"",baseline.txt!AD9 / baseline.txt!AD9)</f>
        <v/>
      </c>
      <c r="L10">
        <f>IF(OR(baseline.txt!AH9 = 0,baseline.txt!AH9=-1),"",baseline.txt!AH9 / baseline.txt!AH9)</f>
        <v/>
      </c>
      <c r="M10">
        <f>IF(OR(baseline.txt!AK9 = 0,baseline.txt!AK9=-1),"",baseline.txt!AK9 / baseline.txt!AK9)</f>
        <v/>
      </c>
      <c r="N10">
        <f>IF(OR(baseline.txt!AN9 = 0,baseline.txt!AN9=-1),"",baseline.txt!AN9 / baseline.txt!AN9)</f>
        <v/>
      </c>
      <c r="O10">
        <f>IF(OR(baseline.txt!AR9 = 0,baseline.txt!AR9=-1),"",baseline.txt!AR9 / baseline.txt!AR9)</f>
        <v/>
      </c>
      <c r="P10">
        <f>IF(OR(baseline.txt!AT9 = 0,baseline.txt!AT9=-1),"",baseline.txt!AT9 / baseline.txt!AT9)</f>
        <v/>
      </c>
      <c r="Q10">
        <f>IF(OR(baseline.txt!AZ9 = 0,baseline.txt!AZ9=-1),"",baseline.txt!AZ9 / baseline.txt!AZ9)</f>
        <v/>
      </c>
      <c r="R10">
        <f>IF(OR(baseline.txt!BC9 = 0,baseline.txt!BC9=-1),"",baseline.txt!BC9 / baseline.txt!BC9)</f>
        <v/>
      </c>
      <c r="S10">
        <f>IF(OR(baseline.txt!BP9 = 0,baseline.txt!BP9=-1),"",baseline.txt!BP9 / baseline.txt!BP9)</f>
        <v/>
      </c>
      <c r="T10">
        <f>IF(OR(baseline.txt!CF9 = 0,baseline.txt!CF9=-1),"",baseline.txt!CF9 / baseline.txt!CF9)</f>
        <v/>
      </c>
      <c r="U10">
        <f>IF(OR(baseline.txt!CG9 = 0,baseline.txt!CG9=-1),"",baseline.txt!CG9 / baseline.txt!CG9)</f>
        <v/>
      </c>
      <c r="V10">
        <f>IF(OR(baseline.txt!CP9 = 0,baseline.txt!CP9=-1),"",baseline.txt!CP9 / baseline.txt!CP9)</f>
        <v/>
      </c>
    </row>
    <row r="11">
      <c r="A11">
        <f>baseline.txt!A10</f>
        <v/>
      </c>
      <c r="B11">
        <f>baseline.txt!B10</f>
        <v/>
      </c>
      <c r="C11">
        <f>IF(OR(baseline.txt!D10 = 0,baseline.txt!D10=-1),"",baseline.txt!D10 / baseline.txt!D10)</f>
        <v/>
      </c>
      <c r="D11">
        <f>IF(OR(baseline.txt!H10 = 0,baseline.txt!H10=-1),"",baseline.txt!H10 / baseline.txt!H10)</f>
        <v/>
      </c>
      <c r="E11">
        <f>IF(OR(baseline.txt!J10 = 0,baseline.txt!J10=-1),"",baseline.txt!J10 / baseline.txt!J10)</f>
        <v/>
      </c>
      <c r="F11">
        <f>IF(OR(baseline.txt!L10 = 0,baseline.txt!L10=-1),"",baseline.txt!L10 / baseline.txt!L10)</f>
        <v/>
      </c>
      <c r="G11">
        <f>IF(OR(baseline.txt!M10 = 0,baseline.txt!M10=-1),"",baseline.txt!M10 / baseline.txt!M10)</f>
        <v/>
      </c>
      <c r="H11">
        <f>IF(OR(baseline.txt!S10 = 0,baseline.txt!S10=-1),"",baseline.txt!S10 / baseline.txt!S10)</f>
        <v/>
      </c>
      <c r="I11">
        <f>IF(OR(baseline.txt!U10 = 0,baseline.txt!U10=-1),"",baseline.txt!U10 / baseline.txt!U10)</f>
        <v/>
      </c>
      <c r="J11">
        <f>IF(OR(baseline.txt!V10 = 0,baseline.txt!V10=-1),"",baseline.txt!V10 / baseline.txt!V10)</f>
        <v/>
      </c>
      <c r="K11">
        <f>IF(OR(baseline.txt!AD10 = 0,baseline.txt!AD10=-1),"",baseline.txt!AD10 / baseline.txt!AD10)</f>
        <v/>
      </c>
      <c r="L11">
        <f>IF(OR(baseline.txt!AH10 = 0,baseline.txt!AH10=-1),"",baseline.txt!AH10 / baseline.txt!AH10)</f>
        <v/>
      </c>
      <c r="M11">
        <f>IF(OR(baseline.txt!AK10 = 0,baseline.txt!AK10=-1),"",baseline.txt!AK10 / baseline.txt!AK10)</f>
        <v/>
      </c>
      <c r="N11">
        <f>IF(OR(baseline.txt!AN10 = 0,baseline.txt!AN10=-1),"",baseline.txt!AN10 / baseline.txt!AN10)</f>
        <v/>
      </c>
      <c r="O11">
        <f>IF(OR(baseline.txt!AR10 = 0,baseline.txt!AR10=-1),"",baseline.txt!AR10 / baseline.txt!AR10)</f>
        <v/>
      </c>
      <c r="P11">
        <f>IF(OR(baseline.txt!AT10 = 0,baseline.txt!AT10=-1),"",baseline.txt!AT10 / baseline.txt!AT10)</f>
        <v/>
      </c>
      <c r="Q11">
        <f>IF(OR(baseline.txt!AZ10 = 0,baseline.txt!AZ10=-1),"",baseline.txt!AZ10 / baseline.txt!AZ10)</f>
        <v/>
      </c>
      <c r="R11">
        <f>IF(OR(baseline.txt!BC10 = 0,baseline.txt!BC10=-1),"",baseline.txt!BC10 / baseline.txt!BC10)</f>
        <v/>
      </c>
      <c r="S11">
        <f>IF(OR(baseline.txt!BP10 = 0,baseline.txt!BP10=-1),"",baseline.txt!BP10 / baseline.txt!BP10)</f>
        <v/>
      </c>
      <c r="T11">
        <f>IF(OR(baseline.txt!CF10 = 0,baseline.txt!CF10=-1),"",baseline.txt!CF10 / baseline.txt!CF10)</f>
        <v/>
      </c>
      <c r="U11">
        <f>IF(OR(baseline.txt!CG10 = 0,baseline.txt!CG10=-1),"",baseline.txt!CG10 / baseline.txt!CG10)</f>
        <v/>
      </c>
      <c r="V11">
        <f>IF(OR(baseline.txt!CP10 = 0,baseline.txt!CP10=-1),"",baseline.txt!CP10 / baseline.txt!CP10)</f>
        <v/>
      </c>
    </row>
    <row r="12">
      <c r="A12">
        <f>baseline.txt!A11</f>
        <v/>
      </c>
      <c r="B12">
        <f>baseline.txt!B11</f>
        <v/>
      </c>
      <c r="C12">
        <f>IF(OR(baseline.txt!D11 = 0,baseline.txt!D11=-1),"",baseline.txt!D11 / baseline.txt!D11)</f>
        <v/>
      </c>
      <c r="D12">
        <f>IF(OR(baseline.txt!H11 = 0,baseline.txt!H11=-1),"",baseline.txt!H11 / baseline.txt!H11)</f>
        <v/>
      </c>
      <c r="E12">
        <f>IF(OR(baseline.txt!J11 = 0,baseline.txt!J11=-1),"",baseline.txt!J11 / baseline.txt!J11)</f>
        <v/>
      </c>
      <c r="F12">
        <f>IF(OR(baseline.txt!L11 = 0,baseline.txt!L11=-1),"",baseline.txt!L11 / baseline.txt!L11)</f>
        <v/>
      </c>
      <c r="G12">
        <f>IF(OR(baseline.txt!M11 = 0,baseline.txt!M11=-1),"",baseline.txt!M11 / baseline.txt!M11)</f>
        <v/>
      </c>
      <c r="H12">
        <f>IF(OR(baseline.txt!S11 = 0,baseline.txt!S11=-1),"",baseline.txt!S11 / baseline.txt!S11)</f>
        <v/>
      </c>
      <c r="I12">
        <f>IF(OR(baseline.txt!U11 = 0,baseline.txt!U11=-1),"",baseline.txt!U11 / baseline.txt!U11)</f>
        <v/>
      </c>
      <c r="J12">
        <f>IF(OR(baseline.txt!V11 = 0,baseline.txt!V11=-1),"",baseline.txt!V11 / baseline.txt!V11)</f>
        <v/>
      </c>
      <c r="K12">
        <f>IF(OR(baseline.txt!AD11 = 0,baseline.txt!AD11=-1),"",baseline.txt!AD11 / baseline.txt!AD11)</f>
        <v/>
      </c>
      <c r="L12">
        <f>IF(OR(baseline.txt!AH11 = 0,baseline.txt!AH11=-1),"",baseline.txt!AH11 / baseline.txt!AH11)</f>
        <v/>
      </c>
      <c r="M12">
        <f>IF(OR(baseline.txt!AK11 = 0,baseline.txt!AK11=-1),"",baseline.txt!AK11 / baseline.txt!AK11)</f>
        <v/>
      </c>
      <c r="N12">
        <f>IF(OR(baseline.txt!AN11 = 0,baseline.txt!AN11=-1),"",baseline.txt!AN11 / baseline.txt!AN11)</f>
        <v/>
      </c>
      <c r="O12">
        <f>IF(OR(baseline.txt!AR11 = 0,baseline.txt!AR11=-1),"",baseline.txt!AR11 / baseline.txt!AR11)</f>
        <v/>
      </c>
      <c r="P12">
        <f>IF(OR(baseline.txt!AT11 = 0,baseline.txt!AT11=-1),"",baseline.txt!AT11 / baseline.txt!AT11)</f>
        <v/>
      </c>
      <c r="Q12">
        <f>IF(OR(baseline.txt!AZ11 = 0,baseline.txt!AZ11=-1),"",baseline.txt!AZ11 / baseline.txt!AZ11)</f>
        <v/>
      </c>
      <c r="R12">
        <f>IF(OR(baseline.txt!BC11 = 0,baseline.txt!BC11=-1),"",baseline.txt!BC11 / baseline.txt!BC11)</f>
        <v/>
      </c>
      <c r="S12">
        <f>IF(OR(baseline.txt!BP11 = 0,baseline.txt!BP11=-1),"",baseline.txt!BP11 / baseline.txt!BP11)</f>
        <v/>
      </c>
      <c r="T12">
        <f>IF(OR(baseline.txt!CF11 = 0,baseline.txt!CF11=-1),"",baseline.txt!CF11 / baseline.txt!CF11)</f>
        <v/>
      </c>
      <c r="U12">
        <f>IF(OR(baseline.txt!CG11 = 0,baseline.txt!CG11=-1),"",baseline.txt!CG11 / baseline.txt!CG11)</f>
        <v/>
      </c>
      <c r="V12">
        <f>IF(OR(baseline.txt!CP11 = 0,baseline.txt!CP11=-1),"",baseline.txt!CP11 / baseline.txt!CP11)</f>
        <v/>
      </c>
    </row>
    <row r="13">
      <c r="A13">
        <f>baseline.txt!A12</f>
        <v/>
      </c>
      <c r="B13">
        <f>baseline.txt!B12</f>
        <v/>
      </c>
      <c r="C13">
        <f>IF(OR(baseline.txt!D12 = 0,baseline.txt!D12=-1),"",baseline.txt!D12 / baseline.txt!D12)</f>
        <v/>
      </c>
      <c r="D13">
        <f>IF(OR(baseline.txt!H12 = 0,baseline.txt!H12=-1),"",baseline.txt!H12 / baseline.txt!H12)</f>
        <v/>
      </c>
      <c r="E13">
        <f>IF(OR(baseline.txt!J12 = 0,baseline.txt!J12=-1),"",baseline.txt!J12 / baseline.txt!J12)</f>
        <v/>
      </c>
      <c r="F13">
        <f>IF(OR(baseline.txt!L12 = 0,baseline.txt!L12=-1),"",baseline.txt!L12 / baseline.txt!L12)</f>
        <v/>
      </c>
      <c r="G13">
        <f>IF(OR(baseline.txt!M12 = 0,baseline.txt!M12=-1),"",baseline.txt!M12 / baseline.txt!M12)</f>
        <v/>
      </c>
      <c r="H13">
        <f>IF(OR(baseline.txt!S12 = 0,baseline.txt!S12=-1),"",baseline.txt!S12 / baseline.txt!S12)</f>
        <v/>
      </c>
      <c r="I13">
        <f>IF(OR(baseline.txt!U12 = 0,baseline.txt!U12=-1),"",baseline.txt!U12 / baseline.txt!U12)</f>
        <v/>
      </c>
      <c r="J13">
        <f>IF(OR(baseline.txt!V12 = 0,baseline.txt!V12=-1),"",baseline.txt!V12 / baseline.txt!V12)</f>
        <v/>
      </c>
      <c r="K13">
        <f>IF(OR(baseline.txt!AD12 = 0,baseline.txt!AD12=-1),"",baseline.txt!AD12 / baseline.txt!AD12)</f>
        <v/>
      </c>
      <c r="L13">
        <f>IF(OR(baseline.txt!AH12 = 0,baseline.txt!AH12=-1),"",baseline.txt!AH12 / baseline.txt!AH12)</f>
        <v/>
      </c>
      <c r="M13">
        <f>IF(OR(baseline.txt!AK12 = 0,baseline.txt!AK12=-1),"",baseline.txt!AK12 / baseline.txt!AK12)</f>
        <v/>
      </c>
      <c r="N13">
        <f>IF(OR(baseline.txt!AN12 = 0,baseline.txt!AN12=-1),"",baseline.txt!AN12 / baseline.txt!AN12)</f>
        <v/>
      </c>
      <c r="O13">
        <f>IF(OR(baseline.txt!AR12 = 0,baseline.txt!AR12=-1),"",baseline.txt!AR12 / baseline.txt!AR12)</f>
        <v/>
      </c>
      <c r="P13">
        <f>IF(OR(baseline.txt!AT12 = 0,baseline.txt!AT12=-1),"",baseline.txt!AT12 / baseline.txt!AT12)</f>
        <v/>
      </c>
      <c r="Q13">
        <f>IF(OR(baseline.txt!AZ12 = 0,baseline.txt!AZ12=-1),"",baseline.txt!AZ12 / baseline.txt!AZ12)</f>
        <v/>
      </c>
      <c r="R13">
        <f>IF(OR(baseline.txt!BC12 = 0,baseline.txt!BC12=-1),"",baseline.txt!BC12 / baseline.txt!BC12)</f>
        <v/>
      </c>
      <c r="S13">
        <f>IF(OR(baseline.txt!BP12 = 0,baseline.txt!BP12=-1),"",baseline.txt!BP12 / baseline.txt!BP12)</f>
        <v/>
      </c>
      <c r="T13">
        <f>IF(OR(baseline.txt!CF12 = 0,baseline.txt!CF12=-1),"",baseline.txt!CF12 / baseline.txt!CF12)</f>
        <v/>
      </c>
      <c r="U13">
        <f>IF(OR(baseline.txt!CG12 = 0,baseline.txt!CG12=-1),"",baseline.txt!CG12 / baseline.txt!CG12)</f>
        <v/>
      </c>
      <c r="V13">
        <f>IF(OR(baseline.txt!CP12 = 0,baseline.txt!CP12=-1),"",baseline.txt!CP12 / baseline.txt!CP12)</f>
        <v/>
      </c>
    </row>
    <row r="14">
      <c r="A14">
        <f>baseline.txt!A13</f>
        <v/>
      </c>
      <c r="B14">
        <f>baseline.txt!B13</f>
        <v/>
      </c>
      <c r="C14">
        <f>IF(OR(baseline.txt!D13 = 0,baseline.txt!D13=-1),"",baseline.txt!D13 / baseline.txt!D13)</f>
        <v/>
      </c>
      <c r="D14">
        <f>IF(OR(baseline.txt!H13 = 0,baseline.txt!H13=-1),"",baseline.txt!H13 / baseline.txt!H13)</f>
        <v/>
      </c>
      <c r="E14">
        <f>IF(OR(baseline.txt!J13 = 0,baseline.txt!J13=-1),"",baseline.txt!J13 / baseline.txt!J13)</f>
        <v/>
      </c>
      <c r="F14">
        <f>IF(OR(baseline.txt!L13 = 0,baseline.txt!L13=-1),"",baseline.txt!L13 / baseline.txt!L13)</f>
        <v/>
      </c>
      <c r="G14">
        <f>IF(OR(baseline.txt!M13 = 0,baseline.txt!M13=-1),"",baseline.txt!M13 / baseline.txt!M13)</f>
        <v/>
      </c>
      <c r="H14">
        <f>IF(OR(baseline.txt!S13 = 0,baseline.txt!S13=-1),"",baseline.txt!S13 / baseline.txt!S13)</f>
        <v/>
      </c>
      <c r="I14">
        <f>IF(OR(baseline.txt!U13 = 0,baseline.txt!U13=-1),"",baseline.txt!U13 / baseline.txt!U13)</f>
        <v/>
      </c>
      <c r="J14">
        <f>IF(OR(baseline.txt!V13 = 0,baseline.txt!V13=-1),"",baseline.txt!V13 / baseline.txt!V13)</f>
        <v/>
      </c>
      <c r="K14">
        <f>IF(OR(baseline.txt!AD13 = 0,baseline.txt!AD13=-1),"",baseline.txt!AD13 / baseline.txt!AD13)</f>
        <v/>
      </c>
      <c r="L14">
        <f>IF(OR(baseline.txt!AH13 = 0,baseline.txt!AH13=-1),"",baseline.txt!AH13 / baseline.txt!AH13)</f>
        <v/>
      </c>
      <c r="M14">
        <f>IF(OR(baseline.txt!AK13 = 0,baseline.txt!AK13=-1),"",baseline.txt!AK13 / baseline.txt!AK13)</f>
        <v/>
      </c>
      <c r="N14">
        <f>IF(OR(baseline.txt!AN13 = 0,baseline.txt!AN13=-1),"",baseline.txt!AN13 / baseline.txt!AN13)</f>
        <v/>
      </c>
      <c r="O14">
        <f>IF(OR(baseline.txt!AR13 = 0,baseline.txt!AR13=-1),"",baseline.txt!AR13 / baseline.txt!AR13)</f>
        <v/>
      </c>
      <c r="P14">
        <f>IF(OR(baseline.txt!AT13 = 0,baseline.txt!AT13=-1),"",baseline.txt!AT13 / baseline.txt!AT13)</f>
        <v/>
      </c>
      <c r="Q14">
        <f>IF(OR(baseline.txt!AZ13 = 0,baseline.txt!AZ13=-1),"",baseline.txt!AZ13 / baseline.txt!AZ13)</f>
        <v/>
      </c>
      <c r="R14">
        <f>IF(OR(baseline.txt!BC13 = 0,baseline.txt!BC13=-1),"",baseline.txt!BC13 / baseline.txt!BC13)</f>
        <v/>
      </c>
      <c r="S14">
        <f>IF(OR(baseline.txt!BP13 = 0,baseline.txt!BP13=-1),"",baseline.txt!BP13 / baseline.txt!BP13)</f>
        <v/>
      </c>
      <c r="T14">
        <f>IF(OR(baseline.txt!CF13 = 0,baseline.txt!CF13=-1),"",baseline.txt!CF13 / baseline.txt!CF13)</f>
        <v/>
      </c>
      <c r="U14">
        <f>IF(OR(baseline.txt!CG13 = 0,baseline.txt!CG13=-1),"",baseline.txt!CG13 / baseline.txt!CG13)</f>
        <v/>
      </c>
      <c r="V14">
        <f>IF(OR(baseline.txt!CP13 = 0,baseline.txt!CP13=-1),"",baseline.txt!CP13 / baseline.txt!CP13)</f>
        <v/>
      </c>
    </row>
    <row r="15">
      <c r="A15">
        <f>baseline.txt!A14</f>
        <v/>
      </c>
      <c r="B15">
        <f>baseline.txt!B14</f>
        <v/>
      </c>
      <c r="C15">
        <f>IF(OR(baseline.txt!D14 = 0,baseline.txt!D14=-1),"",baseline.txt!D14 / baseline.txt!D14)</f>
        <v/>
      </c>
      <c r="D15">
        <f>IF(OR(baseline.txt!H14 = 0,baseline.txt!H14=-1),"",baseline.txt!H14 / baseline.txt!H14)</f>
        <v/>
      </c>
      <c r="E15">
        <f>IF(OR(baseline.txt!J14 = 0,baseline.txt!J14=-1),"",baseline.txt!J14 / baseline.txt!J14)</f>
        <v/>
      </c>
      <c r="F15">
        <f>IF(OR(baseline.txt!L14 = 0,baseline.txt!L14=-1),"",baseline.txt!L14 / baseline.txt!L14)</f>
        <v/>
      </c>
      <c r="G15">
        <f>IF(OR(baseline.txt!M14 = 0,baseline.txt!M14=-1),"",baseline.txt!M14 / baseline.txt!M14)</f>
        <v/>
      </c>
      <c r="H15">
        <f>IF(OR(baseline.txt!S14 = 0,baseline.txt!S14=-1),"",baseline.txt!S14 / baseline.txt!S14)</f>
        <v/>
      </c>
      <c r="I15">
        <f>IF(OR(baseline.txt!U14 = 0,baseline.txt!U14=-1),"",baseline.txt!U14 / baseline.txt!U14)</f>
        <v/>
      </c>
      <c r="J15">
        <f>IF(OR(baseline.txt!V14 = 0,baseline.txt!V14=-1),"",baseline.txt!V14 / baseline.txt!V14)</f>
        <v/>
      </c>
      <c r="K15">
        <f>IF(OR(baseline.txt!AD14 = 0,baseline.txt!AD14=-1),"",baseline.txt!AD14 / baseline.txt!AD14)</f>
        <v/>
      </c>
      <c r="L15">
        <f>IF(OR(baseline.txt!AH14 = 0,baseline.txt!AH14=-1),"",baseline.txt!AH14 / baseline.txt!AH14)</f>
        <v/>
      </c>
      <c r="M15">
        <f>IF(OR(baseline.txt!AK14 = 0,baseline.txt!AK14=-1),"",baseline.txt!AK14 / baseline.txt!AK14)</f>
        <v/>
      </c>
      <c r="N15">
        <f>IF(OR(baseline.txt!AN14 = 0,baseline.txt!AN14=-1),"",baseline.txt!AN14 / baseline.txt!AN14)</f>
        <v/>
      </c>
      <c r="O15">
        <f>IF(OR(baseline.txt!AR14 = 0,baseline.txt!AR14=-1),"",baseline.txt!AR14 / baseline.txt!AR14)</f>
        <v/>
      </c>
      <c r="P15">
        <f>IF(OR(baseline.txt!AT14 = 0,baseline.txt!AT14=-1),"",baseline.txt!AT14 / baseline.txt!AT14)</f>
        <v/>
      </c>
      <c r="Q15">
        <f>IF(OR(baseline.txt!AZ14 = 0,baseline.txt!AZ14=-1),"",baseline.txt!AZ14 / baseline.txt!AZ14)</f>
        <v/>
      </c>
      <c r="R15">
        <f>IF(OR(baseline.txt!BC14 = 0,baseline.txt!BC14=-1),"",baseline.txt!BC14 / baseline.txt!BC14)</f>
        <v/>
      </c>
      <c r="S15">
        <f>IF(OR(baseline.txt!BP14 = 0,baseline.txt!BP14=-1),"",baseline.txt!BP14 / baseline.txt!BP14)</f>
        <v/>
      </c>
      <c r="T15">
        <f>IF(OR(baseline.txt!CF14 = 0,baseline.txt!CF14=-1),"",baseline.txt!CF14 / baseline.txt!CF14)</f>
        <v/>
      </c>
      <c r="U15">
        <f>IF(OR(baseline.txt!CG14 = 0,baseline.txt!CG14=-1),"",baseline.txt!CG14 / baseline.txt!CG14)</f>
        <v/>
      </c>
      <c r="V15">
        <f>IF(OR(baseline.txt!CP14 = 0,baseline.txt!CP14=-1),"",baseline.txt!CP14 / baseline.txt!CP14)</f>
        <v/>
      </c>
    </row>
    <row r="16">
      <c r="A16">
        <f>baseline.txt!A15</f>
        <v/>
      </c>
      <c r="B16">
        <f>baseline.txt!B15</f>
        <v/>
      </c>
      <c r="C16">
        <f>IF(OR(baseline.txt!D15 = 0,baseline.txt!D15=-1),"",baseline.txt!D15 / baseline.txt!D15)</f>
        <v/>
      </c>
      <c r="D16">
        <f>IF(OR(baseline.txt!H15 = 0,baseline.txt!H15=-1),"",baseline.txt!H15 / baseline.txt!H15)</f>
        <v/>
      </c>
      <c r="E16">
        <f>IF(OR(baseline.txt!J15 = 0,baseline.txt!J15=-1),"",baseline.txt!J15 / baseline.txt!J15)</f>
        <v/>
      </c>
      <c r="F16">
        <f>IF(OR(baseline.txt!L15 = 0,baseline.txt!L15=-1),"",baseline.txt!L15 / baseline.txt!L15)</f>
        <v/>
      </c>
      <c r="G16">
        <f>IF(OR(baseline.txt!M15 = 0,baseline.txt!M15=-1),"",baseline.txt!M15 / baseline.txt!M15)</f>
        <v/>
      </c>
      <c r="H16">
        <f>IF(OR(baseline.txt!S15 = 0,baseline.txt!S15=-1),"",baseline.txt!S15 / baseline.txt!S15)</f>
        <v/>
      </c>
      <c r="I16">
        <f>IF(OR(baseline.txt!U15 = 0,baseline.txt!U15=-1),"",baseline.txt!U15 / baseline.txt!U15)</f>
        <v/>
      </c>
      <c r="J16">
        <f>IF(OR(baseline.txt!V15 = 0,baseline.txt!V15=-1),"",baseline.txt!V15 / baseline.txt!V15)</f>
        <v/>
      </c>
      <c r="K16">
        <f>IF(OR(baseline.txt!AD15 = 0,baseline.txt!AD15=-1),"",baseline.txt!AD15 / baseline.txt!AD15)</f>
        <v/>
      </c>
      <c r="L16">
        <f>IF(OR(baseline.txt!AH15 = 0,baseline.txt!AH15=-1),"",baseline.txt!AH15 / baseline.txt!AH15)</f>
        <v/>
      </c>
      <c r="M16">
        <f>IF(OR(baseline.txt!AK15 = 0,baseline.txt!AK15=-1),"",baseline.txt!AK15 / baseline.txt!AK15)</f>
        <v/>
      </c>
      <c r="N16">
        <f>IF(OR(baseline.txt!AN15 = 0,baseline.txt!AN15=-1),"",baseline.txt!AN15 / baseline.txt!AN15)</f>
        <v/>
      </c>
      <c r="O16">
        <f>IF(OR(baseline.txt!AR15 = 0,baseline.txt!AR15=-1),"",baseline.txt!AR15 / baseline.txt!AR15)</f>
        <v/>
      </c>
      <c r="P16">
        <f>IF(OR(baseline.txt!AT15 = 0,baseline.txt!AT15=-1),"",baseline.txt!AT15 / baseline.txt!AT15)</f>
        <v/>
      </c>
      <c r="Q16">
        <f>IF(OR(baseline.txt!AZ15 = 0,baseline.txt!AZ15=-1),"",baseline.txt!AZ15 / baseline.txt!AZ15)</f>
        <v/>
      </c>
      <c r="R16">
        <f>IF(OR(baseline.txt!BC15 = 0,baseline.txt!BC15=-1),"",baseline.txt!BC15 / baseline.txt!BC15)</f>
        <v/>
      </c>
      <c r="S16">
        <f>IF(OR(baseline.txt!BP15 = 0,baseline.txt!BP15=-1),"",baseline.txt!BP15 / baseline.txt!BP15)</f>
        <v/>
      </c>
      <c r="T16">
        <f>IF(OR(baseline.txt!CF15 = 0,baseline.txt!CF15=-1),"",baseline.txt!CF15 / baseline.txt!CF15)</f>
        <v/>
      </c>
      <c r="U16">
        <f>IF(OR(baseline.txt!CG15 = 0,baseline.txt!CG15=-1),"",baseline.txt!CG15 / baseline.txt!CG15)</f>
        <v/>
      </c>
      <c r="V16">
        <f>IF(OR(baseline.txt!CP15 = 0,baseline.txt!CP15=-1),"",baseline.txt!CP15 / baseline.txt!CP15)</f>
        <v/>
      </c>
    </row>
    <row r="17">
      <c r="A17">
        <f>baseline.txt!A16</f>
        <v/>
      </c>
      <c r="B17">
        <f>baseline.txt!B16</f>
        <v/>
      </c>
      <c r="C17">
        <f>IF(OR(baseline.txt!D16 = 0,baseline.txt!D16=-1),"",baseline.txt!D16 / baseline.txt!D16)</f>
        <v/>
      </c>
      <c r="D17">
        <f>IF(OR(baseline.txt!H16 = 0,baseline.txt!H16=-1),"",baseline.txt!H16 / baseline.txt!H16)</f>
        <v/>
      </c>
      <c r="E17">
        <f>IF(OR(baseline.txt!J16 = 0,baseline.txt!J16=-1),"",baseline.txt!J16 / baseline.txt!J16)</f>
        <v/>
      </c>
      <c r="F17">
        <f>IF(OR(baseline.txt!L16 = 0,baseline.txt!L16=-1),"",baseline.txt!L16 / baseline.txt!L16)</f>
        <v/>
      </c>
      <c r="G17">
        <f>IF(OR(baseline.txt!M16 = 0,baseline.txt!M16=-1),"",baseline.txt!M16 / baseline.txt!M16)</f>
        <v/>
      </c>
      <c r="H17">
        <f>IF(OR(baseline.txt!S16 = 0,baseline.txt!S16=-1),"",baseline.txt!S16 / baseline.txt!S16)</f>
        <v/>
      </c>
      <c r="I17">
        <f>IF(OR(baseline.txt!U16 = 0,baseline.txt!U16=-1),"",baseline.txt!U16 / baseline.txt!U16)</f>
        <v/>
      </c>
      <c r="J17">
        <f>IF(OR(baseline.txt!V16 = 0,baseline.txt!V16=-1),"",baseline.txt!V16 / baseline.txt!V16)</f>
        <v/>
      </c>
      <c r="K17">
        <f>IF(OR(baseline.txt!AD16 = 0,baseline.txt!AD16=-1),"",baseline.txt!AD16 / baseline.txt!AD16)</f>
        <v/>
      </c>
      <c r="L17">
        <f>IF(OR(baseline.txt!AH16 = 0,baseline.txt!AH16=-1),"",baseline.txt!AH16 / baseline.txt!AH16)</f>
        <v/>
      </c>
      <c r="M17">
        <f>IF(OR(baseline.txt!AK16 = 0,baseline.txt!AK16=-1),"",baseline.txt!AK16 / baseline.txt!AK16)</f>
        <v/>
      </c>
      <c r="N17">
        <f>IF(OR(baseline.txt!AN16 = 0,baseline.txt!AN16=-1),"",baseline.txt!AN16 / baseline.txt!AN16)</f>
        <v/>
      </c>
      <c r="O17">
        <f>IF(OR(baseline.txt!AR16 = 0,baseline.txt!AR16=-1),"",baseline.txt!AR16 / baseline.txt!AR16)</f>
        <v/>
      </c>
      <c r="P17">
        <f>IF(OR(baseline.txt!AT16 = 0,baseline.txt!AT16=-1),"",baseline.txt!AT16 / baseline.txt!AT16)</f>
        <v/>
      </c>
      <c r="Q17">
        <f>IF(OR(baseline.txt!AZ16 = 0,baseline.txt!AZ16=-1),"",baseline.txt!AZ16 / baseline.txt!AZ16)</f>
        <v/>
      </c>
      <c r="R17">
        <f>IF(OR(baseline.txt!BC16 = 0,baseline.txt!BC16=-1),"",baseline.txt!BC16 / baseline.txt!BC16)</f>
        <v/>
      </c>
      <c r="S17">
        <f>IF(OR(baseline.txt!BP16 = 0,baseline.txt!BP16=-1),"",baseline.txt!BP16 / baseline.txt!BP16)</f>
        <v/>
      </c>
      <c r="T17">
        <f>IF(OR(baseline.txt!CF16 = 0,baseline.txt!CF16=-1),"",baseline.txt!CF16 / baseline.txt!CF16)</f>
        <v/>
      </c>
      <c r="U17">
        <f>IF(OR(baseline.txt!CG16 = 0,baseline.txt!CG16=-1),"",baseline.txt!CG16 / baseline.txt!CG16)</f>
        <v/>
      </c>
      <c r="V17">
        <f>IF(OR(baseline.txt!CP16 = 0,baseline.txt!CP16=-1),"",baseline.txt!CP16 / baseline.txt!CP16)</f>
        <v/>
      </c>
    </row>
    <row r="18">
      <c r="A18">
        <f>baseline.txt!A17</f>
        <v/>
      </c>
      <c r="B18">
        <f>baseline.txt!B17</f>
        <v/>
      </c>
      <c r="C18">
        <f>IF(OR(baseline.txt!D17 = 0,baseline.txt!D17=-1),"",baseline.txt!D17 / baseline.txt!D17)</f>
        <v/>
      </c>
      <c r="D18">
        <f>IF(OR(baseline.txt!H17 = 0,baseline.txt!H17=-1),"",baseline.txt!H17 / baseline.txt!H17)</f>
        <v/>
      </c>
      <c r="E18">
        <f>IF(OR(baseline.txt!J17 = 0,baseline.txt!J17=-1),"",baseline.txt!J17 / baseline.txt!J17)</f>
        <v/>
      </c>
      <c r="F18">
        <f>IF(OR(baseline.txt!L17 = 0,baseline.txt!L17=-1),"",baseline.txt!L17 / baseline.txt!L17)</f>
        <v/>
      </c>
      <c r="G18">
        <f>IF(OR(baseline.txt!M17 = 0,baseline.txt!M17=-1),"",baseline.txt!M17 / baseline.txt!M17)</f>
        <v/>
      </c>
      <c r="H18">
        <f>IF(OR(baseline.txt!S17 = 0,baseline.txt!S17=-1),"",baseline.txt!S17 / baseline.txt!S17)</f>
        <v/>
      </c>
      <c r="I18">
        <f>IF(OR(baseline.txt!U17 = 0,baseline.txt!U17=-1),"",baseline.txt!U17 / baseline.txt!U17)</f>
        <v/>
      </c>
      <c r="J18">
        <f>IF(OR(baseline.txt!V17 = 0,baseline.txt!V17=-1),"",baseline.txt!V17 / baseline.txt!V17)</f>
        <v/>
      </c>
      <c r="K18">
        <f>IF(OR(baseline.txt!AD17 = 0,baseline.txt!AD17=-1),"",baseline.txt!AD17 / baseline.txt!AD17)</f>
        <v/>
      </c>
      <c r="L18">
        <f>IF(OR(baseline.txt!AH17 = 0,baseline.txt!AH17=-1),"",baseline.txt!AH17 / baseline.txt!AH17)</f>
        <v/>
      </c>
      <c r="M18">
        <f>IF(OR(baseline.txt!AK17 = 0,baseline.txt!AK17=-1),"",baseline.txt!AK17 / baseline.txt!AK17)</f>
        <v/>
      </c>
      <c r="N18">
        <f>IF(OR(baseline.txt!AN17 = 0,baseline.txt!AN17=-1),"",baseline.txt!AN17 / baseline.txt!AN17)</f>
        <v/>
      </c>
      <c r="O18">
        <f>IF(OR(baseline.txt!AR17 = 0,baseline.txt!AR17=-1),"",baseline.txt!AR17 / baseline.txt!AR17)</f>
        <v/>
      </c>
      <c r="P18">
        <f>IF(OR(baseline.txt!AT17 = 0,baseline.txt!AT17=-1),"",baseline.txt!AT17 / baseline.txt!AT17)</f>
        <v/>
      </c>
      <c r="Q18">
        <f>IF(OR(baseline.txt!AZ17 = 0,baseline.txt!AZ17=-1),"",baseline.txt!AZ17 / baseline.txt!AZ17)</f>
        <v/>
      </c>
      <c r="R18">
        <f>IF(OR(baseline.txt!BC17 = 0,baseline.txt!BC17=-1),"",baseline.txt!BC17 / baseline.txt!BC17)</f>
        <v/>
      </c>
      <c r="S18">
        <f>IF(OR(baseline.txt!BP17 = 0,baseline.txt!BP17=-1),"",baseline.txt!BP17 / baseline.txt!BP17)</f>
        <v/>
      </c>
      <c r="T18">
        <f>IF(OR(baseline.txt!CF17 = 0,baseline.txt!CF17=-1),"",baseline.txt!CF17 / baseline.txt!CF17)</f>
        <v/>
      </c>
      <c r="U18">
        <f>IF(OR(baseline.txt!CG17 = 0,baseline.txt!CG17=-1),"",baseline.txt!CG17 / baseline.txt!CG17)</f>
        <v/>
      </c>
      <c r="V18">
        <f>IF(OR(baseline.txt!CP17 = 0,baseline.txt!CP17=-1),"",baseline.txt!CP17 / baseline.txt!CP17)</f>
        <v/>
      </c>
    </row>
    <row r="19">
      <c r="A19">
        <f>baseline.txt!A18</f>
        <v/>
      </c>
      <c r="B19">
        <f>baseline.txt!B18</f>
        <v/>
      </c>
      <c r="C19">
        <f>IF(OR(baseline.txt!D18 = 0,baseline.txt!D18=-1),"",baseline.txt!D18 / baseline.txt!D18)</f>
        <v/>
      </c>
      <c r="D19">
        <f>IF(OR(baseline.txt!H18 = 0,baseline.txt!H18=-1),"",baseline.txt!H18 / baseline.txt!H18)</f>
        <v/>
      </c>
      <c r="E19">
        <f>IF(OR(baseline.txt!J18 = 0,baseline.txt!J18=-1),"",baseline.txt!J18 / baseline.txt!J18)</f>
        <v/>
      </c>
      <c r="F19">
        <f>IF(OR(baseline.txt!L18 = 0,baseline.txt!L18=-1),"",baseline.txt!L18 / baseline.txt!L18)</f>
        <v/>
      </c>
      <c r="G19">
        <f>IF(OR(baseline.txt!M18 = 0,baseline.txt!M18=-1),"",baseline.txt!M18 / baseline.txt!M18)</f>
        <v/>
      </c>
      <c r="H19">
        <f>IF(OR(baseline.txt!S18 = 0,baseline.txt!S18=-1),"",baseline.txt!S18 / baseline.txt!S18)</f>
        <v/>
      </c>
      <c r="I19">
        <f>IF(OR(baseline.txt!U18 = 0,baseline.txt!U18=-1),"",baseline.txt!U18 / baseline.txt!U18)</f>
        <v/>
      </c>
      <c r="J19">
        <f>IF(OR(baseline.txt!V18 = 0,baseline.txt!V18=-1),"",baseline.txt!V18 / baseline.txt!V18)</f>
        <v/>
      </c>
      <c r="K19">
        <f>IF(OR(baseline.txt!AD18 = 0,baseline.txt!AD18=-1),"",baseline.txt!AD18 / baseline.txt!AD18)</f>
        <v/>
      </c>
      <c r="L19">
        <f>IF(OR(baseline.txt!AH18 = 0,baseline.txt!AH18=-1),"",baseline.txt!AH18 / baseline.txt!AH18)</f>
        <v/>
      </c>
      <c r="M19">
        <f>IF(OR(baseline.txt!AK18 = 0,baseline.txt!AK18=-1),"",baseline.txt!AK18 / baseline.txt!AK18)</f>
        <v/>
      </c>
      <c r="N19">
        <f>IF(OR(baseline.txt!AN18 = 0,baseline.txt!AN18=-1),"",baseline.txt!AN18 / baseline.txt!AN18)</f>
        <v/>
      </c>
      <c r="O19">
        <f>IF(OR(baseline.txt!AR18 = 0,baseline.txt!AR18=-1),"",baseline.txt!AR18 / baseline.txt!AR18)</f>
        <v/>
      </c>
      <c r="P19">
        <f>IF(OR(baseline.txt!AT18 = 0,baseline.txt!AT18=-1),"",baseline.txt!AT18 / baseline.txt!AT18)</f>
        <v/>
      </c>
      <c r="Q19">
        <f>IF(OR(baseline.txt!AZ18 = 0,baseline.txt!AZ18=-1),"",baseline.txt!AZ18 / baseline.txt!AZ18)</f>
        <v/>
      </c>
      <c r="R19">
        <f>IF(OR(baseline.txt!BC18 = 0,baseline.txt!BC18=-1),"",baseline.txt!BC18 / baseline.txt!BC18)</f>
        <v/>
      </c>
      <c r="S19">
        <f>IF(OR(baseline.txt!BP18 = 0,baseline.txt!BP18=-1),"",baseline.txt!BP18 / baseline.txt!BP18)</f>
        <v/>
      </c>
      <c r="T19">
        <f>IF(OR(baseline.txt!CF18 = 0,baseline.txt!CF18=-1),"",baseline.txt!CF18 / baseline.txt!CF18)</f>
        <v/>
      </c>
      <c r="U19">
        <f>IF(OR(baseline.txt!CG18 = 0,baseline.txt!CG18=-1),"",baseline.txt!CG18 / baseline.txt!CG18)</f>
        <v/>
      </c>
      <c r="V19">
        <f>IF(OR(baseline.txt!CP18 = 0,baseline.txt!CP18=-1),"",baseline.txt!CP18 / baseline.txt!CP18)</f>
        <v/>
      </c>
    </row>
    <row r="20">
      <c r="A20">
        <f>baseline.txt!A19</f>
        <v/>
      </c>
      <c r="B20">
        <f>baseline.txt!B19</f>
        <v/>
      </c>
      <c r="C20">
        <f>IF(OR(baseline.txt!D19 = 0,baseline.txt!D19=-1),"",baseline.txt!D19 / baseline.txt!D19)</f>
        <v/>
      </c>
      <c r="D20">
        <f>IF(OR(baseline.txt!H19 = 0,baseline.txt!H19=-1),"",baseline.txt!H19 / baseline.txt!H19)</f>
        <v/>
      </c>
      <c r="E20">
        <f>IF(OR(baseline.txt!J19 = 0,baseline.txt!J19=-1),"",baseline.txt!J19 / baseline.txt!J19)</f>
        <v/>
      </c>
      <c r="F20">
        <f>IF(OR(baseline.txt!L19 = 0,baseline.txt!L19=-1),"",baseline.txt!L19 / baseline.txt!L19)</f>
        <v/>
      </c>
      <c r="G20">
        <f>IF(OR(baseline.txt!M19 = 0,baseline.txt!M19=-1),"",baseline.txt!M19 / baseline.txt!M19)</f>
        <v/>
      </c>
      <c r="H20">
        <f>IF(OR(baseline.txt!S19 = 0,baseline.txt!S19=-1),"",baseline.txt!S19 / baseline.txt!S19)</f>
        <v/>
      </c>
      <c r="I20">
        <f>IF(OR(baseline.txt!U19 = 0,baseline.txt!U19=-1),"",baseline.txt!U19 / baseline.txt!U19)</f>
        <v/>
      </c>
      <c r="J20">
        <f>IF(OR(baseline.txt!V19 = 0,baseline.txt!V19=-1),"",baseline.txt!V19 / baseline.txt!V19)</f>
        <v/>
      </c>
      <c r="K20">
        <f>IF(OR(baseline.txt!AD19 = 0,baseline.txt!AD19=-1),"",baseline.txt!AD19 / baseline.txt!AD19)</f>
        <v/>
      </c>
      <c r="L20">
        <f>IF(OR(baseline.txt!AH19 = 0,baseline.txt!AH19=-1),"",baseline.txt!AH19 / baseline.txt!AH19)</f>
        <v/>
      </c>
      <c r="M20">
        <f>IF(OR(baseline.txt!AK19 = 0,baseline.txt!AK19=-1),"",baseline.txt!AK19 / baseline.txt!AK19)</f>
        <v/>
      </c>
      <c r="N20">
        <f>IF(OR(baseline.txt!AN19 = 0,baseline.txt!AN19=-1),"",baseline.txt!AN19 / baseline.txt!AN19)</f>
        <v/>
      </c>
      <c r="O20">
        <f>IF(OR(baseline.txt!AR19 = 0,baseline.txt!AR19=-1),"",baseline.txt!AR19 / baseline.txt!AR19)</f>
        <v/>
      </c>
      <c r="P20">
        <f>IF(OR(baseline.txt!AT19 = 0,baseline.txt!AT19=-1),"",baseline.txt!AT19 / baseline.txt!AT19)</f>
        <v/>
      </c>
      <c r="Q20">
        <f>IF(OR(baseline.txt!AZ19 = 0,baseline.txt!AZ19=-1),"",baseline.txt!AZ19 / baseline.txt!AZ19)</f>
        <v/>
      </c>
      <c r="R20">
        <f>IF(OR(baseline.txt!BC19 = 0,baseline.txt!BC19=-1),"",baseline.txt!BC19 / baseline.txt!BC19)</f>
        <v/>
      </c>
      <c r="S20">
        <f>IF(OR(baseline.txt!BP19 = 0,baseline.txt!BP19=-1),"",baseline.txt!BP19 / baseline.txt!BP19)</f>
        <v/>
      </c>
      <c r="T20">
        <f>IF(OR(baseline.txt!CF19 = 0,baseline.txt!CF19=-1),"",baseline.txt!CF19 / baseline.txt!CF19)</f>
        <v/>
      </c>
      <c r="U20">
        <f>IF(OR(baseline.txt!CG19 = 0,baseline.txt!CG19=-1),"",baseline.txt!CG19 / baseline.txt!CG19)</f>
        <v/>
      </c>
      <c r="V20">
        <f>IF(OR(baseline.txt!CP19 = 0,baseline.txt!CP19=-1),"",baseline.txt!CP19 / baseline.txt!CP19)</f>
        <v/>
      </c>
    </row>
    <row r="21">
      <c r="A21">
        <f>baseline.txt!A20</f>
        <v/>
      </c>
      <c r="B21">
        <f>baseline.txt!B20</f>
        <v/>
      </c>
      <c r="C21">
        <f>IF(OR(baseline.txt!D20 = 0,baseline.txt!D20=-1),"",baseline.txt!D20 / baseline.txt!D20)</f>
        <v/>
      </c>
      <c r="D21">
        <f>IF(OR(baseline.txt!H20 = 0,baseline.txt!H20=-1),"",baseline.txt!H20 / baseline.txt!H20)</f>
        <v/>
      </c>
      <c r="E21">
        <f>IF(OR(baseline.txt!J20 = 0,baseline.txt!J20=-1),"",baseline.txt!J20 / baseline.txt!J20)</f>
        <v/>
      </c>
      <c r="F21">
        <f>IF(OR(baseline.txt!L20 = 0,baseline.txt!L20=-1),"",baseline.txt!L20 / baseline.txt!L20)</f>
        <v/>
      </c>
      <c r="G21">
        <f>IF(OR(baseline.txt!M20 = 0,baseline.txt!M20=-1),"",baseline.txt!M20 / baseline.txt!M20)</f>
        <v/>
      </c>
      <c r="H21">
        <f>IF(OR(baseline.txt!S20 = 0,baseline.txt!S20=-1),"",baseline.txt!S20 / baseline.txt!S20)</f>
        <v/>
      </c>
      <c r="I21">
        <f>IF(OR(baseline.txt!U20 = 0,baseline.txt!U20=-1),"",baseline.txt!U20 / baseline.txt!U20)</f>
        <v/>
      </c>
      <c r="J21">
        <f>IF(OR(baseline.txt!V20 = 0,baseline.txt!V20=-1),"",baseline.txt!V20 / baseline.txt!V20)</f>
        <v/>
      </c>
      <c r="K21">
        <f>IF(OR(baseline.txt!AD20 = 0,baseline.txt!AD20=-1),"",baseline.txt!AD20 / baseline.txt!AD20)</f>
        <v/>
      </c>
      <c r="L21">
        <f>IF(OR(baseline.txt!AH20 = 0,baseline.txt!AH20=-1),"",baseline.txt!AH20 / baseline.txt!AH20)</f>
        <v/>
      </c>
      <c r="M21">
        <f>IF(OR(baseline.txt!AK20 = 0,baseline.txt!AK20=-1),"",baseline.txt!AK20 / baseline.txt!AK20)</f>
        <v/>
      </c>
      <c r="N21">
        <f>IF(OR(baseline.txt!AN20 = 0,baseline.txt!AN20=-1),"",baseline.txt!AN20 / baseline.txt!AN20)</f>
        <v/>
      </c>
      <c r="O21">
        <f>IF(OR(baseline.txt!AR20 = 0,baseline.txt!AR20=-1),"",baseline.txt!AR20 / baseline.txt!AR20)</f>
        <v/>
      </c>
      <c r="P21">
        <f>IF(OR(baseline.txt!AT20 = 0,baseline.txt!AT20=-1),"",baseline.txt!AT20 / baseline.txt!AT20)</f>
        <v/>
      </c>
      <c r="Q21">
        <f>IF(OR(baseline.txt!AZ20 = 0,baseline.txt!AZ20=-1),"",baseline.txt!AZ20 / baseline.txt!AZ20)</f>
        <v/>
      </c>
      <c r="R21">
        <f>IF(OR(baseline.txt!BC20 = 0,baseline.txt!BC20=-1),"",baseline.txt!BC20 / baseline.txt!BC20)</f>
        <v/>
      </c>
      <c r="S21">
        <f>IF(OR(baseline.txt!BP20 = 0,baseline.txt!BP20=-1),"",baseline.txt!BP20 / baseline.txt!BP20)</f>
        <v/>
      </c>
      <c r="T21">
        <f>IF(OR(baseline.txt!CF20 = 0,baseline.txt!CF20=-1),"",baseline.txt!CF20 / baseline.txt!CF20)</f>
        <v/>
      </c>
      <c r="U21">
        <f>IF(OR(baseline.txt!CG20 = 0,baseline.txt!CG20=-1),"",baseline.txt!CG20 / baseline.txt!CG20)</f>
        <v/>
      </c>
      <c r="V21">
        <f>IF(OR(baseline.txt!CP20 = 0,baseline.txt!CP20=-1),"",baseline.txt!CP20 / baseline.txt!CP20)</f>
        <v/>
      </c>
    </row>
    <row r="22">
      <c r="B22" t="inlineStr">
        <is>
          <t>GEOMEAN</t>
        </is>
      </c>
      <c r="C22">
        <f>GEOMEAN(C3:C21)</f>
        <v/>
      </c>
      <c r="D22">
        <f>GEOMEAN(D3:D21)</f>
        <v/>
      </c>
      <c r="E22">
        <f>GEOMEAN(E3:E21)</f>
        <v/>
      </c>
      <c r="F22">
        <f>GEOMEAN(F3:F21)</f>
        <v/>
      </c>
      <c r="G22">
        <f>GEOMEAN(G3:G21)</f>
        <v/>
      </c>
      <c r="H22">
        <f>GEOMEAN(H3:H21)</f>
        <v/>
      </c>
      <c r="I22">
        <f>GEOMEAN(I3:I21)</f>
        <v/>
      </c>
      <c r="J22">
        <f>GEOMEAN(J3:J21)</f>
        <v/>
      </c>
      <c r="K22">
        <f>GEOMEAN(K3:K21)</f>
        <v/>
      </c>
      <c r="L22">
        <f>GEOMEAN(L3:L21)</f>
        <v/>
      </c>
      <c r="M22">
        <f>GEOMEAN(M3:M21)</f>
        <v/>
      </c>
      <c r="N22">
        <f>GEOMEAN(N3:N21)</f>
        <v/>
      </c>
      <c r="O22">
        <f>GEOMEAN(O3:O21)</f>
        <v/>
      </c>
      <c r="P22">
        <f>GEOMEAN(P3:P21)</f>
        <v/>
      </c>
      <c r="Q22">
        <f>GEOMEAN(Q3:Q21)</f>
        <v/>
      </c>
      <c r="R22">
        <f>GEOMEAN(R3:R21)</f>
        <v/>
      </c>
      <c r="S22">
        <f>GEOMEAN(S3:S21)</f>
        <v/>
      </c>
      <c r="T22">
        <f>GEOMEAN(T3:T21)</f>
        <v/>
      </c>
      <c r="U22">
        <f>GEOMEAN(U3:U21)</f>
        <v/>
      </c>
      <c r="V22">
        <f>GEOMEAN(V3:V21)</f>
        <v/>
      </c>
    </row>
    <row r="24">
      <c r="A24" t="inlineStr">
        <is>
          <t>inter_pl_update.txt</t>
        </is>
      </c>
    </row>
    <row r="25">
      <c r="A25">
        <f>baseline.txt!A1</f>
        <v/>
      </c>
      <c r="B25">
        <f>baseline.txt!B1</f>
        <v/>
      </c>
      <c r="C25">
        <f>baseline.txt!D1</f>
        <v/>
      </c>
      <c r="D25">
        <f>baseline.txt!H1</f>
        <v/>
      </c>
      <c r="E25">
        <f>baseline.txt!J1</f>
        <v/>
      </c>
      <c r="F25">
        <f>baseline.txt!L1</f>
        <v/>
      </c>
      <c r="G25">
        <f>baseline.txt!M1</f>
        <v/>
      </c>
      <c r="H25">
        <f>baseline.txt!S1</f>
        <v/>
      </c>
      <c r="I25">
        <f>baseline.txt!U1</f>
        <v/>
      </c>
      <c r="J25">
        <f>baseline.txt!V1</f>
        <v/>
      </c>
      <c r="K25">
        <f>baseline.txt!AD1</f>
        <v/>
      </c>
      <c r="L25">
        <f>baseline.txt!AH1</f>
        <v/>
      </c>
      <c r="M25">
        <f>baseline.txt!AK1</f>
        <v/>
      </c>
      <c r="N25">
        <f>baseline.txt!AN1</f>
        <v/>
      </c>
      <c r="O25">
        <f>baseline.txt!AR1</f>
        <v/>
      </c>
      <c r="P25">
        <f>baseline.txt!AT1</f>
        <v/>
      </c>
      <c r="Q25">
        <f>baseline.txt!AZ1</f>
        <v/>
      </c>
      <c r="R25">
        <f>baseline.txt!BC1</f>
        <v/>
      </c>
      <c r="S25">
        <f>baseline.txt!BP1</f>
        <v/>
      </c>
      <c r="T25">
        <f>baseline.txt!CF1</f>
        <v/>
      </c>
      <c r="U25">
        <f>baseline.txt!CG1</f>
        <v/>
      </c>
      <c r="V25">
        <f>baseline.txt!CP1</f>
        <v/>
      </c>
    </row>
    <row r="26">
      <c r="A26">
        <f>baseline.txt!A2</f>
        <v/>
      </c>
      <c r="B26">
        <f>baseline.txt!B2</f>
        <v/>
      </c>
      <c r="C26">
        <f>IF(OR(baseline.txt!D2 = 0,baseline.txt!D2=-1),"",inter_pl_update.txt!D2 / baseline.txt!D2)</f>
        <v/>
      </c>
      <c r="D26">
        <f>IF(OR(baseline.txt!H2 = 0,baseline.txt!H2=-1),"",inter_pl_update.txt!H2 / baseline.txt!H2)</f>
        <v/>
      </c>
      <c r="E26">
        <f>IF(OR(baseline.txt!J2 = 0,baseline.txt!J2=-1),"",inter_pl_update.txt!J2 / baseline.txt!J2)</f>
        <v/>
      </c>
      <c r="F26">
        <f>IF(OR(baseline.txt!L2 = 0,baseline.txt!L2=-1),"",inter_pl_update.txt!L2 / baseline.txt!L2)</f>
        <v/>
      </c>
      <c r="G26">
        <f>IF(OR(baseline.txt!M2 = 0,baseline.txt!M2=-1),"",inter_pl_update.txt!M2 / baseline.txt!M2)</f>
        <v/>
      </c>
      <c r="H26">
        <f>IF(OR(baseline.txt!S2 = 0,baseline.txt!S2=-1),"",inter_pl_update.txt!S2 / baseline.txt!S2)</f>
        <v/>
      </c>
      <c r="I26">
        <f>IF(OR(baseline.txt!U2 = 0,baseline.txt!U2=-1),"",inter_pl_update.txt!U2 / baseline.txt!U2)</f>
        <v/>
      </c>
      <c r="J26">
        <f>IF(OR(baseline.txt!V2 = 0,baseline.txt!V2=-1),"",inter_pl_update.txt!V2 / baseline.txt!V2)</f>
        <v/>
      </c>
      <c r="K26">
        <f>IF(OR(baseline.txt!AD2 = 0,baseline.txt!AD2=-1),"",inter_pl_update.txt!AD2 / baseline.txt!AD2)</f>
        <v/>
      </c>
      <c r="L26">
        <f>IF(OR(baseline.txt!AH2 = 0,baseline.txt!AH2=-1),"",inter_pl_update.txt!AH2 / baseline.txt!AH2)</f>
        <v/>
      </c>
      <c r="M26">
        <f>IF(OR(baseline.txt!AK2 = 0,baseline.txt!AK2=-1),"",inter_pl_update.txt!AK2 / baseline.txt!AK2)</f>
        <v/>
      </c>
      <c r="N26">
        <f>IF(OR(baseline.txt!AN2 = 0,baseline.txt!AN2=-1),"",inter_pl_update.txt!AN2 / baseline.txt!AN2)</f>
        <v/>
      </c>
      <c r="O26">
        <f>IF(OR(baseline.txt!AR2 = 0,baseline.txt!AR2=-1),"",inter_pl_update.txt!AR2 / baseline.txt!AR2)</f>
        <v/>
      </c>
      <c r="P26">
        <f>IF(OR(baseline.txt!AT2 = 0,baseline.txt!AT2=-1),"",inter_pl_update.txt!AT2 / baseline.txt!AT2)</f>
        <v/>
      </c>
      <c r="Q26">
        <f>IF(OR(baseline.txt!AZ2 = 0,baseline.txt!AZ2=-1),"",inter_pl_update.txt!AZ2 / baseline.txt!AZ2)</f>
        <v/>
      </c>
      <c r="R26">
        <f>IF(OR(baseline.txt!BC2 = 0,baseline.txt!BC2=-1),"",inter_pl_update.txt!BC2 / baseline.txt!BC2)</f>
        <v/>
      </c>
      <c r="S26">
        <f>IF(OR(baseline.txt!BP2 = 0,baseline.txt!BP2=-1),"",inter_pl_update.txt!BP2 / baseline.txt!BP2)</f>
        <v/>
      </c>
      <c r="T26">
        <f>IF(OR(baseline.txt!CF2 = 0,baseline.txt!CF2=-1),"",inter_pl_update.txt!CF2 / baseline.txt!CF2)</f>
        <v/>
      </c>
      <c r="U26">
        <f>IF(OR(baseline.txt!CG2 = 0,baseline.txt!CG2=-1),"",inter_pl_update.txt!CG2 / baseline.txt!CG2)</f>
        <v/>
      </c>
      <c r="V26">
        <f>IF(OR(baseline.txt!CP2 = 0,baseline.txt!CP2=-1),"",inter_pl_update.txt!CP2 / baseline.txt!CP2)</f>
        <v/>
      </c>
    </row>
    <row r="27">
      <c r="A27">
        <f>baseline.txt!A3</f>
        <v/>
      </c>
      <c r="B27">
        <f>baseline.txt!B3</f>
        <v/>
      </c>
      <c r="C27">
        <f>IF(OR(baseline.txt!D3 = 0,baseline.txt!D3=-1),"",inter_pl_update.txt!D3 / baseline.txt!D3)</f>
        <v/>
      </c>
      <c r="D27">
        <f>IF(OR(baseline.txt!H3 = 0,baseline.txt!H3=-1),"",inter_pl_update.txt!H3 / baseline.txt!H3)</f>
        <v/>
      </c>
      <c r="E27">
        <f>IF(OR(baseline.txt!J3 = 0,baseline.txt!J3=-1),"",inter_pl_update.txt!J3 / baseline.txt!J3)</f>
        <v/>
      </c>
      <c r="F27">
        <f>IF(OR(baseline.txt!L3 = 0,baseline.txt!L3=-1),"",inter_pl_update.txt!L3 / baseline.txt!L3)</f>
        <v/>
      </c>
      <c r="G27">
        <f>IF(OR(baseline.txt!M3 = 0,baseline.txt!M3=-1),"",inter_pl_update.txt!M3 / baseline.txt!M3)</f>
        <v/>
      </c>
      <c r="H27">
        <f>IF(OR(baseline.txt!S3 = 0,baseline.txt!S3=-1),"",inter_pl_update.txt!S3 / baseline.txt!S3)</f>
        <v/>
      </c>
      <c r="I27">
        <f>IF(OR(baseline.txt!U3 = 0,baseline.txt!U3=-1),"",inter_pl_update.txt!U3 / baseline.txt!U3)</f>
        <v/>
      </c>
      <c r="J27">
        <f>IF(OR(baseline.txt!V3 = 0,baseline.txt!V3=-1),"",inter_pl_update.txt!V3 / baseline.txt!V3)</f>
        <v/>
      </c>
      <c r="K27">
        <f>IF(OR(baseline.txt!AD3 = 0,baseline.txt!AD3=-1),"",inter_pl_update.txt!AD3 / baseline.txt!AD3)</f>
        <v/>
      </c>
      <c r="L27">
        <f>IF(OR(baseline.txt!AH3 = 0,baseline.txt!AH3=-1),"",inter_pl_update.txt!AH3 / baseline.txt!AH3)</f>
        <v/>
      </c>
      <c r="M27">
        <f>IF(OR(baseline.txt!AK3 = 0,baseline.txt!AK3=-1),"",inter_pl_update.txt!AK3 / baseline.txt!AK3)</f>
        <v/>
      </c>
      <c r="N27">
        <f>IF(OR(baseline.txt!AN3 = 0,baseline.txt!AN3=-1),"",inter_pl_update.txt!AN3 / baseline.txt!AN3)</f>
        <v/>
      </c>
      <c r="O27">
        <f>IF(OR(baseline.txt!AR3 = 0,baseline.txt!AR3=-1),"",inter_pl_update.txt!AR3 / baseline.txt!AR3)</f>
        <v/>
      </c>
      <c r="P27">
        <f>IF(OR(baseline.txt!AT3 = 0,baseline.txt!AT3=-1),"",inter_pl_update.txt!AT3 / baseline.txt!AT3)</f>
        <v/>
      </c>
      <c r="Q27">
        <f>IF(OR(baseline.txt!AZ3 = 0,baseline.txt!AZ3=-1),"",inter_pl_update.txt!AZ3 / baseline.txt!AZ3)</f>
        <v/>
      </c>
      <c r="R27">
        <f>IF(OR(baseline.txt!BC3 = 0,baseline.txt!BC3=-1),"",inter_pl_update.txt!BC3 / baseline.txt!BC3)</f>
        <v/>
      </c>
      <c r="S27">
        <f>IF(OR(baseline.txt!BP3 = 0,baseline.txt!BP3=-1),"",inter_pl_update.txt!BP3 / baseline.txt!BP3)</f>
        <v/>
      </c>
      <c r="T27">
        <f>IF(OR(baseline.txt!CF3 = 0,baseline.txt!CF3=-1),"",inter_pl_update.txt!CF3 / baseline.txt!CF3)</f>
        <v/>
      </c>
      <c r="U27">
        <f>IF(OR(baseline.txt!CG3 = 0,baseline.txt!CG3=-1),"",inter_pl_update.txt!CG3 / baseline.txt!CG3)</f>
        <v/>
      </c>
      <c r="V27">
        <f>IF(OR(baseline.txt!CP3 = 0,baseline.txt!CP3=-1),"",inter_pl_update.txt!CP3 / baseline.txt!CP3)</f>
        <v/>
      </c>
    </row>
    <row r="28">
      <c r="A28">
        <f>baseline.txt!A4</f>
        <v/>
      </c>
      <c r="B28">
        <f>baseline.txt!B4</f>
        <v/>
      </c>
      <c r="C28">
        <f>IF(OR(baseline.txt!D4 = 0,baseline.txt!D4=-1),"",inter_pl_update.txt!D4 / baseline.txt!D4)</f>
        <v/>
      </c>
      <c r="D28">
        <f>IF(OR(baseline.txt!H4 = 0,baseline.txt!H4=-1),"",inter_pl_update.txt!H4 / baseline.txt!H4)</f>
        <v/>
      </c>
      <c r="E28">
        <f>IF(OR(baseline.txt!J4 = 0,baseline.txt!J4=-1),"",inter_pl_update.txt!J4 / baseline.txt!J4)</f>
        <v/>
      </c>
      <c r="F28">
        <f>IF(OR(baseline.txt!L4 = 0,baseline.txt!L4=-1),"",inter_pl_update.txt!L4 / baseline.txt!L4)</f>
        <v/>
      </c>
      <c r="G28">
        <f>IF(OR(baseline.txt!M4 = 0,baseline.txt!M4=-1),"",inter_pl_update.txt!M4 / baseline.txt!M4)</f>
        <v/>
      </c>
      <c r="H28">
        <f>IF(OR(baseline.txt!S4 = 0,baseline.txt!S4=-1),"",inter_pl_update.txt!S4 / baseline.txt!S4)</f>
        <v/>
      </c>
      <c r="I28">
        <f>IF(OR(baseline.txt!U4 = 0,baseline.txt!U4=-1),"",inter_pl_update.txt!U4 / baseline.txt!U4)</f>
        <v/>
      </c>
      <c r="J28">
        <f>IF(OR(baseline.txt!V4 = 0,baseline.txt!V4=-1),"",inter_pl_update.txt!V4 / baseline.txt!V4)</f>
        <v/>
      </c>
      <c r="K28">
        <f>IF(OR(baseline.txt!AD4 = 0,baseline.txt!AD4=-1),"",inter_pl_update.txt!AD4 / baseline.txt!AD4)</f>
        <v/>
      </c>
      <c r="L28">
        <f>IF(OR(baseline.txt!AH4 = 0,baseline.txt!AH4=-1),"",inter_pl_update.txt!AH4 / baseline.txt!AH4)</f>
        <v/>
      </c>
      <c r="M28">
        <f>IF(OR(baseline.txt!AK4 = 0,baseline.txt!AK4=-1),"",inter_pl_update.txt!AK4 / baseline.txt!AK4)</f>
        <v/>
      </c>
      <c r="N28">
        <f>IF(OR(baseline.txt!AN4 = 0,baseline.txt!AN4=-1),"",inter_pl_update.txt!AN4 / baseline.txt!AN4)</f>
        <v/>
      </c>
      <c r="O28">
        <f>IF(OR(baseline.txt!AR4 = 0,baseline.txt!AR4=-1),"",inter_pl_update.txt!AR4 / baseline.txt!AR4)</f>
        <v/>
      </c>
      <c r="P28">
        <f>IF(OR(baseline.txt!AT4 = 0,baseline.txt!AT4=-1),"",inter_pl_update.txt!AT4 / baseline.txt!AT4)</f>
        <v/>
      </c>
      <c r="Q28">
        <f>IF(OR(baseline.txt!AZ4 = 0,baseline.txt!AZ4=-1),"",inter_pl_update.txt!AZ4 / baseline.txt!AZ4)</f>
        <v/>
      </c>
      <c r="R28">
        <f>IF(OR(baseline.txt!BC4 = 0,baseline.txt!BC4=-1),"",inter_pl_update.txt!BC4 / baseline.txt!BC4)</f>
        <v/>
      </c>
      <c r="S28">
        <f>IF(OR(baseline.txt!BP4 = 0,baseline.txt!BP4=-1),"",inter_pl_update.txt!BP4 / baseline.txt!BP4)</f>
        <v/>
      </c>
      <c r="T28">
        <f>IF(OR(baseline.txt!CF4 = 0,baseline.txt!CF4=-1),"",inter_pl_update.txt!CF4 / baseline.txt!CF4)</f>
        <v/>
      </c>
      <c r="U28">
        <f>IF(OR(baseline.txt!CG4 = 0,baseline.txt!CG4=-1),"",inter_pl_update.txt!CG4 / baseline.txt!CG4)</f>
        <v/>
      </c>
      <c r="V28">
        <f>IF(OR(baseline.txt!CP4 = 0,baseline.txt!CP4=-1),"",inter_pl_update.txt!CP4 / baseline.txt!CP4)</f>
        <v/>
      </c>
    </row>
    <row r="29">
      <c r="A29">
        <f>baseline.txt!A5</f>
        <v/>
      </c>
      <c r="B29">
        <f>baseline.txt!B5</f>
        <v/>
      </c>
      <c r="C29">
        <f>IF(OR(baseline.txt!D5 = 0,baseline.txt!D5=-1),"",inter_pl_update.txt!D5 / baseline.txt!D5)</f>
        <v/>
      </c>
      <c r="D29">
        <f>IF(OR(baseline.txt!H5 = 0,baseline.txt!H5=-1),"",inter_pl_update.txt!H5 / baseline.txt!H5)</f>
        <v/>
      </c>
      <c r="E29">
        <f>IF(OR(baseline.txt!J5 = 0,baseline.txt!J5=-1),"",inter_pl_update.txt!J5 / baseline.txt!J5)</f>
        <v/>
      </c>
      <c r="F29">
        <f>IF(OR(baseline.txt!L5 = 0,baseline.txt!L5=-1),"",inter_pl_update.txt!L5 / baseline.txt!L5)</f>
        <v/>
      </c>
      <c r="G29">
        <f>IF(OR(baseline.txt!M5 = 0,baseline.txt!M5=-1),"",inter_pl_update.txt!M5 / baseline.txt!M5)</f>
        <v/>
      </c>
      <c r="H29">
        <f>IF(OR(baseline.txt!S5 = 0,baseline.txt!S5=-1),"",inter_pl_update.txt!S5 / baseline.txt!S5)</f>
        <v/>
      </c>
      <c r="I29">
        <f>IF(OR(baseline.txt!U5 = 0,baseline.txt!U5=-1),"",inter_pl_update.txt!U5 / baseline.txt!U5)</f>
        <v/>
      </c>
      <c r="J29">
        <f>IF(OR(baseline.txt!V5 = 0,baseline.txt!V5=-1),"",inter_pl_update.txt!V5 / baseline.txt!V5)</f>
        <v/>
      </c>
      <c r="K29">
        <f>IF(OR(baseline.txt!AD5 = 0,baseline.txt!AD5=-1),"",inter_pl_update.txt!AD5 / baseline.txt!AD5)</f>
        <v/>
      </c>
      <c r="L29">
        <f>IF(OR(baseline.txt!AH5 = 0,baseline.txt!AH5=-1),"",inter_pl_update.txt!AH5 / baseline.txt!AH5)</f>
        <v/>
      </c>
      <c r="M29">
        <f>IF(OR(baseline.txt!AK5 = 0,baseline.txt!AK5=-1),"",inter_pl_update.txt!AK5 / baseline.txt!AK5)</f>
        <v/>
      </c>
      <c r="N29">
        <f>IF(OR(baseline.txt!AN5 = 0,baseline.txt!AN5=-1),"",inter_pl_update.txt!AN5 / baseline.txt!AN5)</f>
        <v/>
      </c>
      <c r="O29">
        <f>IF(OR(baseline.txt!AR5 = 0,baseline.txt!AR5=-1),"",inter_pl_update.txt!AR5 / baseline.txt!AR5)</f>
        <v/>
      </c>
      <c r="P29">
        <f>IF(OR(baseline.txt!AT5 = 0,baseline.txt!AT5=-1),"",inter_pl_update.txt!AT5 / baseline.txt!AT5)</f>
        <v/>
      </c>
      <c r="Q29">
        <f>IF(OR(baseline.txt!AZ5 = 0,baseline.txt!AZ5=-1),"",inter_pl_update.txt!AZ5 / baseline.txt!AZ5)</f>
        <v/>
      </c>
      <c r="R29">
        <f>IF(OR(baseline.txt!BC5 = 0,baseline.txt!BC5=-1),"",inter_pl_update.txt!BC5 / baseline.txt!BC5)</f>
        <v/>
      </c>
      <c r="S29">
        <f>IF(OR(baseline.txt!BP5 = 0,baseline.txt!BP5=-1),"",inter_pl_update.txt!BP5 / baseline.txt!BP5)</f>
        <v/>
      </c>
      <c r="T29">
        <f>IF(OR(baseline.txt!CF5 = 0,baseline.txt!CF5=-1),"",inter_pl_update.txt!CF5 / baseline.txt!CF5)</f>
        <v/>
      </c>
      <c r="U29">
        <f>IF(OR(baseline.txt!CG5 = 0,baseline.txt!CG5=-1),"",inter_pl_update.txt!CG5 / baseline.txt!CG5)</f>
        <v/>
      </c>
      <c r="V29">
        <f>IF(OR(baseline.txt!CP5 = 0,baseline.txt!CP5=-1),"",inter_pl_update.txt!CP5 / baseline.txt!CP5)</f>
        <v/>
      </c>
    </row>
    <row r="30">
      <c r="A30">
        <f>baseline.txt!A6</f>
        <v/>
      </c>
      <c r="B30">
        <f>baseline.txt!B6</f>
        <v/>
      </c>
      <c r="C30">
        <f>IF(OR(baseline.txt!D6 = 0,baseline.txt!D6=-1),"",inter_pl_update.txt!D6 / baseline.txt!D6)</f>
        <v/>
      </c>
      <c r="D30">
        <f>IF(OR(baseline.txt!H6 = 0,baseline.txt!H6=-1),"",inter_pl_update.txt!H6 / baseline.txt!H6)</f>
        <v/>
      </c>
      <c r="E30">
        <f>IF(OR(baseline.txt!J6 = 0,baseline.txt!J6=-1),"",inter_pl_update.txt!J6 / baseline.txt!J6)</f>
        <v/>
      </c>
      <c r="F30">
        <f>IF(OR(baseline.txt!L6 = 0,baseline.txt!L6=-1),"",inter_pl_update.txt!L6 / baseline.txt!L6)</f>
        <v/>
      </c>
      <c r="G30">
        <f>IF(OR(baseline.txt!M6 = 0,baseline.txt!M6=-1),"",inter_pl_update.txt!M6 / baseline.txt!M6)</f>
        <v/>
      </c>
      <c r="H30">
        <f>IF(OR(baseline.txt!S6 = 0,baseline.txt!S6=-1),"",inter_pl_update.txt!S6 / baseline.txt!S6)</f>
        <v/>
      </c>
      <c r="I30">
        <f>IF(OR(baseline.txt!U6 = 0,baseline.txt!U6=-1),"",inter_pl_update.txt!U6 / baseline.txt!U6)</f>
        <v/>
      </c>
      <c r="J30">
        <f>IF(OR(baseline.txt!V6 = 0,baseline.txt!V6=-1),"",inter_pl_update.txt!V6 / baseline.txt!V6)</f>
        <v/>
      </c>
      <c r="K30">
        <f>IF(OR(baseline.txt!AD6 = 0,baseline.txt!AD6=-1),"",inter_pl_update.txt!AD6 / baseline.txt!AD6)</f>
        <v/>
      </c>
      <c r="L30">
        <f>IF(OR(baseline.txt!AH6 = 0,baseline.txt!AH6=-1),"",inter_pl_update.txt!AH6 / baseline.txt!AH6)</f>
        <v/>
      </c>
      <c r="M30">
        <f>IF(OR(baseline.txt!AK6 = 0,baseline.txt!AK6=-1),"",inter_pl_update.txt!AK6 / baseline.txt!AK6)</f>
        <v/>
      </c>
      <c r="N30">
        <f>IF(OR(baseline.txt!AN6 = 0,baseline.txt!AN6=-1),"",inter_pl_update.txt!AN6 / baseline.txt!AN6)</f>
        <v/>
      </c>
      <c r="O30">
        <f>IF(OR(baseline.txt!AR6 = 0,baseline.txt!AR6=-1),"",inter_pl_update.txt!AR6 / baseline.txt!AR6)</f>
        <v/>
      </c>
      <c r="P30">
        <f>IF(OR(baseline.txt!AT6 = 0,baseline.txt!AT6=-1),"",inter_pl_update.txt!AT6 / baseline.txt!AT6)</f>
        <v/>
      </c>
      <c r="Q30">
        <f>IF(OR(baseline.txt!AZ6 = 0,baseline.txt!AZ6=-1),"",inter_pl_update.txt!AZ6 / baseline.txt!AZ6)</f>
        <v/>
      </c>
      <c r="R30">
        <f>IF(OR(baseline.txt!BC6 = 0,baseline.txt!BC6=-1),"",inter_pl_update.txt!BC6 / baseline.txt!BC6)</f>
        <v/>
      </c>
      <c r="S30">
        <f>IF(OR(baseline.txt!BP6 = 0,baseline.txt!BP6=-1),"",inter_pl_update.txt!BP6 / baseline.txt!BP6)</f>
        <v/>
      </c>
      <c r="T30">
        <f>IF(OR(baseline.txt!CF6 = 0,baseline.txt!CF6=-1),"",inter_pl_update.txt!CF6 / baseline.txt!CF6)</f>
        <v/>
      </c>
      <c r="U30">
        <f>IF(OR(baseline.txt!CG6 = 0,baseline.txt!CG6=-1),"",inter_pl_update.txt!CG6 / baseline.txt!CG6)</f>
        <v/>
      </c>
      <c r="V30">
        <f>IF(OR(baseline.txt!CP6 = 0,baseline.txt!CP6=-1),"",inter_pl_update.txt!CP6 / baseline.txt!CP6)</f>
        <v/>
      </c>
    </row>
    <row r="31">
      <c r="A31">
        <f>baseline.txt!A7</f>
        <v/>
      </c>
      <c r="B31">
        <f>baseline.txt!B7</f>
        <v/>
      </c>
      <c r="C31">
        <f>IF(OR(baseline.txt!D7 = 0,baseline.txt!D7=-1),"",inter_pl_update.txt!D7 / baseline.txt!D7)</f>
        <v/>
      </c>
      <c r="D31">
        <f>IF(OR(baseline.txt!H7 = 0,baseline.txt!H7=-1),"",inter_pl_update.txt!H7 / baseline.txt!H7)</f>
        <v/>
      </c>
      <c r="E31">
        <f>IF(OR(baseline.txt!J7 = 0,baseline.txt!J7=-1),"",inter_pl_update.txt!J7 / baseline.txt!J7)</f>
        <v/>
      </c>
      <c r="F31">
        <f>IF(OR(baseline.txt!L7 = 0,baseline.txt!L7=-1),"",inter_pl_update.txt!L7 / baseline.txt!L7)</f>
        <v/>
      </c>
      <c r="G31">
        <f>IF(OR(baseline.txt!M7 = 0,baseline.txt!M7=-1),"",inter_pl_update.txt!M7 / baseline.txt!M7)</f>
        <v/>
      </c>
      <c r="H31">
        <f>IF(OR(baseline.txt!S7 = 0,baseline.txt!S7=-1),"",inter_pl_update.txt!S7 / baseline.txt!S7)</f>
        <v/>
      </c>
      <c r="I31">
        <f>IF(OR(baseline.txt!U7 = 0,baseline.txt!U7=-1),"",inter_pl_update.txt!U7 / baseline.txt!U7)</f>
        <v/>
      </c>
      <c r="J31">
        <f>IF(OR(baseline.txt!V7 = 0,baseline.txt!V7=-1),"",inter_pl_update.txt!V7 / baseline.txt!V7)</f>
        <v/>
      </c>
      <c r="K31">
        <f>IF(OR(baseline.txt!AD7 = 0,baseline.txt!AD7=-1),"",inter_pl_update.txt!AD7 / baseline.txt!AD7)</f>
        <v/>
      </c>
      <c r="L31">
        <f>IF(OR(baseline.txt!AH7 = 0,baseline.txt!AH7=-1),"",inter_pl_update.txt!AH7 / baseline.txt!AH7)</f>
        <v/>
      </c>
      <c r="M31">
        <f>IF(OR(baseline.txt!AK7 = 0,baseline.txt!AK7=-1),"",inter_pl_update.txt!AK7 / baseline.txt!AK7)</f>
        <v/>
      </c>
      <c r="N31">
        <f>IF(OR(baseline.txt!AN7 = 0,baseline.txt!AN7=-1),"",inter_pl_update.txt!AN7 / baseline.txt!AN7)</f>
        <v/>
      </c>
      <c r="O31">
        <f>IF(OR(baseline.txt!AR7 = 0,baseline.txt!AR7=-1),"",inter_pl_update.txt!AR7 / baseline.txt!AR7)</f>
        <v/>
      </c>
      <c r="P31">
        <f>IF(OR(baseline.txt!AT7 = 0,baseline.txt!AT7=-1),"",inter_pl_update.txt!AT7 / baseline.txt!AT7)</f>
        <v/>
      </c>
      <c r="Q31">
        <f>IF(OR(baseline.txt!AZ7 = 0,baseline.txt!AZ7=-1),"",inter_pl_update.txt!AZ7 / baseline.txt!AZ7)</f>
        <v/>
      </c>
      <c r="R31">
        <f>IF(OR(baseline.txt!BC7 = 0,baseline.txt!BC7=-1),"",inter_pl_update.txt!BC7 / baseline.txt!BC7)</f>
        <v/>
      </c>
      <c r="S31">
        <f>IF(OR(baseline.txt!BP7 = 0,baseline.txt!BP7=-1),"",inter_pl_update.txt!BP7 / baseline.txt!BP7)</f>
        <v/>
      </c>
      <c r="T31">
        <f>IF(OR(baseline.txt!CF7 = 0,baseline.txt!CF7=-1),"",inter_pl_update.txt!CF7 / baseline.txt!CF7)</f>
        <v/>
      </c>
      <c r="U31">
        <f>IF(OR(baseline.txt!CG7 = 0,baseline.txt!CG7=-1),"",inter_pl_update.txt!CG7 / baseline.txt!CG7)</f>
        <v/>
      </c>
      <c r="V31">
        <f>IF(OR(baseline.txt!CP7 = 0,baseline.txt!CP7=-1),"",inter_pl_update.txt!CP7 / baseline.txt!CP7)</f>
        <v/>
      </c>
    </row>
    <row r="32">
      <c r="A32">
        <f>baseline.txt!A8</f>
        <v/>
      </c>
      <c r="B32">
        <f>baseline.txt!B8</f>
        <v/>
      </c>
      <c r="C32">
        <f>IF(OR(baseline.txt!D8 = 0,baseline.txt!D8=-1),"",inter_pl_update.txt!D8 / baseline.txt!D8)</f>
        <v/>
      </c>
      <c r="D32">
        <f>IF(OR(baseline.txt!H8 = 0,baseline.txt!H8=-1),"",inter_pl_update.txt!H8 / baseline.txt!H8)</f>
        <v/>
      </c>
      <c r="E32">
        <f>IF(OR(baseline.txt!J8 = 0,baseline.txt!J8=-1),"",inter_pl_update.txt!J8 / baseline.txt!J8)</f>
        <v/>
      </c>
      <c r="F32">
        <f>IF(OR(baseline.txt!L8 = 0,baseline.txt!L8=-1),"",inter_pl_update.txt!L8 / baseline.txt!L8)</f>
        <v/>
      </c>
      <c r="G32">
        <f>IF(OR(baseline.txt!M8 = 0,baseline.txt!M8=-1),"",inter_pl_update.txt!M8 / baseline.txt!M8)</f>
        <v/>
      </c>
      <c r="H32">
        <f>IF(OR(baseline.txt!S8 = 0,baseline.txt!S8=-1),"",inter_pl_update.txt!S8 / baseline.txt!S8)</f>
        <v/>
      </c>
      <c r="I32">
        <f>IF(OR(baseline.txt!U8 = 0,baseline.txt!U8=-1),"",inter_pl_update.txt!U8 / baseline.txt!U8)</f>
        <v/>
      </c>
      <c r="J32">
        <f>IF(OR(baseline.txt!V8 = 0,baseline.txt!V8=-1),"",inter_pl_update.txt!V8 / baseline.txt!V8)</f>
        <v/>
      </c>
      <c r="K32">
        <f>IF(OR(baseline.txt!AD8 = 0,baseline.txt!AD8=-1),"",inter_pl_update.txt!AD8 / baseline.txt!AD8)</f>
        <v/>
      </c>
      <c r="L32">
        <f>IF(OR(baseline.txt!AH8 = 0,baseline.txt!AH8=-1),"",inter_pl_update.txt!AH8 / baseline.txt!AH8)</f>
        <v/>
      </c>
      <c r="M32">
        <f>IF(OR(baseline.txt!AK8 = 0,baseline.txt!AK8=-1),"",inter_pl_update.txt!AK8 / baseline.txt!AK8)</f>
        <v/>
      </c>
      <c r="N32">
        <f>IF(OR(baseline.txt!AN8 = 0,baseline.txt!AN8=-1),"",inter_pl_update.txt!AN8 / baseline.txt!AN8)</f>
        <v/>
      </c>
      <c r="O32">
        <f>IF(OR(baseline.txt!AR8 = 0,baseline.txt!AR8=-1),"",inter_pl_update.txt!AR8 / baseline.txt!AR8)</f>
        <v/>
      </c>
      <c r="P32">
        <f>IF(OR(baseline.txt!AT8 = 0,baseline.txt!AT8=-1),"",inter_pl_update.txt!AT8 / baseline.txt!AT8)</f>
        <v/>
      </c>
      <c r="Q32">
        <f>IF(OR(baseline.txt!AZ8 = 0,baseline.txt!AZ8=-1),"",inter_pl_update.txt!AZ8 / baseline.txt!AZ8)</f>
        <v/>
      </c>
      <c r="R32">
        <f>IF(OR(baseline.txt!BC8 = 0,baseline.txt!BC8=-1),"",inter_pl_update.txt!BC8 / baseline.txt!BC8)</f>
        <v/>
      </c>
      <c r="S32">
        <f>IF(OR(baseline.txt!BP8 = 0,baseline.txt!BP8=-1),"",inter_pl_update.txt!BP8 / baseline.txt!BP8)</f>
        <v/>
      </c>
      <c r="T32">
        <f>IF(OR(baseline.txt!CF8 = 0,baseline.txt!CF8=-1),"",inter_pl_update.txt!CF8 / baseline.txt!CF8)</f>
        <v/>
      </c>
      <c r="U32">
        <f>IF(OR(baseline.txt!CG8 = 0,baseline.txt!CG8=-1),"",inter_pl_update.txt!CG8 / baseline.txt!CG8)</f>
        <v/>
      </c>
      <c r="V32">
        <f>IF(OR(baseline.txt!CP8 = 0,baseline.txt!CP8=-1),"",inter_pl_update.txt!CP8 / baseline.txt!CP8)</f>
        <v/>
      </c>
    </row>
    <row r="33">
      <c r="A33">
        <f>baseline.txt!A9</f>
        <v/>
      </c>
      <c r="B33">
        <f>baseline.txt!B9</f>
        <v/>
      </c>
      <c r="C33">
        <f>IF(OR(baseline.txt!D9 = 0,baseline.txt!D9=-1),"",inter_pl_update.txt!D9 / baseline.txt!D9)</f>
        <v/>
      </c>
      <c r="D33">
        <f>IF(OR(baseline.txt!H9 = 0,baseline.txt!H9=-1),"",inter_pl_update.txt!H9 / baseline.txt!H9)</f>
        <v/>
      </c>
      <c r="E33">
        <f>IF(OR(baseline.txt!J9 = 0,baseline.txt!J9=-1),"",inter_pl_update.txt!J9 / baseline.txt!J9)</f>
        <v/>
      </c>
      <c r="F33">
        <f>IF(OR(baseline.txt!L9 = 0,baseline.txt!L9=-1),"",inter_pl_update.txt!L9 / baseline.txt!L9)</f>
        <v/>
      </c>
      <c r="G33">
        <f>IF(OR(baseline.txt!M9 = 0,baseline.txt!M9=-1),"",inter_pl_update.txt!M9 / baseline.txt!M9)</f>
        <v/>
      </c>
      <c r="H33">
        <f>IF(OR(baseline.txt!S9 = 0,baseline.txt!S9=-1),"",inter_pl_update.txt!S9 / baseline.txt!S9)</f>
        <v/>
      </c>
      <c r="I33">
        <f>IF(OR(baseline.txt!U9 = 0,baseline.txt!U9=-1),"",inter_pl_update.txt!U9 / baseline.txt!U9)</f>
        <v/>
      </c>
      <c r="J33">
        <f>IF(OR(baseline.txt!V9 = 0,baseline.txt!V9=-1),"",inter_pl_update.txt!V9 / baseline.txt!V9)</f>
        <v/>
      </c>
      <c r="K33">
        <f>IF(OR(baseline.txt!AD9 = 0,baseline.txt!AD9=-1),"",inter_pl_update.txt!AD9 / baseline.txt!AD9)</f>
        <v/>
      </c>
      <c r="L33">
        <f>IF(OR(baseline.txt!AH9 = 0,baseline.txt!AH9=-1),"",inter_pl_update.txt!AH9 / baseline.txt!AH9)</f>
        <v/>
      </c>
      <c r="M33">
        <f>IF(OR(baseline.txt!AK9 = 0,baseline.txt!AK9=-1),"",inter_pl_update.txt!AK9 / baseline.txt!AK9)</f>
        <v/>
      </c>
      <c r="N33">
        <f>IF(OR(baseline.txt!AN9 = 0,baseline.txt!AN9=-1),"",inter_pl_update.txt!AN9 / baseline.txt!AN9)</f>
        <v/>
      </c>
      <c r="O33">
        <f>IF(OR(baseline.txt!AR9 = 0,baseline.txt!AR9=-1),"",inter_pl_update.txt!AR9 / baseline.txt!AR9)</f>
        <v/>
      </c>
      <c r="P33">
        <f>IF(OR(baseline.txt!AT9 = 0,baseline.txt!AT9=-1),"",inter_pl_update.txt!AT9 / baseline.txt!AT9)</f>
        <v/>
      </c>
      <c r="Q33">
        <f>IF(OR(baseline.txt!AZ9 = 0,baseline.txt!AZ9=-1),"",inter_pl_update.txt!AZ9 / baseline.txt!AZ9)</f>
        <v/>
      </c>
      <c r="R33">
        <f>IF(OR(baseline.txt!BC9 = 0,baseline.txt!BC9=-1),"",inter_pl_update.txt!BC9 / baseline.txt!BC9)</f>
        <v/>
      </c>
      <c r="S33">
        <f>IF(OR(baseline.txt!BP9 = 0,baseline.txt!BP9=-1),"",inter_pl_update.txt!BP9 / baseline.txt!BP9)</f>
        <v/>
      </c>
      <c r="T33">
        <f>IF(OR(baseline.txt!CF9 = 0,baseline.txt!CF9=-1),"",inter_pl_update.txt!CF9 / baseline.txt!CF9)</f>
        <v/>
      </c>
      <c r="U33">
        <f>IF(OR(baseline.txt!CG9 = 0,baseline.txt!CG9=-1),"",inter_pl_update.txt!CG9 / baseline.txt!CG9)</f>
        <v/>
      </c>
      <c r="V33">
        <f>IF(OR(baseline.txt!CP9 = 0,baseline.txt!CP9=-1),"",inter_pl_update.txt!CP9 / baseline.txt!CP9)</f>
        <v/>
      </c>
    </row>
    <row r="34">
      <c r="A34">
        <f>baseline.txt!A10</f>
        <v/>
      </c>
      <c r="B34">
        <f>baseline.txt!B10</f>
        <v/>
      </c>
      <c r="C34">
        <f>IF(OR(baseline.txt!D10 = 0,baseline.txt!D10=-1),"",inter_pl_update.txt!D10 / baseline.txt!D10)</f>
        <v/>
      </c>
      <c r="D34">
        <f>IF(OR(baseline.txt!H10 = 0,baseline.txt!H10=-1),"",inter_pl_update.txt!H10 / baseline.txt!H10)</f>
        <v/>
      </c>
      <c r="E34">
        <f>IF(OR(baseline.txt!J10 = 0,baseline.txt!J10=-1),"",inter_pl_update.txt!J10 / baseline.txt!J10)</f>
        <v/>
      </c>
      <c r="F34">
        <f>IF(OR(baseline.txt!L10 = 0,baseline.txt!L10=-1),"",inter_pl_update.txt!L10 / baseline.txt!L10)</f>
        <v/>
      </c>
      <c r="G34">
        <f>IF(OR(baseline.txt!M10 = 0,baseline.txt!M10=-1),"",inter_pl_update.txt!M10 / baseline.txt!M10)</f>
        <v/>
      </c>
      <c r="H34">
        <f>IF(OR(baseline.txt!S10 = 0,baseline.txt!S10=-1),"",inter_pl_update.txt!S10 / baseline.txt!S10)</f>
        <v/>
      </c>
      <c r="I34">
        <f>IF(OR(baseline.txt!U10 = 0,baseline.txt!U10=-1),"",inter_pl_update.txt!U10 / baseline.txt!U10)</f>
        <v/>
      </c>
      <c r="J34">
        <f>IF(OR(baseline.txt!V10 = 0,baseline.txt!V10=-1),"",inter_pl_update.txt!V10 / baseline.txt!V10)</f>
        <v/>
      </c>
      <c r="K34">
        <f>IF(OR(baseline.txt!AD10 = 0,baseline.txt!AD10=-1),"",inter_pl_update.txt!AD10 / baseline.txt!AD10)</f>
        <v/>
      </c>
      <c r="L34">
        <f>IF(OR(baseline.txt!AH10 = 0,baseline.txt!AH10=-1),"",inter_pl_update.txt!AH10 / baseline.txt!AH10)</f>
        <v/>
      </c>
      <c r="M34">
        <f>IF(OR(baseline.txt!AK10 = 0,baseline.txt!AK10=-1),"",inter_pl_update.txt!AK10 / baseline.txt!AK10)</f>
        <v/>
      </c>
      <c r="N34">
        <f>IF(OR(baseline.txt!AN10 = 0,baseline.txt!AN10=-1),"",inter_pl_update.txt!AN10 / baseline.txt!AN10)</f>
        <v/>
      </c>
      <c r="O34">
        <f>IF(OR(baseline.txt!AR10 = 0,baseline.txt!AR10=-1),"",inter_pl_update.txt!AR10 / baseline.txt!AR10)</f>
        <v/>
      </c>
      <c r="P34">
        <f>IF(OR(baseline.txt!AT10 = 0,baseline.txt!AT10=-1),"",inter_pl_update.txt!AT10 / baseline.txt!AT10)</f>
        <v/>
      </c>
      <c r="Q34">
        <f>IF(OR(baseline.txt!AZ10 = 0,baseline.txt!AZ10=-1),"",inter_pl_update.txt!AZ10 / baseline.txt!AZ10)</f>
        <v/>
      </c>
      <c r="R34">
        <f>IF(OR(baseline.txt!BC10 = 0,baseline.txt!BC10=-1),"",inter_pl_update.txt!BC10 / baseline.txt!BC10)</f>
        <v/>
      </c>
      <c r="S34">
        <f>IF(OR(baseline.txt!BP10 = 0,baseline.txt!BP10=-1),"",inter_pl_update.txt!BP10 / baseline.txt!BP10)</f>
        <v/>
      </c>
      <c r="T34">
        <f>IF(OR(baseline.txt!CF10 = 0,baseline.txt!CF10=-1),"",inter_pl_update.txt!CF10 / baseline.txt!CF10)</f>
        <v/>
      </c>
      <c r="U34">
        <f>IF(OR(baseline.txt!CG10 = 0,baseline.txt!CG10=-1),"",inter_pl_update.txt!CG10 / baseline.txt!CG10)</f>
        <v/>
      </c>
      <c r="V34">
        <f>IF(OR(baseline.txt!CP10 = 0,baseline.txt!CP10=-1),"",inter_pl_update.txt!CP10 / baseline.txt!CP10)</f>
        <v/>
      </c>
    </row>
    <row r="35">
      <c r="A35">
        <f>baseline.txt!A11</f>
        <v/>
      </c>
      <c r="B35">
        <f>baseline.txt!B11</f>
        <v/>
      </c>
      <c r="C35">
        <f>IF(OR(baseline.txt!D11 = 0,baseline.txt!D11=-1),"",inter_pl_update.txt!D11 / baseline.txt!D11)</f>
        <v/>
      </c>
      <c r="D35">
        <f>IF(OR(baseline.txt!H11 = 0,baseline.txt!H11=-1),"",inter_pl_update.txt!H11 / baseline.txt!H11)</f>
        <v/>
      </c>
      <c r="E35">
        <f>IF(OR(baseline.txt!J11 = 0,baseline.txt!J11=-1),"",inter_pl_update.txt!J11 / baseline.txt!J11)</f>
        <v/>
      </c>
      <c r="F35">
        <f>IF(OR(baseline.txt!L11 = 0,baseline.txt!L11=-1),"",inter_pl_update.txt!L11 / baseline.txt!L11)</f>
        <v/>
      </c>
      <c r="G35">
        <f>IF(OR(baseline.txt!M11 = 0,baseline.txt!M11=-1),"",inter_pl_update.txt!M11 / baseline.txt!M11)</f>
        <v/>
      </c>
      <c r="H35">
        <f>IF(OR(baseline.txt!S11 = 0,baseline.txt!S11=-1),"",inter_pl_update.txt!S11 / baseline.txt!S11)</f>
        <v/>
      </c>
      <c r="I35">
        <f>IF(OR(baseline.txt!U11 = 0,baseline.txt!U11=-1),"",inter_pl_update.txt!U11 / baseline.txt!U11)</f>
        <v/>
      </c>
      <c r="J35">
        <f>IF(OR(baseline.txt!V11 = 0,baseline.txt!V11=-1),"",inter_pl_update.txt!V11 / baseline.txt!V11)</f>
        <v/>
      </c>
      <c r="K35">
        <f>IF(OR(baseline.txt!AD11 = 0,baseline.txt!AD11=-1),"",inter_pl_update.txt!AD11 / baseline.txt!AD11)</f>
        <v/>
      </c>
      <c r="L35">
        <f>IF(OR(baseline.txt!AH11 = 0,baseline.txt!AH11=-1),"",inter_pl_update.txt!AH11 / baseline.txt!AH11)</f>
        <v/>
      </c>
      <c r="M35">
        <f>IF(OR(baseline.txt!AK11 = 0,baseline.txt!AK11=-1),"",inter_pl_update.txt!AK11 / baseline.txt!AK11)</f>
        <v/>
      </c>
      <c r="N35">
        <f>IF(OR(baseline.txt!AN11 = 0,baseline.txt!AN11=-1),"",inter_pl_update.txt!AN11 / baseline.txt!AN11)</f>
        <v/>
      </c>
      <c r="O35">
        <f>IF(OR(baseline.txt!AR11 = 0,baseline.txt!AR11=-1),"",inter_pl_update.txt!AR11 / baseline.txt!AR11)</f>
        <v/>
      </c>
      <c r="P35">
        <f>IF(OR(baseline.txt!AT11 = 0,baseline.txt!AT11=-1),"",inter_pl_update.txt!AT11 / baseline.txt!AT11)</f>
        <v/>
      </c>
      <c r="Q35">
        <f>IF(OR(baseline.txt!AZ11 = 0,baseline.txt!AZ11=-1),"",inter_pl_update.txt!AZ11 / baseline.txt!AZ11)</f>
        <v/>
      </c>
      <c r="R35">
        <f>IF(OR(baseline.txt!BC11 = 0,baseline.txt!BC11=-1),"",inter_pl_update.txt!BC11 / baseline.txt!BC11)</f>
        <v/>
      </c>
      <c r="S35">
        <f>IF(OR(baseline.txt!BP11 = 0,baseline.txt!BP11=-1),"",inter_pl_update.txt!BP11 / baseline.txt!BP11)</f>
        <v/>
      </c>
      <c r="T35">
        <f>IF(OR(baseline.txt!CF11 = 0,baseline.txt!CF11=-1),"",inter_pl_update.txt!CF11 / baseline.txt!CF11)</f>
        <v/>
      </c>
      <c r="U35">
        <f>IF(OR(baseline.txt!CG11 = 0,baseline.txt!CG11=-1),"",inter_pl_update.txt!CG11 / baseline.txt!CG11)</f>
        <v/>
      </c>
      <c r="V35">
        <f>IF(OR(baseline.txt!CP11 = 0,baseline.txt!CP11=-1),"",inter_pl_update.txt!CP11 / baseline.txt!CP11)</f>
        <v/>
      </c>
    </row>
    <row r="36">
      <c r="A36">
        <f>baseline.txt!A12</f>
        <v/>
      </c>
      <c r="B36">
        <f>baseline.txt!B12</f>
        <v/>
      </c>
      <c r="C36">
        <f>IF(OR(baseline.txt!D12 = 0,baseline.txt!D12=-1),"",inter_pl_update.txt!D12 / baseline.txt!D12)</f>
        <v/>
      </c>
      <c r="D36">
        <f>IF(OR(baseline.txt!H12 = 0,baseline.txt!H12=-1),"",inter_pl_update.txt!H12 / baseline.txt!H12)</f>
        <v/>
      </c>
      <c r="E36">
        <f>IF(OR(baseline.txt!J12 = 0,baseline.txt!J12=-1),"",inter_pl_update.txt!J12 / baseline.txt!J12)</f>
        <v/>
      </c>
      <c r="F36">
        <f>IF(OR(baseline.txt!L12 = 0,baseline.txt!L12=-1),"",inter_pl_update.txt!L12 / baseline.txt!L12)</f>
        <v/>
      </c>
      <c r="G36">
        <f>IF(OR(baseline.txt!M12 = 0,baseline.txt!M12=-1),"",inter_pl_update.txt!M12 / baseline.txt!M12)</f>
        <v/>
      </c>
      <c r="H36">
        <f>IF(OR(baseline.txt!S12 = 0,baseline.txt!S12=-1),"",inter_pl_update.txt!S12 / baseline.txt!S12)</f>
        <v/>
      </c>
      <c r="I36">
        <f>IF(OR(baseline.txt!U12 = 0,baseline.txt!U12=-1),"",inter_pl_update.txt!U12 / baseline.txt!U12)</f>
        <v/>
      </c>
      <c r="J36">
        <f>IF(OR(baseline.txt!V12 = 0,baseline.txt!V12=-1),"",inter_pl_update.txt!V12 / baseline.txt!V12)</f>
        <v/>
      </c>
      <c r="K36">
        <f>IF(OR(baseline.txt!AD12 = 0,baseline.txt!AD12=-1),"",inter_pl_update.txt!AD12 / baseline.txt!AD12)</f>
        <v/>
      </c>
      <c r="L36">
        <f>IF(OR(baseline.txt!AH12 = 0,baseline.txt!AH12=-1),"",inter_pl_update.txt!AH12 / baseline.txt!AH12)</f>
        <v/>
      </c>
      <c r="M36">
        <f>IF(OR(baseline.txt!AK12 = 0,baseline.txt!AK12=-1),"",inter_pl_update.txt!AK12 / baseline.txt!AK12)</f>
        <v/>
      </c>
      <c r="N36">
        <f>IF(OR(baseline.txt!AN12 = 0,baseline.txt!AN12=-1),"",inter_pl_update.txt!AN12 / baseline.txt!AN12)</f>
        <v/>
      </c>
      <c r="O36">
        <f>IF(OR(baseline.txt!AR12 = 0,baseline.txt!AR12=-1),"",inter_pl_update.txt!AR12 / baseline.txt!AR12)</f>
        <v/>
      </c>
      <c r="P36">
        <f>IF(OR(baseline.txt!AT12 = 0,baseline.txt!AT12=-1),"",inter_pl_update.txt!AT12 / baseline.txt!AT12)</f>
        <v/>
      </c>
      <c r="Q36">
        <f>IF(OR(baseline.txt!AZ12 = 0,baseline.txt!AZ12=-1),"",inter_pl_update.txt!AZ12 / baseline.txt!AZ12)</f>
        <v/>
      </c>
      <c r="R36">
        <f>IF(OR(baseline.txt!BC12 = 0,baseline.txt!BC12=-1),"",inter_pl_update.txt!BC12 / baseline.txt!BC12)</f>
        <v/>
      </c>
      <c r="S36">
        <f>IF(OR(baseline.txt!BP12 = 0,baseline.txt!BP12=-1),"",inter_pl_update.txt!BP12 / baseline.txt!BP12)</f>
        <v/>
      </c>
      <c r="T36">
        <f>IF(OR(baseline.txt!CF12 = 0,baseline.txt!CF12=-1),"",inter_pl_update.txt!CF12 / baseline.txt!CF12)</f>
        <v/>
      </c>
      <c r="U36">
        <f>IF(OR(baseline.txt!CG12 = 0,baseline.txt!CG12=-1),"",inter_pl_update.txt!CG12 / baseline.txt!CG12)</f>
        <v/>
      </c>
      <c r="V36">
        <f>IF(OR(baseline.txt!CP12 = 0,baseline.txt!CP12=-1),"",inter_pl_update.txt!CP12 / baseline.txt!CP12)</f>
        <v/>
      </c>
    </row>
    <row r="37">
      <c r="A37">
        <f>baseline.txt!A13</f>
        <v/>
      </c>
      <c r="B37">
        <f>baseline.txt!B13</f>
        <v/>
      </c>
      <c r="C37">
        <f>IF(OR(baseline.txt!D13 = 0,baseline.txt!D13=-1),"",inter_pl_update.txt!D13 / baseline.txt!D13)</f>
        <v/>
      </c>
      <c r="D37">
        <f>IF(OR(baseline.txt!H13 = 0,baseline.txt!H13=-1),"",inter_pl_update.txt!H13 / baseline.txt!H13)</f>
        <v/>
      </c>
      <c r="E37">
        <f>IF(OR(baseline.txt!J13 = 0,baseline.txt!J13=-1),"",inter_pl_update.txt!J13 / baseline.txt!J13)</f>
        <v/>
      </c>
      <c r="F37">
        <f>IF(OR(baseline.txt!L13 = 0,baseline.txt!L13=-1),"",inter_pl_update.txt!L13 / baseline.txt!L13)</f>
        <v/>
      </c>
      <c r="G37">
        <f>IF(OR(baseline.txt!M13 = 0,baseline.txt!M13=-1),"",inter_pl_update.txt!M13 / baseline.txt!M13)</f>
        <v/>
      </c>
      <c r="H37">
        <f>IF(OR(baseline.txt!S13 = 0,baseline.txt!S13=-1),"",inter_pl_update.txt!S13 / baseline.txt!S13)</f>
        <v/>
      </c>
      <c r="I37">
        <f>IF(OR(baseline.txt!U13 = 0,baseline.txt!U13=-1),"",inter_pl_update.txt!U13 / baseline.txt!U13)</f>
        <v/>
      </c>
      <c r="J37">
        <f>IF(OR(baseline.txt!V13 = 0,baseline.txt!V13=-1),"",inter_pl_update.txt!V13 / baseline.txt!V13)</f>
        <v/>
      </c>
      <c r="K37">
        <f>IF(OR(baseline.txt!AD13 = 0,baseline.txt!AD13=-1),"",inter_pl_update.txt!AD13 / baseline.txt!AD13)</f>
        <v/>
      </c>
      <c r="L37">
        <f>IF(OR(baseline.txt!AH13 = 0,baseline.txt!AH13=-1),"",inter_pl_update.txt!AH13 / baseline.txt!AH13)</f>
        <v/>
      </c>
      <c r="M37">
        <f>IF(OR(baseline.txt!AK13 = 0,baseline.txt!AK13=-1),"",inter_pl_update.txt!AK13 / baseline.txt!AK13)</f>
        <v/>
      </c>
      <c r="N37">
        <f>IF(OR(baseline.txt!AN13 = 0,baseline.txt!AN13=-1),"",inter_pl_update.txt!AN13 / baseline.txt!AN13)</f>
        <v/>
      </c>
      <c r="O37">
        <f>IF(OR(baseline.txt!AR13 = 0,baseline.txt!AR13=-1),"",inter_pl_update.txt!AR13 / baseline.txt!AR13)</f>
        <v/>
      </c>
      <c r="P37">
        <f>IF(OR(baseline.txt!AT13 = 0,baseline.txt!AT13=-1),"",inter_pl_update.txt!AT13 / baseline.txt!AT13)</f>
        <v/>
      </c>
      <c r="Q37">
        <f>IF(OR(baseline.txt!AZ13 = 0,baseline.txt!AZ13=-1),"",inter_pl_update.txt!AZ13 / baseline.txt!AZ13)</f>
        <v/>
      </c>
      <c r="R37">
        <f>IF(OR(baseline.txt!BC13 = 0,baseline.txt!BC13=-1),"",inter_pl_update.txt!BC13 / baseline.txt!BC13)</f>
        <v/>
      </c>
      <c r="S37">
        <f>IF(OR(baseline.txt!BP13 = 0,baseline.txt!BP13=-1),"",inter_pl_update.txt!BP13 / baseline.txt!BP13)</f>
        <v/>
      </c>
      <c r="T37">
        <f>IF(OR(baseline.txt!CF13 = 0,baseline.txt!CF13=-1),"",inter_pl_update.txt!CF13 / baseline.txt!CF13)</f>
        <v/>
      </c>
      <c r="U37">
        <f>IF(OR(baseline.txt!CG13 = 0,baseline.txt!CG13=-1),"",inter_pl_update.txt!CG13 / baseline.txt!CG13)</f>
        <v/>
      </c>
      <c r="V37">
        <f>IF(OR(baseline.txt!CP13 = 0,baseline.txt!CP13=-1),"",inter_pl_update.txt!CP13 / baseline.txt!CP13)</f>
        <v/>
      </c>
    </row>
    <row r="38">
      <c r="A38">
        <f>baseline.txt!A14</f>
        <v/>
      </c>
      <c r="B38">
        <f>baseline.txt!B14</f>
        <v/>
      </c>
      <c r="C38">
        <f>IF(OR(baseline.txt!D14 = 0,baseline.txt!D14=-1),"",inter_pl_update.txt!D14 / baseline.txt!D14)</f>
        <v/>
      </c>
      <c r="D38">
        <f>IF(OR(baseline.txt!H14 = 0,baseline.txt!H14=-1),"",inter_pl_update.txt!H14 / baseline.txt!H14)</f>
        <v/>
      </c>
      <c r="E38">
        <f>IF(OR(baseline.txt!J14 = 0,baseline.txt!J14=-1),"",inter_pl_update.txt!J14 / baseline.txt!J14)</f>
        <v/>
      </c>
      <c r="F38">
        <f>IF(OR(baseline.txt!L14 = 0,baseline.txt!L14=-1),"",inter_pl_update.txt!L14 / baseline.txt!L14)</f>
        <v/>
      </c>
      <c r="G38">
        <f>IF(OR(baseline.txt!M14 = 0,baseline.txt!M14=-1),"",inter_pl_update.txt!M14 / baseline.txt!M14)</f>
        <v/>
      </c>
      <c r="H38">
        <f>IF(OR(baseline.txt!S14 = 0,baseline.txt!S14=-1),"",inter_pl_update.txt!S14 / baseline.txt!S14)</f>
        <v/>
      </c>
      <c r="I38">
        <f>IF(OR(baseline.txt!U14 = 0,baseline.txt!U14=-1),"",inter_pl_update.txt!U14 / baseline.txt!U14)</f>
        <v/>
      </c>
      <c r="J38">
        <f>IF(OR(baseline.txt!V14 = 0,baseline.txt!V14=-1),"",inter_pl_update.txt!V14 / baseline.txt!V14)</f>
        <v/>
      </c>
      <c r="K38">
        <f>IF(OR(baseline.txt!AD14 = 0,baseline.txt!AD14=-1),"",inter_pl_update.txt!AD14 / baseline.txt!AD14)</f>
        <v/>
      </c>
      <c r="L38">
        <f>IF(OR(baseline.txt!AH14 = 0,baseline.txt!AH14=-1),"",inter_pl_update.txt!AH14 / baseline.txt!AH14)</f>
        <v/>
      </c>
      <c r="M38">
        <f>IF(OR(baseline.txt!AK14 = 0,baseline.txt!AK14=-1),"",inter_pl_update.txt!AK14 / baseline.txt!AK14)</f>
        <v/>
      </c>
      <c r="N38">
        <f>IF(OR(baseline.txt!AN14 = 0,baseline.txt!AN14=-1),"",inter_pl_update.txt!AN14 / baseline.txt!AN14)</f>
        <v/>
      </c>
      <c r="O38">
        <f>IF(OR(baseline.txt!AR14 = 0,baseline.txt!AR14=-1),"",inter_pl_update.txt!AR14 / baseline.txt!AR14)</f>
        <v/>
      </c>
      <c r="P38">
        <f>IF(OR(baseline.txt!AT14 = 0,baseline.txt!AT14=-1),"",inter_pl_update.txt!AT14 / baseline.txt!AT14)</f>
        <v/>
      </c>
      <c r="Q38">
        <f>IF(OR(baseline.txt!AZ14 = 0,baseline.txt!AZ14=-1),"",inter_pl_update.txt!AZ14 / baseline.txt!AZ14)</f>
        <v/>
      </c>
      <c r="R38">
        <f>IF(OR(baseline.txt!BC14 = 0,baseline.txt!BC14=-1),"",inter_pl_update.txt!BC14 / baseline.txt!BC14)</f>
        <v/>
      </c>
      <c r="S38">
        <f>IF(OR(baseline.txt!BP14 = 0,baseline.txt!BP14=-1),"",inter_pl_update.txt!BP14 / baseline.txt!BP14)</f>
        <v/>
      </c>
      <c r="T38">
        <f>IF(OR(baseline.txt!CF14 = 0,baseline.txt!CF14=-1),"",inter_pl_update.txt!CF14 / baseline.txt!CF14)</f>
        <v/>
      </c>
      <c r="U38">
        <f>IF(OR(baseline.txt!CG14 = 0,baseline.txt!CG14=-1),"",inter_pl_update.txt!CG14 / baseline.txt!CG14)</f>
        <v/>
      </c>
      <c r="V38">
        <f>IF(OR(baseline.txt!CP14 = 0,baseline.txt!CP14=-1),"",inter_pl_update.txt!CP14 / baseline.txt!CP14)</f>
        <v/>
      </c>
    </row>
    <row r="39">
      <c r="A39">
        <f>baseline.txt!A15</f>
        <v/>
      </c>
      <c r="B39">
        <f>baseline.txt!B15</f>
        <v/>
      </c>
      <c r="C39">
        <f>IF(OR(baseline.txt!D15 = 0,baseline.txt!D15=-1),"",inter_pl_update.txt!D15 / baseline.txt!D15)</f>
        <v/>
      </c>
      <c r="D39">
        <f>IF(OR(baseline.txt!H15 = 0,baseline.txt!H15=-1),"",inter_pl_update.txt!H15 / baseline.txt!H15)</f>
        <v/>
      </c>
      <c r="E39">
        <f>IF(OR(baseline.txt!J15 = 0,baseline.txt!J15=-1),"",inter_pl_update.txt!J15 / baseline.txt!J15)</f>
        <v/>
      </c>
      <c r="F39">
        <f>IF(OR(baseline.txt!L15 = 0,baseline.txt!L15=-1),"",inter_pl_update.txt!L15 / baseline.txt!L15)</f>
        <v/>
      </c>
      <c r="G39">
        <f>IF(OR(baseline.txt!M15 = 0,baseline.txt!M15=-1),"",inter_pl_update.txt!M15 / baseline.txt!M15)</f>
        <v/>
      </c>
      <c r="H39">
        <f>IF(OR(baseline.txt!S15 = 0,baseline.txt!S15=-1),"",inter_pl_update.txt!S15 / baseline.txt!S15)</f>
        <v/>
      </c>
      <c r="I39">
        <f>IF(OR(baseline.txt!U15 = 0,baseline.txt!U15=-1),"",inter_pl_update.txt!U15 / baseline.txt!U15)</f>
        <v/>
      </c>
      <c r="J39">
        <f>IF(OR(baseline.txt!V15 = 0,baseline.txt!V15=-1),"",inter_pl_update.txt!V15 / baseline.txt!V15)</f>
        <v/>
      </c>
      <c r="K39">
        <f>IF(OR(baseline.txt!AD15 = 0,baseline.txt!AD15=-1),"",inter_pl_update.txt!AD15 / baseline.txt!AD15)</f>
        <v/>
      </c>
      <c r="L39">
        <f>IF(OR(baseline.txt!AH15 = 0,baseline.txt!AH15=-1),"",inter_pl_update.txt!AH15 / baseline.txt!AH15)</f>
        <v/>
      </c>
      <c r="M39">
        <f>IF(OR(baseline.txt!AK15 = 0,baseline.txt!AK15=-1),"",inter_pl_update.txt!AK15 / baseline.txt!AK15)</f>
        <v/>
      </c>
      <c r="N39">
        <f>IF(OR(baseline.txt!AN15 = 0,baseline.txt!AN15=-1),"",inter_pl_update.txt!AN15 / baseline.txt!AN15)</f>
        <v/>
      </c>
      <c r="O39">
        <f>IF(OR(baseline.txt!AR15 = 0,baseline.txt!AR15=-1),"",inter_pl_update.txt!AR15 / baseline.txt!AR15)</f>
        <v/>
      </c>
      <c r="P39">
        <f>IF(OR(baseline.txt!AT15 = 0,baseline.txt!AT15=-1),"",inter_pl_update.txt!AT15 / baseline.txt!AT15)</f>
        <v/>
      </c>
      <c r="Q39">
        <f>IF(OR(baseline.txt!AZ15 = 0,baseline.txt!AZ15=-1),"",inter_pl_update.txt!AZ15 / baseline.txt!AZ15)</f>
        <v/>
      </c>
      <c r="R39">
        <f>IF(OR(baseline.txt!BC15 = 0,baseline.txt!BC15=-1),"",inter_pl_update.txt!BC15 / baseline.txt!BC15)</f>
        <v/>
      </c>
      <c r="S39">
        <f>IF(OR(baseline.txt!BP15 = 0,baseline.txt!BP15=-1),"",inter_pl_update.txt!BP15 / baseline.txt!BP15)</f>
        <v/>
      </c>
      <c r="T39">
        <f>IF(OR(baseline.txt!CF15 = 0,baseline.txt!CF15=-1),"",inter_pl_update.txt!CF15 / baseline.txt!CF15)</f>
        <v/>
      </c>
      <c r="U39">
        <f>IF(OR(baseline.txt!CG15 = 0,baseline.txt!CG15=-1),"",inter_pl_update.txt!CG15 / baseline.txt!CG15)</f>
        <v/>
      </c>
      <c r="V39">
        <f>IF(OR(baseline.txt!CP15 = 0,baseline.txt!CP15=-1),"",inter_pl_update.txt!CP15 / baseline.txt!CP15)</f>
        <v/>
      </c>
    </row>
    <row r="40">
      <c r="A40">
        <f>baseline.txt!A16</f>
        <v/>
      </c>
      <c r="B40">
        <f>baseline.txt!B16</f>
        <v/>
      </c>
      <c r="C40">
        <f>IF(OR(baseline.txt!D16 = 0,baseline.txt!D16=-1),"",inter_pl_update.txt!D16 / baseline.txt!D16)</f>
        <v/>
      </c>
      <c r="D40">
        <f>IF(OR(baseline.txt!H16 = 0,baseline.txt!H16=-1),"",inter_pl_update.txt!H16 / baseline.txt!H16)</f>
        <v/>
      </c>
      <c r="E40">
        <f>IF(OR(baseline.txt!J16 = 0,baseline.txt!J16=-1),"",inter_pl_update.txt!J16 / baseline.txt!J16)</f>
        <v/>
      </c>
      <c r="F40">
        <f>IF(OR(baseline.txt!L16 = 0,baseline.txt!L16=-1),"",inter_pl_update.txt!L16 / baseline.txt!L16)</f>
        <v/>
      </c>
      <c r="G40">
        <f>IF(OR(baseline.txt!M16 = 0,baseline.txt!M16=-1),"",inter_pl_update.txt!M16 / baseline.txt!M16)</f>
        <v/>
      </c>
      <c r="H40">
        <f>IF(OR(baseline.txt!S16 = 0,baseline.txt!S16=-1),"",inter_pl_update.txt!S16 / baseline.txt!S16)</f>
        <v/>
      </c>
      <c r="I40">
        <f>IF(OR(baseline.txt!U16 = 0,baseline.txt!U16=-1),"",inter_pl_update.txt!U16 / baseline.txt!U16)</f>
        <v/>
      </c>
      <c r="J40">
        <f>IF(OR(baseline.txt!V16 = 0,baseline.txt!V16=-1),"",inter_pl_update.txt!V16 / baseline.txt!V16)</f>
        <v/>
      </c>
      <c r="K40">
        <f>IF(OR(baseline.txt!AD16 = 0,baseline.txt!AD16=-1),"",inter_pl_update.txt!AD16 / baseline.txt!AD16)</f>
        <v/>
      </c>
      <c r="L40">
        <f>IF(OR(baseline.txt!AH16 = 0,baseline.txt!AH16=-1),"",inter_pl_update.txt!AH16 / baseline.txt!AH16)</f>
        <v/>
      </c>
      <c r="M40">
        <f>IF(OR(baseline.txt!AK16 = 0,baseline.txt!AK16=-1),"",inter_pl_update.txt!AK16 / baseline.txt!AK16)</f>
        <v/>
      </c>
      <c r="N40">
        <f>IF(OR(baseline.txt!AN16 = 0,baseline.txt!AN16=-1),"",inter_pl_update.txt!AN16 / baseline.txt!AN16)</f>
        <v/>
      </c>
      <c r="O40">
        <f>IF(OR(baseline.txt!AR16 = 0,baseline.txt!AR16=-1),"",inter_pl_update.txt!AR16 / baseline.txt!AR16)</f>
        <v/>
      </c>
      <c r="P40">
        <f>IF(OR(baseline.txt!AT16 = 0,baseline.txt!AT16=-1),"",inter_pl_update.txt!AT16 / baseline.txt!AT16)</f>
        <v/>
      </c>
      <c r="Q40">
        <f>IF(OR(baseline.txt!AZ16 = 0,baseline.txt!AZ16=-1),"",inter_pl_update.txt!AZ16 / baseline.txt!AZ16)</f>
        <v/>
      </c>
      <c r="R40">
        <f>IF(OR(baseline.txt!BC16 = 0,baseline.txt!BC16=-1),"",inter_pl_update.txt!BC16 / baseline.txt!BC16)</f>
        <v/>
      </c>
      <c r="S40">
        <f>IF(OR(baseline.txt!BP16 = 0,baseline.txt!BP16=-1),"",inter_pl_update.txt!BP16 / baseline.txt!BP16)</f>
        <v/>
      </c>
      <c r="T40">
        <f>IF(OR(baseline.txt!CF16 = 0,baseline.txt!CF16=-1),"",inter_pl_update.txt!CF16 / baseline.txt!CF16)</f>
        <v/>
      </c>
      <c r="U40">
        <f>IF(OR(baseline.txt!CG16 = 0,baseline.txt!CG16=-1),"",inter_pl_update.txt!CG16 / baseline.txt!CG16)</f>
        <v/>
      </c>
      <c r="V40">
        <f>IF(OR(baseline.txt!CP16 = 0,baseline.txt!CP16=-1),"",inter_pl_update.txt!CP16 / baseline.txt!CP16)</f>
        <v/>
      </c>
    </row>
    <row r="41">
      <c r="A41">
        <f>baseline.txt!A17</f>
        <v/>
      </c>
      <c r="B41">
        <f>baseline.txt!B17</f>
        <v/>
      </c>
      <c r="C41">
        <f>IF(OR(baseline.txt!D17 = 0,baseline.txt!D17=-1),"",inter_pl_update.txt!D17 / baseline.txt!D17)</f>
        <v/>
      </c>
      <c r="D41">
        <f>IF(OR(baseline.txt!H17 = 0,baseline.txt!H17=-1),"",inter_pl_update.txt!H17 / baseline.txt!H17)</f>
        <v/>
      </c>
      <c r="E41">
        <f>IF(OR(baseline.txt!J17 = 0,baseline.txt!J17=-1),"",inter_pl_update.txt!J17 / baseline.txt!J17)</f>
        <v/>
      </c>
      <c r="F41">
        <f>IF(OR(baseline.txt!L17 = 0,baseline.txt!L17=-1),"",inter_pl_update.txt!L17 / baseline.txt!L17)</f>
        <v/>
      </c>
      <c r="G41">
        <f>IF(OR(baseline.txt!M17 = 0,baseline.txt!M17=-1),"",inter_pl_update.txt!M17 / baseline.txt!M17)</f>
        <v/>
      </c>
      <c r="H41">
        <f>IF(OR(baseline.txt!S17 = 0,baseline.txt!S17=-1),"",inter_pl_update.txt!S17 / baseline.txt!S17)</f>
        <v/>
      </c>
      <c r="I41">
        <f>IF(OR(baseline.txt!U17 = 0,baseline.txt!U17=-1),"",inter_pl_update.txt!U17 / baseline.txt!U17)</f>
        <v/>
      </c>
      <c r="J41">
        <f>IF(OR(baseline.txt!V17 = 0,baseline.txt!V17=-1),"",inter_pl_update.txt!V17 / baseline.txt!V17)</f>
        <v/>
      </c>
      <c r="K41">
        <f>IF(OR(baseline.txt!AD17 = 0,baseline.txt!AD17=-1),"",inter_pl_update.txt!AD17 / baseline.txt!AD17)</f>
        <v/>
      </c>
      <c r="L41">
        <f>IF(OR(baseline.txt!AH17 = 0,baseline.txt!AH17=-1),"",inter_pl_update.txt!AH17 / baseline.txt!AH17)</f>
        <v/>
      </c>
      <c r="M41">
        <f>IF(OR(baseline.txt!AK17 = 0,baseline.txt!AK17=-1),"",inter_pl_update.txt!AK17 / baseline.txt!AK17)</f>
        <v/>
      </c>
      <c r="N41">
        <f>IF(OR(baseline.txt!AN17 = 0,baseline.txt!AN17=-1),"",inter_pl_update.txt!AN17 / baseline.txt!AN17)</f>
        <v/>
      </c>
      <c r="O41">
        <f>IF(OR(baseline.txt!AR17 = 0,baseline.txt!AR17=-1),"",inter_pl_update.txt!AR17 / baseline.txt!AR17)</f>
        <v/>
      </c>
      <c r="P41">
        <f>IF(OR(baseline.txt!AT17 = 0,baseline.txt!AT17=-1),"",inter_pl_update.txt!AT17 / baseline.txt!AT17)</f>
        <v/>
      </c>
      <c r="Q41">
        <f>IF(OR(baseline.txt!AZ17 = 0,baseline.txt!AZ17=-1),"",inter_pl_update.txt!AZ17 / baseline.txt!AZ17)</f>
        <v/>
      </c>
      <c r="R41">
        <f>IF(OR(baseline.txt!BC17 = 0,baseline.txt!BC17=-1),"",inter_pl_update.txt!BC17 / baseline.txt!BC17)</f>
        <v/>
      </c>
      <c r="S41">
        <f>IF(OR(baseline.txt!BP17 = 0,baseline.txt!BP17=-1),"",inter_pl_update.txt!BP17 / baseline.txt!BP17)</f>
        <v/>
      </c>
      <c r="T41">
        <f>IF(OR(baseline.txt!CF17 = 0,baseline.txt!CF17=-1),"",inter_pl_update.txt!CF17 / baseline.txt!CF17)</f>
        <v/>
      </c>
      <c r="U41">
        <f>IF(OR(baseline.txt!CG17 = 0,baseline.txt!CG17=-1),"",inter_pl_update.txt!CG17 / baseline.txt!CG17)</f>
        <v/>
      </c>
      <c r="V41">
        <f>IF(OR(baseline.txt!CP17 = 0,baseline.txt!CP17=-1),"",inter_pl_update.txt!CP17 / baseline.txt!CP17)</f>
        <v/>
      </c>
    </row>
    <row r="42">
      <c r="A42">
        <f>baseline.txt!A18</f>
        <v/>
      </c>
      <c r="B42">
        <f>baseline.txt!B18</f>
        <v/>
      </c>
      <c r="C42">
        <f>IF(OR(baseline.txt!D18 = 0,baseline.txt!D18=-1),"",inter_pl_update.txt!D18 / baseline.txt!D18)</f>
        <v/>
      </c>
      <c r="D42">
        <f>IF(OR(baseline.txt!H18 = 0,baseline.txt!H18=-1),"",inter_pl_update.txt!H18 / baseline.txt!H18)</f>
        <v/>
      </c>
      <c r="E42">
        <f>IF(OR(baseline.txt!J18 = 0,baseline.txt!J18=-1),"",inter_pl_update.txt!J18 / baseline.txt!J18)</f>
        <v/>
      </c>
      <c r="F42">
        <f>IF(OR(baseline.txt!L18 = 0,baseline.txt!L18=-1),"",inter_pl_update.txt!L18 / baseline.txt!L18)</f>
        <v/>
      </c>
      <c r="G42">
        <f>IF(OR(baseline.txt!M18 = 0,baseline.txt!M18=-1),"",inter_pl_update.txt!M18 / baseline.txt!M18)</f>
        <v/>
      </c>
      <c r="H42">
        <f>IF(OR(baseline.txt!S18 = 0,baseline.txt!S18=-1),"",inter_pl_update.txt!S18 / baseline.txt!S18)</f>
        <v/>
      </c>
      <c r="I42">
        <f>IF(OR(baseline.txt!U18 = 0,baseline.txt!U18=-1),"",inter_pl_update.txt!U18 / baseline.txt!U18)</f>
        <v/>
      </c>
      <c r="J42">
        <f>IF(OR(baseline.txt!V18 = 0,baseline.txt!V18=-1),"",inter_pl_update.txt!V18 / baseline.txt!V18)</f>
        <v/>
      </c>
      <c r="K42">
        <f>IF(OR(baseline.txt!AD18 = 0,baseline.txt!AD18=-1),"",inter_pl_update.txt!AD18 / baseline.txt!AD18)</f>
        <v/>
      </c>
      <c r="L42">
        <f>IF(OR(baseline.txt!AH18 = 0,baseline.txt!AH18=-1),"",inter_pl_update.txt!AH18 / baseline.txt!AH18)</f>
        <v/>
      </c>
      <c r="M42">
        <f>IF(OR(baseline.txt!AK18 = 0,baseline.txt!AK18=-1),"",inter_pl_update.txt!AK18 / baseline.txt!AK18)</f>
        <v/>
      </c>
      <c r="N42">
        <f>IF(OR(baseline.txt!AN18 = 0,baseline.txt!AN18=-1),"",inter_pl_update.txt!AN18 / baseline.txt!AN18)</f>
        <v/>
      </c>
      <c r="O42">
        <f>IF(OR(baseline.txt!AR18 = 0,baseline.txt!AR18=-1),"",inter_pl_update.txt!AR18 / baseline.txt!AR18)</f>
        <v/>
      </c>
      <c r="P42">
        <f>IF(OR(baseline.txt!AT18 = 0,baseline.txt!AT18=-1),"",inter_pl_update.txt!AT18 / baseline.txt!AT18)</f>
        <v/>
      </c>
      <c r="Q42">
        <f>IF(OR(baseline.txt!AZ18 = 0,baseline.txt!AZ18=-1),"",inter_pl_update.txt!AZ18 / baseline.txt!AZ18)</f>
        <v/>
      </c>
      <c r="R42">
        <f>IF(OR(baseline.txt!BC18 = 0,baseline.txt!BC18=-1),"",inter_pl_update.txt!BC18 / baseline.txt!BC18)</f>
        <v/>
      </c>
      <c r="S42">
        <f>IF(OR(baseline.txt!BP18 = 0,baseline.txt!BP18=-1),"",inter_pl_update.txt!BP18 / baseline.txt!BP18)</f>
        <v/>
      </c>
      <c r="T42">
        <f>IF(OR(baseline.txt!CF18 = 0,baseline.txt!CF18=-1),"",inter_pl_update.txt!CF18 / baseline.txt!CF18)</f>
        <v/>
      </c>
      <c r="U42">
        <f>IF(OR(baseline.txt!CG18 = 0,baseline.txt!CG18=-1),"",inter_pl_update.txt!CG18 / baseline.txt!CG18)</f>
        <v/>
      </c>
      <c r="V42">
        <f>IF(OR(baseline.txt!CP18 = 0,baseline.txt!CP18=-1),"",inter_pl_update.txt!CP18 / baseline.txt!CP18)</f>
        <v/>
      </c>
    </row>
    <row r="43">
      <c r="A43">
        <f>baseline.txt!A19</f>
        <v/>
      </c>
      <c r="B43">
        <f>baseline.txt!B19</f>
        <v/>
      </c>
      <c r="C43">
        <f>IF(OR(baseline.txt!D19 = 0,baseline.txt!D19=-1),"",inter_pl_update.txt!D19 / baseline.txt!D19)</f>
        <v/>
      </c>
      <c r="D43">
        <f>IF(OR(baseline.txt!H19 = 0,baseline.txt!H19=-1),"",inter_pl_update.txt!H19 / baseline.txt!H19)</f>
        <v/>
      </c>
      <c r="E43">
        <f>IF(OR(baseline.txt!J19 = 0,baseline.txt!J19=-1),"",inter_pl_update.txt!J19 / baseline.txt!J19)</f>
        <v/>
      </c>
      <c r="F43">
        <f>IF(OR(baseline.txt!L19 = 0,baseline.txt!L19=-1),"",inter_pl_update.txt!L19 / baseline.txt!L19)</f>
        <v/>
      </c>
      <c r="G43">
        <f>IF(OR(baseline.txt!M19 = 0,baseline.txt!M19=-1),"",inter_pl_update.txt!M19 / baseline.txt!M19)</f>
        <v/>
      </c>
      <c r="H43">
        <f>IF(OR(baseline.txt!S19 = 0,baseline.txt!S19=-1),"",inter_pl_update.txt!S19 / baseline.txt!S19)</f>
        <v/>
      </c>
      <c r="I43">
        <f>IF(OR(baseline.txt!U19 = 0,baseline.txt!U19=-1),"",inter_pl_update.txt!U19 / baseline.txt!U19)</f>
        <v/>
      </c>
      <c r="J43">
        <f>IF(OR(baseline.txt!V19 = 0,baseline.txt!V19=-1),"",inter_pl_update.txt!V19 / baseline.txt!V19)</f>
        <v/>
      </c>
      <c r="K43">
        <f>IF(OR(baseline.txt!AD19 = 0,baseline.txt!AD19=-1),"",inter_pl_update.txt!AD19 / baseline.txt!AD19)</f>
        <v/>
      </c>
      <c r="L43">
        <f>IF(OR(baseline.txt!AH19 = 0,baseline.txt!AH19=-1),"",inter_pl_update.txt!AH19 / baseline.txt!AH19)</f>
        <v/>
      </c>
      <c r="M43">
        <f>IF(OR(baseline.txt!AK19 = 0,baseline.txt!AK19=-1),"",inter_pl_update.txt!AK19 / baseline.txt!AK19)</f>
        <v/>
      </c>
      <c r="N43">
        <f>IF(OR(baseline.txt!AN19 = 0,baseline.txt!AN19=-1),"",inter_pl_update.txt!AN19 / baseline.txt!AN19)</f>
        <v/>
      </c>
      <c r="O43">
        <f>IF(OR(baseline.txt!AR19 = 0,baseline.txt!AR19=-1),"",inter_pl_update.txt!AR19 / baseline.txt!AR19)</f>
        <v/>
      </c>
      <c r="P43">
        <f>IF(OR(baseline.txt!AT19 = 0,baseline.txt!AT19=-1),"",inter_pl_update.txt!AT19 / baseline.txt!AT19)</f>
        <v/>
      </c>
      <c r="Q43">
        <f>IF(OR(baseline.txt!AZ19 = 0,baseline.txt!AZ19=-1),"",inter_pl_update.txt!AZ19 / baseline.txt!AZ19)</f>
        <v/>
      </c>
      <c r="R43">
        <f>IF(OR(baseline.txt!BC19 = 0,baseline.txt!BC19=-1),"",inter_pl_update.txt!BC19 / baseline.txt!BC19)</f>
        <v/>
      </c>
      <c r="S43">
        <f>IF(OR(baseline.txt!BP19 = 0,baseline.txt!BP19=-1),"",inter_pl_update.txt!BP19 / baseline.txt!BP19)</f>
        <v/>
      </c>
      <c r="T43">
        <f>IF(OR(baseline.txt!CF19 = 0,baseline.txt!CF19=-1),"",inter_pl_update.txt!CF19 / baseline.txt!CF19)</f>
        <v/>
      </c>
      <c r="U43">
        <f>IF(OR(baseline.txt!CG19 = 0,baseline.txt!CG19=-1),"",inter_pl_update.txt!CG19 / baseline.txt!CG19)</f>
        <v/>
      </c>
      <c r="V43">
        <f>IF(OR(baseline.txt!CP19 = 0,baseline.txt!CP19=-1),"",inter_pl_update.txt!CP19 / baseline.txt!CP19)</f>
        <v/>
      </c>
    </row>
    <row r="44">
      <c r="A44">
        <f>baseline.txt!A20</f>
        <v/>
      </c>
      <c r="B44">
        <f>baseline.txt!B20</f>
        <v/>
      </c>
      <c r="C44">
        <f>IF(OR(baseline.txt!D20 = 0,baseline.txt!D20=-1),"",inter_pl_update.txt!D20 / baseline.txt!D20)</f>
        <v/>
      </c>
      <c r="D44">
        <f>IF(OR(baseline.txt!H20 = 0,baseline.txt!H20=-1),"",inter_pl_update.txt!H20 / baseline.txt!H20)</f>
        <v/>
      </c>
      <c r="E44">
        <f>IF(OR(baseline.txt!J20 = 0,baseline.txt!J20=-1),"",inter_pl_update.txt!J20 / baseline.txt!J20)</f>
        <v/>
      </c>
      <c r="F44">
        <f>IF(OR(baseline.txt!L20 = 0,baseline.txt!L20=-1),"",inter_pl_update.txt!L20 / baseline.txt!L20)</f>
        <v/>
      </c>
      <c r="G44">
        <f>IF(OR(baseline.txt!M20 = 0,baseline.txt!M20=-1),"",inter_pl_update.txt!M20 / baseline.txt!M20)</f>
        <v/>
      </c>
      <c r="H44">
        <f>IF(OR(baseline.txt!S20 = 0,baseline.txt!S20=-1),"",inter_pl_update.txt!S20 / baseline.txt!S20)</f>
        <v/>
      </c>
      <c r="I44">
        <f>IF(OR(baseline.txt!U20 = 0,baseline.txt!U20=-1),"",inter_pl_update.txt!U20 / baseline.txt!U20)</f>
        <v/>
      </c>
      <c r="J44">
        <f>IF(OR(baseline.txt!V20 = 0,baseline.txt!V20=-1),"",inter_pl_update.txt!V20 / baseline.txt!V20)</f>
        <v/>
      </c>
      <c r="K44">
        <f>IF(OR(baseline.txt!AD20 = 0,baseline.txt!AD20=-1),"",inter_pl_update.txt!AD20 / baseline.txt!AD20)</f>
        <v/>
      </c>
      <c r="L44">
        <f>IF(OR(baseline.txt!AH20 = 0,baseline.txt!AH20=-1),"",inter_pl_update.txt!AH20 / baseline.txt!AH20)</f>
        <v/>
      </c>
      <c r="M44">
        <f>IF(OR(baseline.txt!AK20 = 0,baseline.txt!AK20=-1),"",inter_pl_update.txt!AK20 / baseline.txt!AK20)</f>
        <v/>
      </c>
      <c r="N44">
        <f>IF(OR(baseline.txt!AN20 = 0,baseline.txt!AN20=-1),"",inter_pl_update.txt!AN20 / baseline.txt!AN20)</f>
        <v/>
      </c>
      <c r="O44">
        <f>IF(OR(baseline.txt!AR20 = 0,baseline.txt!AR20=-1),"",inter_pl_update.txt!AR20 / baseline.txt!AR20)</f>
        <v/>
      </c>
      <c r="P44">
        <f>IF(OR(baseline.txt!AT20 = 0,baseline.txt!AT20=-1),"",inter_pl_update.txt!AT20 / baseline.txt!AT20)</f>
        <v/>
      </c>
      <c r="Q44">
        <f>IF(OR(baseline.txt!AZ20 = 0,baseline.txt!AZ20=-1),"",inter_pl_update.txt!AZ20 / baseline.txt!AZ20)</f>
        <v/>
      </c>
      <c r="R44">
        <f>IF(OR(baseline.txt!BC20 = 0,baseline.txt!BC20=-1),"",inter_pl_update.txt!BC20 / baseline.txt!BC20)</f>
        <v/>
      </c>
      <c r="S44">
        <f>IF(OR(baseline.txt!BP20 = 0,baseline.txt!BP20=-1),"",inter_pl_update.txt!BP20 / baseline.txt!BP20)</f>
        <v/>
      </c>
      <c r="T44">
        <f>IF(OR(baseline.txt!CF20 = 0,baseline.txt!CF20=-1),"",inter_pl_update.txt!CF20 / baseline.txt!CF20)</f>
        <v/>
      </c>
      <c r="U44">
        <f>IF(OR(baseline.txt!CG20 = 0,baseline.txt!CG20=-1),"",inter_pl_update.txt!CG20 / baseline.txt!CG20)</f>
        <v/>
      </c>
      <c r="V44">
        <f>IF(OR(baseline.txt!CP20 = 0,baseline.txt!CP20=-1),"",inter_pl_update.txt!CP20 / baseline.txt!CP20)</f>
        <v/>
      </c>
    </row>
    <row r="45">
      <c r="B45" t="inlineStr">
        <is>
          <t>GEOMEAN</t>
        </is>
      </c>
      <c r="C45">
        <f>GEOMEAN(C26:C44)</f>
        <v/>
      </c>
      <c r="D45">
        <f>GEOMEAN(D26:D44)</f>
        <v/>
      </c>
      <c r="E45">
        <f>GEOMEAN(E26:E44)</f>
        <v/>
      </c>
      <c r="F45">
        <f>GEOMEAN(F26:F44)</f>
        <v/>
      </c>
      <c r="G45">
        <f>GEOMEAN(G26:G44)</f>
        <v/>
      </c>
      <c r="H45">
        <f>GEOMEAN(H26:H44)</f>
        <v/>
      </c>
      <c r="I45">
        <f>GEOMEAN(I26:I44)</f>
        <v/>
      </c>
      <c r="J45">
        <f>GEOMEAN(J26:J44)</f>
        <v/>
      </c>
      <c r="K45">
        <f>GEOMEAN(K26:K44)</f>
        <v/>
      </c>
      <c r="L45">
        <f>GEOMEAN(L26:L44)</f>
        <v/>
      </c>
      <c r="M45">
        <f>GEOMEAN(M26:M44)</f>
        <v/>
      </c>
      <c r="N45">
        <f>GEOMEAN(N26:N44)</f>
        <v/>
      </c>
      <c r="O45">
        <f>GEOMEAN(O26:O44)</f>
        <v/>
      </c>
      <c r="P45">
        <f>GEOMEAN(P26:P44)</f>
        <v/>
      </c>
      <c r="Q45">
        <f>GEOMEAN(Q26:Q44)</f>
        <v/>
      </c>
      <c r="R45">
        <f>GEOMEAN(R26:R44)</f>
        <v/>
      </c>
      <c r="S45">
        <f>GEOMEAN(S26:S44)</f>
        <v/>
      </c>
      <c r="T45">
        <f>GEOMEAN(T26:T44)</f>
        <v/>
      </c>
      <c r="U45">
        <f>GEOMEAN(U26:U44)</f>
        <v/>
      </c>
      <c r="V45">
        <f>GEOMEAN(V26:V44)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vtr_flow_elapsed_time</t>
        </is>
      </c>
      <c r="E1" t="inlineStr">
        <is>
          <t>vtr_max_mem_stage</t>
        </is>
      </c>
      <c r="F1" t="inlineStr">
        <is>
          <t>vtr_max_mem</t>
        </is>
      </c>
      <c r="G1" t="inlineStr">
        <is>
          <t>error</t>
        </is>
      </c>
      <c r="H1" t="inlineStr">
        <is>
          <t>odin_synth_time</t>
        </is>
      </c>
      <c r="I1" t="inlineStr">
        <is>
          <t>max_odin_mem</t>
        </is>
      </c>
      <c r="J1" t="inlineStr">
        <is>
          <t>parmys_synth_time</t>
        </is>
      </c>
      <c r="K1" t="inlineStr">
        <is>
          <t>max_parmys_mem</t>
        </is>
      </c>
      <c r="L1" t="inlineStr">
        <is>
          <t>abc_depth</t>
        </is>
      </c>
      <c r="M1" t="inlineStr">
        <is>
          <t>abc_synth_time</t>
        </is>
      </c>
      <c r="N1" t="inlineStr">
        <is>
          <t>abc_cec_time</t>
        </is>
      </c>
      <c r="O1" t="inlineStr">
        <is>
          <t>abc_sec_time</t>
        </is>
      </c>
      <c r="P1" t="inlineStr">
        <is>
          <t>max_abc_mem</t>
        </is>
      </c>
      <c r="Q1" t="inlineStr">
        <is>
          <t>ace_time</t>
        </is>
      </c>
      <c r="R1" t="inlineStr">
        <is>
          <t>max_ace_mem</t>
        </is>
      </c>
      <c r="S1" t="inlineStr">
        <is>
          <t>num_clb</t>
        </is>
      </c>
      <c r="T1" t="inlineStr">
        <is>
          <t>num_io</t>
        </is>
      </c>
      <c r="U1" t="inlineStr">
        <is>
          <t>num_memories</t>
        </is>
      </c>
      <c r="V1" t="inlineStr">
        <is>
          <t>num_mult</t>
        </is>
      </c>
      <c r="W1" t="inlineStr">
        <is>
          <t>vpr_status</t>
        </is>
      </c>
      <c r="X1" t="inlineStr">
        <is>
          <t>vpr_revision</t>
        </is>
      </c>
      <c r="Y1" t="inlineStr">
        <is>
          <t>vpr_build_info</t>
        </is>
      </c>
      <c r="Z1" t="inlineStr">
        <is>
          <t>vpr_compiler</t>
        </is>
      </c>
      <c r="AA1" t="inlineStr">
        <is>
          <t>vpr_compiled</t>
        </is>
      </c>
      <c r="AB1" t="inlineStr">
        <is>
          <t>hostname</t>
        </is>
      </c>
      <c r="AC1" t="inlineStr">
        <is>
          <t>rundir</t>
        </is>
      </c>
      <c r="AD1" t="inlineStr">
        <is>
          <t>max_vpr_mem</t>
        </is>
      </c>
      <c r="AE1" t="inlineStr">
        <is>
          <t>num_primary_inputs</t>
        </is>
      </c>
      <c r="AF1" t="inlineStr">
        <is>
          <t>num_primary_outputs</t>
        </is>
      </c>
      <c r="AG1" t="inlineStr">
        <is>
          <t>num_pre_packed_nets</t>
        </is>
      </c>
      <c r="AH1" t="inlineStr">
        <is>
          <t>num_pre_packed_blocks</t>
        </is>
      </c>
      <c r="AI1" t="inlineStr">
        <is>
          <t>num_netlist_clocks</t>
        </is>
      </c>
      <c r="AJ1" t="inlineStr">
        <is>
          <t>num_post_packed_nets</t>
        </is>
      </c>
      <c r="AK1" t="inlineStr">
        <is>
          <t>num_post_packed_blocks</t>
        </is>
      </c>
      <c r="AL1" t="inlineStr">
        <is>
          <t>device_width</t>
        </is>
      </c>
      <c r="AM1" t="inlineStr">
        <is>
          <t>device_height</t>
        </is>
      </c>
      <c r="AN1" t="inlineStr">
        <is>
          <t>device_grid_tiles</t>
        </is>
      </c>
      <c r="AO1" t="inlineStr">
        <is>
          <t>device_limiting_resources</t>
        </is>
      </c>
      <c r="AP1" t="inlineStr">
        <is>
          <t>device_name</t>
        </is>
      </c>
      <c r="AQ1" t="inlineStr">
        <is>
          <t>pack_mem</t>
        </is>
      </c>
      <c r="AR1" t="inlineStr">
        <is>
          <t>pack_time</t>
        </is>
      </c>
      <c r="AS1" t="inlineStr">
        <is>
          <t>initial_placed_wirelength_est</t>
        </is>
      </c>
      <c r="AT1" t="inlineStr">
        <is>
          <t>placed_wirelength_est</t>
        </is>
      </c>
      <c r="AU1" t="inlineStr">
        <is>
          <t>total_swap</t>
        </is>
      </c>
      <c r="AV1" t="inlineStr">
        <is>
          <t>accepted_swap</t>
        </is>
      </c>
      <c r="AW1" t="inlineStr">
        <is>
          <t>rejected_swap</t>
        </is>
      </c>
      <c r="AX1" t="inlineStr">
        <is>
          <t>aborted_swap</t>
        </is>
      </c>
      <c r="AY1" t="inlineStr">
        <is>
          <t>place_mem</t>
        </is>
      </c>
      <c r="AZ1" t="inlineStr">
        <is>
          <t>place_time</t>
        </is>
      </c>
      <c r="BA1" t="inlineStr">
        <is>
          <t>place_quench_time</t>
        </is>
      </c>
      <c r="BB1" t="inlineStr">
        <is>
          <t>initial_placed_CPD_est</t>
        </is>
      </c>
      <c r="BC1" t="inlineStr">
        <is>
          <t>placed_CPD_est</t>
        </is>
      </c>
      <c r="BD1" t="inlineStr">
        <is>
          <t>placed_setup_TNS_est</t>
        </is>
      </c>
      <c r="BE1" t="inlineStr">
        <is>
          <t>placed_setup_WNS_est</t>
        </is>
      </c>
      <c r="BF1" t="inlineStr">
        <is>
          <t>placed_geomean_nonvirtual_intradomain_critical_path_delay_est</t>
        </is>
      </c>
      <c r="BG1" t="inlineStr">
        <is>
          <t>place_delay_matrix_lookup_time</t>
        </is>
      </c>
      <c r="BH1" t="inlineStr">
        <is>
          <t>place_quench_timing_analysis_time</t>
        </is>
      </c>
      <c r="BI1" t="inlineStr">
        <is>
          <t>place_quench_sta_time</t>
        </is>
      </c>
      <c r="BJ1" t="inlineStr">
        <is>
          <t>place_total_timing_analysis_time</t>
        </is>
      </c>
      <c r="BK1" t="inlineStr">
        <is>
          <t>place_total_sta_time</t>
        </is>
      </c>
      <c r="BL1" t="inlineStr">
        <is>
          <t>ap_mem</t>
        </is>
      </c>
      <c r="BM1" t="inlineStr">
        <is>
          <t>ap_time</t>
        </is>
      </c>
      <c r="BN1" t="inlineStr">
        <is>
          <t>ap_full_legalizer_mem</t>
        </is>
      </c>
      <c r="BO1" t="inlineStr">
        <is>
          <t>ap_full_legalizer_time</t>
        </is>
      </c>
      <c r="BP1" t="inlineStr">
        <is>
          <t>routed_wirelength</t>
        </is>
      </c>
      <c r="BQ1" t="inlineStr">
        <is>
          <t>avg_routed_wirelength</t>
        </is>
      </c>
      <c r="BR1" t="inlineStr">
        <is>
          <t>routed_wiresegment</t>
        </is>
      </c>
      <c r="BS1" t="inlineStr">
        <is>
          <t>avg_routed_wiresegment</t>
        </is>
      </c>
      <c r="BT1" t="inlineStr">
        <is>
          <t>total_nets_routed</t>
        </is>
      </c>
      <c r="BU1" t="inlineStr">
        <is>
          <t>total_connections_routed</t>
        </is>
      </c>
      <c r="BV1" t="inlineStr">
        <is>
          <t>total_heap_pushes</t>
        </is>
      </c>
      <c r="BW1" t="inlineStr">
        <is>
          <t>total_heap_pops</t>
        </is>
      </c>
      <c r="BX1" t="inlineStr">
        <is>
          <t>logic_block_area_total</t>
        </is>
      </c>
      <c r="BY1" t="inlineStr">
        <is>
          <t>logic_block_area_used</t>
        </is>
      </c>
      <c r="BZ1" t="inlineStr">
        <is>
          <t>routing_area_total</t>
        </is>
      </c>
      <c r="CA1" t="inlineStr">
        <is>
          <t>routing_area_per_tile</t>
        </is>
      </c>
      <c r="CB1" t="inlineStr">
        <is>
          <t>crit_path_route_success_iteration</t>
        </is>
      </c>
      <c r="CC1" t="inlineStr">
        <is>
          <t>num_rr_graph_nodes</t>
        </is>
      </c>
      <c r="CD1" t="inlineStr">
        <is>
          <t>num_rr_graph_edges</t>
        </is>
      </c>
      <c r="CE1" t="inlineStr">
        <is>
          <t>collapsed_nodes</t>
        </is>
      </c>
      <c r="CF1" t="inlineStr">
        <is>
          <t>critical_path_delay</t>
        </is>
      </c>
      <c r="CG1" t="inlineStr">
        <is>
          <t>geomean_nonvirtual_intradomain_critical_path_delay</t>
        </is>
      </c>
      <c r="CH1" t="inlineStr">
        <is>
          <t>setup_TNS</t>
        </is>
      </c>
      <c r="CI1" t="inlineStr">
        <is>
          <t>setup_WNS</t>
        </is>
      </c>
      <c r="CJ1" t="inlineStr">
        <is>
          <t>hold_TNS</t>
        </is>
      </c>
      <c r="CK1" t="inlineStr">
        <is>
          <t>hold_WNS</t>
        </is>
      </c>
      <c r="CL1" t="inlineStr">
        <is>
          <t>create_rr_graph_time</t>
        </is>
      </c>
      <c r="CM1" t="inlineStr">
        <is>
          <t>create_intra_cluster_rr_graph_time</t>
        </is>
      </c>
      <c r="CN1" t="inlineStr">
        <is>
          <t>adding_internal_edges</t>
        </is>
      </c>
      <c r="CO1" t="inlineStr">
        <is>
          <t>route_mem</t>
        </is>
      </c>
      <c r="CP1" t="inlineStr">
        <is>
          <t>crit_path_route_time</t>
        </is>
      </c>
      <c r="CQ1" t="inlineStr">
        <is>
          <t>crit_path_total_timing_analysis_time</t>
        </is>
      </c>
      <c r="CR1" t="inlineStr">
        <is>
          <t>crit_path_total_sta_time</t>
        </is>
      </c>
      <c r="CS1" t="inlineStr">
        <is>
          <t>router_lookahead_mem</t>
        </is>
      </c>
      <c r="CT1" t="inlineStr">
        <is>
          <t>tile_lookahead_computation_time</t>
        </is>
      </c>
      <c r="CU1" t="inlineStr">
        <is>
          <t>router_lookahead_computation_time</t>
        </is>
      </c>
      <c r="CV1" t="inlineStr">
        <is>
          <t>Unnamed: 99</t>
        </is>
      </c>
    </row>
    <row r="2">
      <c r="A2" t="inlineStr">
        <is>
          <t>hecate_25d_L17_int_10um_bump_fanin_12.xml</t>
        </is>
      </c>
      <c r="B2" t="inlineStr">
        <is>
          <t>attention_layer.blif</t>
        </is>
      </c>
      <c r="C2" t="inlineStr">
        <is>
          <t>common</t>
        </is>
      </c>
      <c r="D2" t="n">
        <v>205.17</v>
      </c>
      <c r="E2" t="inlineStr">
        <is>
          <t>vpr</t>
        </is>
      </c>
      <c r="F2" t="inlineStr">
        <is>
          <t>566.44 MiB</t>
        </is>
      </c>
      <c r="G2" t="n">
        <v/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1351</v>
      </c>
      <c r="T2" t="n">
        <v>1052</v>
      </c>
      <c r="U2" t="n">
        <v>194</v>
      </c>
      <c r="V2" t="n">
        <v>-1</v>
      </c>
      <c r="W2" t="inlineStr">
        <is>
          <t>success</t>
        </is>
      </c>
      <c r="X2" t="inlineStr">
        <is>
          <t>v8.0.0-16074-g5c6c698728</t>
        </is>
      </c>
      <c r="Y2" t="inlineStr">
        <is>
          <t>release IPO VTR_ASSERT_LEVEL=2</t>
        </is>
      </c>
      <c r="Z2" t="inlineStr">
        <is>
          <t>GNU 13.3.0 on Linux-6.8.0-100-generic x86_64</t>
        </is>
      </c>
      <c r="AA2" t="inlineStr">
        <is>
          <t>2026-06-03T17:04:21</t>
        </is>
      </c>
      <c r="AB2" t="inlineStr">
        <is>
          <t>betzgrp-wintermute</t>
        </is>
      </c>
      <c r="AC2" t="inlineStr">
        <is>
          <t>/home/singera8/fpga-analytical-placement/testing/test_suites</t>
        </is>
      </c>
      <c r="AD2" t="n">
        <v>580036</v>
      </c>
      <c r="AE2" t="n">
        <v>1052</v>
      </c>
      <c r="AF2" t="n">
        <v>32</v>
      </c>
      <c r="AG2" t="n">
        <v>29505</v>
      </c>
      <c r="AH2" t="n">
        <v>27637</v>
      </c>
      <c r="AI2" t="n">
        <v>1</v>
      </c>
      <c r="AJ2" t="n">
        <v>20695</v>
      </c>
      <c r="AK2" t="n">
        <v>2728</v>
      </c>
      <c r="AL2" t="n">
        <v>54</v>
      </c>
      <c r="AM2" t="n">
        <v>54</v>
      </c>
      <c r="AN2" t="n">
        <v>2916</v>
      </c>
      <c r="AO2" t="inlineStr">
        <is>
          <t>memory</t>
        </is>
      </c>
      <c r="AP2" t="inlineStr">
        <is>
          <t>auto</t>
        </is>
      </c>
      <c r="AQ2" t="inlineStr">
        <is>
          <t>519.6 MiB</t>
        </is>
      </c>
      <c r="AR2" t="n">
        <v>112.43</v>
      </c>
      <c r="AS2" t="n">
        <v>259031</v>
      </c>
      <c r="AT2" t="n">
        <v>192142</v>
      </c>
      <c r="AU2" t="n">
        <v>1488862</v>
      </c>
      <c r="AV2" t="n">
        <v>342275</v>
      </c>
      <c r="AW2" t="n">
        <v>1115622</v>
      </c>
      <c r="AX2" t="n">
        <v>30965</v>
      </c>
      <c r="AY2" t="inlineStr">
        <is>
          <t>522.0 MiB</t>
        </is>
      </c>
      <c r="AZ2" t="n">
        <v>21.23</v>
      </c>
      <c r="BA2" t="n">
        <v>0.29</v>
      </c>
      <c r="BB2" t="n">
        <v>6.29311</v>
      </c>
      <c r="BC2" t="n">
        <v>5.45392</v>
      </c>
      <c r="BD2" t="n">
        <v>-48844.1</v>
      </c>
      <c r="BE2" t="n">
        <v>-5.45392</v>
      </c>
      <c r="BF2" t="n">
        <v>5.45392</v>
      </c>
      <c r="BG2" t="n">
        <v>0.34</v>
      </c>
      <c r="BH2" t="n">
        <v>0.0698382</v>
      </c>
      <c r="BI2" t="n">
        <v>0.0606583</v>
      </c>
      <c r="BJ2" t="n">
        <v>6.1345</v>
      </c>
      <c r="BK2" t="n">
        <v>5.2362</v>
      </c>
      <c r="BL2" t="inlineStr">
        <is>
          <t>522.0 MiB</t>
        </is>
      </c>
      <c r="BM2" t="n">
        <v>168.78</v>
      </c>
      <c r="BN2" t="inlineStr">
        <is>
          <t>522.0 MiB</t>
        </is>
      </c>
      <c r="BO2" t="n">
        <v>114.64</v>
      </c>
      <c r="BP2" t="n">
        <v>409814</v>
      </c>
      <c r="BQ2" t="n">
        <v>19.8054</v>
      </c>
      <c r="BR2" t="n">
        <v>99968</v>
      </c>
      <c r="BS2" t="n">
        <v>4.83124</v>
      </c>
      <c r="BT2" t="n">
        <v>87259</v>
      </c>
      <c r="BU2" t="n">
        <v>197437</v>
      </c>
      <c r="BV2" t="n">
        <v>99718338</v>
      </c>
      <c r="BW2" t="n">
        <v>35558049</v>
      </c>
      <c r="BX2" t="n">
        <v>121774000</v>
      </c>
      <c r="BY2" t="n">
        <v>89530100</v>
      </c>
      <c r="BZ2" t="n">
        <v>53280800</v>
      </c>
      <c r="CA2" t="n">
        <v>18271.9</v>
      </c>
      <c r="CB2" t="n">
        <v>19</v>
      </c>
      <c r="CC2" t="n">
        <v>735536</v>
      </c>
      <c r="CD2" t="n">
        <v>10356455</v>
      </c>
      <c r="CE2" t="n">
        <v>-1</v>
      </c>
      <c r="CF2" t="n">
        <v>6.13968</v>
      </c>
      <c r="CG2" t="n">
        <v>6.13968</v>
      </c>
      <c r="CH2" t="n">
        <v>-68695.2</v>
      </c>
      <c r="CI2" t="n">
        <v>-6.13968</v>
      </c>
      <c r="CJ2" t="n">
        <v>0</v>
      </c>
      <c r="CK2" t="n">
        <v>0</v>
      </c>
      <c r="CL2" t="n">
        <v>7.4</v>
      </c>
      <c r="CM2" t="n">
        <v>-1</v>
      </c>
      <c r="CN2" t="n">
        <v>-1</v>
      </c>
      <c r="CO2" t="inlineStr">
        <is>
          <t>541.3 MiB</t>
        </is>
      </c>
      <c r="CP2" t="n">
        <v>32.6</v>
      </c>
      <c r="CQ2" t="n">
        <v>15.4654</v>
      </c>
      <c r="CR2" t="n">
        <v>13.4722</v>
      </c>
      <c r="CS2" t="inlineStr">
        <is>
          <t>519.6 MiB</t>
        </is>
      </c>
      <c r="CT2" t="n">
        <v>-1</v>
      </c>
      <c r="CU2" t="n">
        <v>5.7</v>
      </c>
      <c r="CV2" t="n">
        <v/>
      </c>
    </row>
    <row r="3">
      <c r="A3" t="inlineStr">
        <is>
          <t>hecate_25d_L17_int_10um_bump_fanin_12.xml</t>
        </is>
      </c>
      <c r="B3" t="inlineStr">
        <is>
          <t>bnn.blif</t>
        </is>
      </c>
      <c r="C3" t="inlineStr">
        <is>
          <t>common</t>
        </is>
      </c>
      <c r="D3" t="n">
        <v>940.34</v>
      </c>
      <c r="E3" t="inlineStr">
        <is>
          <t>vpr</t>
        </is>
      </c>
      <c r="F3" t="inlineStr">
        <is>
          <t>2.26 GiB</t>
        </is>
      </c>
      <c r="G3" t="n">
        <v/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9526</v>
      </c>
      <c r="T3" t="n">
        <v>260</v>
      </c>
      <c r="U3" t="n">
        <v>0</v>
      </c>
      <c r="V3" t="n">
        <v>-1</v>
      </c>
      <c r="W3" t="inlineStr">
        <is>
          <t>success</t>
        </is>
      </c>
      <c r="X3" t="inlineStr">
        <is>
          <t>v8.0.0-16074-g5c6c698728</t>
        </is>
      </c>
      <c r="Y3" t="inlineStr">
        <is>
          <t>release IPO VTR_ASSERT_LEVEL=2</t>
        </is>
      </c>
      <c r="Z3" t="inlineStr">
        <is>
          <t>GNU 13.3.0 on Linux-6.8.0-100-generic x86_64</t>
        </is>
      </c>
      <c r="AA3" t="inlineStr">
        <is>
          <t>2026-06-03T17:04:21</t>
        </is>
      </c>
      <c r="AB3" t="inlineStr">
        <is>
          <t>betzgrp-wintermute</t>
        </is>
      </c>
      <c r="AC3" t="inlineStr">
        <is>
          <t>/home/singera8/fpga-analytical-placement/testing/test_suites</t>
        </is>
      </c>
      <c r="AD3" t="n">
        <v>2370888</v>
      </c>
      <c r="AE3" t="n">
        <v>260</v>
      </c>
      <c r="AF3" t="n">
        <v>122</v>
      </c>
      <c r="AG3" t="n">
        <v>152293</v>
      </c>
      <c r="AH3" t="n">
        <v>150576</v>
      </c>
      <c r="AI3" t="n">
        <v>1</v>
      </c>
      <c r="AJ3" t="n">
        <v>87707</v>
      </c>
      <c r="AK3" t="n">
        <v>9995</v>
      </c>
      <c r="AL3" t="n">
        <v>106</v>
      </c>
      <c r="AM3" t="n">
        <v>106</v>
      </c>
      <c r="AN3" t="n">
        <v>11236</v>
      </c>
      <c r="AO3" t="inlineStr">
        <is>
          <t>clb</t>
        </is>
      </c>
      <c r="AP3" t="inlineStr">
        <is>
          <t>auto</t>
        </is>
      </c>
      <c r="AQ3" t="inlineStr">
        <is>
          <t>2069.9 MiB</t>
        </is>
      </c>
      <c r="AR3" t="n">
        <v>385.09</v>
      </c>
      <c r="AS3" t="n">
        <v>2293920</v>
      </c>
      <c r="AT3" t="n">
        <v>999949</v>
      </c>
      <c r="AU3" t="n">
        <v>9264971</v>
      </c>
      <c r="AV3" t="n">
        <v>2573814</v>
      </c>
      <c r="AW3" t="n">
        <v>6645262</v>
      </c>
      <c r="AX3" t="n">
        <v>45895</v>
      </c>
      <c r="AY3" t="inlineStr">
        <is>
          <t>2234.0 MiB</t>
        </is>
      </c>
      <c r="AZ3" t="n">
        <v>253.67</v>
      </c>
      <c r="BA3" t="n">
        <v>2.45</v>
      </c>
      <c r="BB3" t="n">
        <v>18.6049</v>
      </c>
      <c r="BC3" t="n">
        <v>6.52662</v>
      </c>
      <c r="BD3" t="n">
        <v>-113009</v>
      </c>
      <c r="BE3" t="n">
        <v>-6.52662</v>
      </c>
      <c r="BF3" t="n">
        <v>6.52662</v>
      </c>
      <c r="BG3" t="n">
        <v>1.06</v>
      </c>
      <c r="BH3" t="n">
        <v>0.304397</v>
      </c>
      <c r="BI3" t="n">
        <v>0.269426</v>
      </c>
      <c r="BJ3" t="n">
        <v>32.0792</v>
      </c>
      <c r="BK3" t="n">
        <v>27.1951</v>
      </c>
      <c r="BL3" t="inlineStr">
        <is>
          <t>2234.0 MiB</t>
        </is>
      </c>
      <c r="BM3" t="n">
        <v>830.77</v>
      </c>
      <c r="BN3" t="inlineStr">
        <is>
          <t>2234.0 MiB</t>
        </is>
      </c>
      <c r="BO3" t="n">
        <v>397.83</v>
      </c>
      <c r="BP3" t="n">
        <v>1769575</v>
      </c>
      <c r="BQ3" t="n">
        <v>20.1845</v>
      </c>
      <c r="BR3" t="n">
        <v>416799</v>
      </c>
      <c r="BS3" t="n">
        <v>4.75418</v>
      </c>
      <c r="BT3" t="n">
        <v>302407</v>
      </c>
      <c r="BU3" t="n">
        <v>826082</v>
      </c>
      <c r="BV3" t="n">
        <v>222867353</v>
      </c>
      <c r="BW3" t="n">
        <v>81096199</v>
      </c>
      <c r="BX3" t="n">
        <v>499174000</v>
      </c>
      <c r="BY3" t="n">
        <v>287892000</v>
      </c>
      <c r="BZ3" t="n">
        <v>209331000</v>
      </c>
      <c r="CA3" t="n">
        <v>18630.3</v>
      </c>
      <c r="CB3" t="n">
        <v>17</v>
      </c>
      <c r="CC3" t="n">
        <v>2890824</v>
      </c>
      <c r="CD3" t="n">
        <v>40994007</v>
      </c>
      <c r="CE3" t="n">
        <v>-1</v>
      </c>
      <c r="CF3" t="n">
        <v>9.19506</v>
      </c>
      <c r="CG3" t="n">
        <v>9.19506</v>
      </c>
      <c r="CH3" t="n">
        <v>-136197</v>
      </c>
      <c r="CI3" t="n">
        <v>-9.19506</v>
      </c>
      <c r="CJ3" t="n">
        <v>0</v>
      </c>
      <c r="CK3" t="n">
        <v>0</v>
      </c>
      <c r="CL3" t="n">
        <v>29.55</v>
      </c>
      <c r="CM3" t="n">
        <v>-1</v>
      </c>
      <c r="CN3" t="n">
        <v>-1</v>
      </c>
      <c r="CO3" t="inlineStr">
        <is>
          <t>2234.0 MiB</t>
        </is>
      </c>
      <c r="CP3" t="n">
        <v>89.5</v>
      </c>
      <c r="CQ3" t="n">
        <v>67.962</v>
      </c>
      <c r="CR3" t="n">
        <v>58.4021</v>
      </c>
      <c r="CS3" t="inlineStr">
        <is>
          <t>1874.6 MiB</t>
        </is>
      </c>
      <c r="CT3" t="n">
        <v>-1</v>
      </c>
      <c r="CU3" t="n">
        <v>27.88</v>
      </c>
      <c r="CV3" t="n">
        <v/>
      </c>
    </row>
    <row r="4">
      <c r="A4" t="inlineStr">
        <is>
          <t>hecate_25d_L17_int_10um_bump_fanin_12.xml</t>
        </is>
      </c>
      <c r="B4" t="inlineStr">
        <is>
          <t>bwave_like.fixed.small.blif</t>
        </is>
      </c>
      <c r="C4" t="inlineStr">
        <is>
          <t>common</t>
        </is>
      </c>
      <c r="D4" t="n">
        <v>148.75</v>
      </c>
      <c r="E4" t="inlineStr">
        <is>
          <t>vpr</t>
        </is>
      </c>
      <c r="F4" t="inlineStr">
        <is>
          <t>590.94 MiB</t>
        </is>
      </c>
      <c r="G4" t="n">
        <v/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1042</v>
      </c>
      <c r="T4" t="n">
        <v>112</v>
      </c>
      <c r="U4" t="n">
        <v>170</v>
      </c>
      <c r="V4" t="n">
        <v>-1</v>
      </c>
      <c r="W4" t="inlineStr">
        <is>
          <t>success</t>
        </is>
      </c>
      <c r="X4" t="inlineStr">
        <is>
          <t>v8.0.0-16074-g5c6c698728</t>
        </is>
      </c>
      <c r="Y4" t="inlineStr">
        <is>
          <t>release IPO VTR_ASSERT_LEVEL=2</t>
        </is>
      </c>
      <c r="Z4" t="inlineStr">
        <is>
          <t>GNU 13.3.0 on Linux-6.8.0-100-generic x86_64</t>
        </is>
      </c>
      <c r="AA4" t="inlineStr">
        <is>
          <t>2026-06-03T17:04:21</t>
        </is>
      </c>
      <c r="AB4" t="inlineStr">
        <is>
          <t>betzgrp-wintermute</t>
        </is>
      </c>
      <c r="AC4" t="inlineStr">
        <is>
          <t>/home/singera8/fpga-analytical-placement/testing/test_suites</t>
        </is>
      </c>
      <c r="AD4" t="n">
        <v>605120</v>
      </c>
      <c r="AE4" t="n">
        <v>112</v>
      </c>
      <c r="AF4" t="n">
        <v>86</v>
      </c>
      <c r="AG4" t="n">
        <v>25401</v>
      </c>
      <c r="AH4" t="n">
        <v>20863</v>
      </c>
      <c r="AI4" t="n">
        <v>1</v>
      </c>
      <c r="AJ4" t="n">
        <v>17519</v>
      </c>
      <c r="AK4" t="n">
        <v>1573</v>
      </c>
      <c r="AL4" t="n">
        <v>61</v>
      </c>
      <c r="AM4" t="n">
        <v>61</v>
      </c>
      <c r="AN4" t="n">
        <v>3721</v>
      </c>
      <c r="AO4" t="inlineStr">
        <is>
          <t>dsp_top</t>
        </is>
      </c>
      <c r="AP4" t="inlineStr">
        <is>
          <t>auto</t>
        </is>
      </c>
      <c r="AQ4" t="inlineStr">
        <is>
          <t>590.9 MiB</t>
        </is>
      </c>
      <c r="AR4" t="n">
        <v>44.29</v>
      </c>
      <c r="AS4" t="n">
        <v>305819</v>
      </c>
      <c r="AT4" t="n">
        <v>226179</v>
      </c>
      <c r="AU4" t="n">
        <v>659941</v>
      </c>
      <c r="AV4" t="n">
        <v>159451</v>
      </c>
      <c r="AW4" t="n">
        <v>464106</v>
      </c>
      <c r="AX4" t="n">
        <v>36384</v>
      </c>
      <c r="AY4" t="inlineStr">
        <is>
          <t>590.9 MiB</t>
        </is>
      </c>
      <c r="AZ4" t="n">
        <v>14.87</v>
      </c>
      <c r="BA4" t="n">
        <v>0.21</v>
      </c>
      <c r="BB4" t="n">
        <v>6.26512</v>
      </c>
      <c r="BC4" t="n">
        <v>5.31593</v>
      </c>
      <c r="BD4" t="n">
        <v>-57251.1</v>
      </c>
      <c r="BE4" t="n">
        <v>-5.31593</v>
      </c>
      <c r="BF4" t="n">
        <v>5.31593</v>
      </c>
      <c r="BG4" t="n">
        <v>0.34</v>
      </c>
      <c r="BH4" t="n">
        <v>0.07239619999999999</v>
      </c>
      <c r="BI4" t="n">
        <v>0.0629272</v>
      </c>
      <c r="BJ4" t="n">
        <v>5.72663</v>
      </c>
      <c r="BK4" t="n">
        <v>4.70081</v>
      </c>
      <c r="BL4" t="inlineStr">
        <is>
          <t>590.9 MiB</t>
        </is>
      </c>
      <c r="BM4" t="n">
        <v>97.39</v>
      </c>
      <c r="BN4" t="inlineStr">
        <is>
          <t>590.9 MiB</t>
        </is>
      </c>
      <c r="BO4" t="n">
        <v>46.19</v>
      </c>
      <c r="BP4" t="n">
        <v>446508</v>
      </c>
      <c r="BQ4" t="n">
        <v>25.49</v>
      </c>
      <c r="BR4" t="n">
        <v>101797</v>
      </c>
      <c r="BS4" t="n">
        <v>5.81133</v>
      </c>
      <c r="BT4" t="n">
        <v>72651</v>
      </c>
      <c r="BU4" t="n">
        <v>155440</v>
      </c>
      <c r="BV4" t="n">
        <v>131010672</v>
      </c>
      <c r="BW4" t="n">
        <v>48261537</v>
      </c>
      <c r="BX4" t="n">
        <v>163018000</v>
      </c>
      <c r="BY4" t="n">
        <v>93845700</v>
      </c>
      <c r="BZ4" t="n">
        <v>68545000</v>
      </c>
      <c r="CA4" t="n">
        <v>18421.1</v>
      </c>
      <c r="CB4" t="n">
        <v>17</v>
      </c>
      <c r="CC4" t="n">
        <v>960456</v>
      </c>
      <c r="CD4" t="n">
        <v>13377129</v>
      </c>
      <c r="CE4" t="n">
        <v>-1</v>
      </c>
      <c r="CF4" t="n">
        <v>6.04703</v>
      </c>
      <c r="CG4" t="n">
        <v>6.04703</v>
      </c>
      <c r="CH4" t="n">
        <v>-82358.7</v>
      </c>
      <c r="CI4" t="n">
        <v>-6.04703</v>
      </c>
      <c r="CJ4" t="n">
        <v>0</v>
      </c>
      <c r="CK4" t="n">
        <v>0</v>
      </c>
      <c r="CL4" t="n">
        <v>9.65</v>
      </c>
      <c r="CM4" t="n">
        <v>-1</v>
      </c>
      <c r="CN4" t="n">
        <v>-1</v>
      </c>
      <c r="CO4" t="inlineStr">
        <is>
          <t>590.9 MiB</t>
        </is>
      </c>
      <c r="CP4" t="n">
        <v>47.63</v>
      </c>
      <c r="CQ4" t="n">
        <v>16.0312</v>
      </c>
      <c r="CR4" t="n">
        <v>13.6024</v>
      </c>
      <c r="CS4" t="inlineStr">
        <is>
          <t>590.9 MiB</t>
        </is>
      </c>
      <c r="CT4" t="n">
        <v>-1</v>
      </c>
      <c r="CU4" t="n">
        <v>8.85</v>
      </c>
      <c r="CV4" t="n">
        <v/>
      </c>
    </row>
    <row r="5">
      <c r="A5" t="inlineStr">
        <is>
          <t>hecate_25d_L17_int_10um_bump_fanin_12.xml</t>
        </is>
      </c>
      <c r="B5" t="inlineStr">
        <is>
          <t>bwave_like.fixed.large.blif</t>
        </is>
      </c>
      <c r="C5" t="inlineStr">
        <is>
          <t>common</t>
        </is>
      </c>
      <c r="D5" t="n">
        <v>705.1</v>
      </c>
      <c r="E5" t="inlineStr">
        <is>
          <t>vpr</t>
        </is>
      </c>
      <c r="F5" t="inlineStr">
        <is>
          <t>2.24 GiB</t>
        </is>
      </c>
      <c r="G5" t="n">
        <v/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3732</v>
      </c>
      <c r="T5" t="n">
        <v>178</v>
      </c>
      <c r="U5" t="n">
        <v>511</v>
      </c>
      <c r="V5" t="n">
        <v>-1</v>
      </c>
      <c r="W5" t="inlineStr">
        <is>
          <t>success</t>
        </is>
      </c>
      <c r="X5" t="inlineStr">
        <is>
          <t>v8.0.0-16074-g5c6c698728</t>
        </is>
      </c>
      <c r="Y5" t="inlineStr">
        <is>
          <t>release IPO VTR_ASSERT_LEVEL=2</t>
        </is>
      </c>
      <c r="Z5" t="inlineStr">
        <is>
          <t>GNU 13.3.0 on Linux-6.8.0-100-generic x86_64</t>
        </is>
      </c>
      <c r="AA5" t="inlineStr">
        <is>
          <t>2026-06-03T17:04:21</t>
        </is>
      </c>
      <c r="AB5" t="inlineStr">
        <is>
          <t>betzgrp-wintermute</t>
        </is>
      </c>
      <c r="AC5" t="inlineStr">
        <is>
          <t>/home/singera8/fpga-analytical-placement/testing/test_suites</t>
        </is>
      </c>
      <c r="AD5" t="n">
        <v>2344492</v>
      </c>
      <c r="AE5" t="n">
        <v>178</v>
      </c>
      <c r="AF5" t="n">
        <v>150</v>
      </c>
      <c r="AG5" t="n">
        <v>90136</v>
      </c>
      <c r="AH5" t="n">
        <v>73326</v>
      </c>
      <c r="AI5" t="n">
        <v>1</v>
      </c>
      <c r="AJ5" t="n">
        <v>62443</v>
      </c>
      <c r="AK5" t="n">
        <v>5172</v>
      </c>
      <c r="AL5" t="n">
        <v>115</v>
      </c>
      <c r="AM5" t="n">
        <v>115</v>
      </c>
      <c r="AN5" t="n">
        <v>13225</v>
      </c>
      <c r="AO5" t="inlineStr">
        <is>
          <t>dsp_top</t>
        </is>
      </c>
      <c r="AP5" t="inlineStr">
        <is>
          <t>auto</t>
        </is>
      </c>
      <c r="AQ5" t="inlineStr">
        <is>
          <t>1859.9 MiB</t>
        </is>
      </c>
      <c r="AR5" t="n">
        <v>178.17</v>
      </c>
      <c r="AS5" t="n">
        <v>1450120</v>
      </c>
      <c r="AT5" t="n">
        <v>1130576</v>
      </c>
      <c r="AU5" t="n">
        <v>3402980</v>
      </c>
      <c r="AV5" t="n">
        <v>874879</v>
      </c>
      <c r="AW5" t="n">
        <v>2475260</v>
      </c>
      <c r="AX5" t="n">
        <v>52841</v>
      </c>
      <c r="AY5" t="inlineStr">
        <is>
          <t>2289.5 MiB</t>
        </is>
      </c>
      <c r="AZ5" t="n">
        <v>97.88</v>
      </c>
      <c r="BA5" t="n">
        <v>1.18</v>
      </c>
      <c r="BB5" t="n">
        <v>8.64804</v>
      </c>
      <c r="BC5" t="n">
        <v>6.81303</v>
      </c>
      <c r="BD5" t="n">
        <v>-255349</v>
      </c>
      <c r="BE5" t="n">
        <v>-6.81303</v>
      </c>
      <c r="BF5" t="n">
        <v>6.81303</v>
      </c>
      <c r="BG5" t="n">
        <v>69.2</v>
      </c>
      <c r="BH5" t="n">
        <v>0.267144</v>
      </c>
      <c r="BI5" t="n">
        <v>0.229677</v>
      </c>
      <c r="BJ5" t="n">
        <v>23.2524</v>
      </c>
      <c r="BK5" t="n">
        <v>19.0773</v>
      </c>
      <c r="BL5" t="inlineStr">
        <is>
          <t>2289.5 MiB</t>
        </is>
      </c>
      <c r="BM5" t="n">
        <v>485.43</v>
      </c>
      <c r="BN5" t="inlineStr">
        <is>
          <t>1859.9 MiB</t>
        </is>
      </c>
      <c r="BO5" t="n">
        <v>185</v>
      </c>
      <c r="BP5" t="n">
        <v>1890359</v>
      </c>
      <c r="BQ5" t="n">
        <v>30.2743</v>
      </c>
      <c r="BR5" t="n">
        <v>411401</v>
      </c>
      <c r="BS5" t="n">
        <v>6.58864</v>
      </c>
      <c r="BT5" t="n">
        <v>264656</v>
      </c>
      <c r="BU5" t="n">
        <v>584752</v>
      </c>
      <c r="BV5" t="n">
        <v>599039221</v>
      </c>
      <c r="BW5" t="n">
        <v>228453930</v>
      </c>
      <c r="BX5" t="n">
        <v>608675000</v>
      </c>
      <c r="BY5" t="n">
        <v>327005000</v>
      </c>
      <c r="BZ5" t="n">
        <v>247970000</v>
      </c>
      <c r="CA5" t="n">
        <v>18750.1</v>
      </c>
      <c r="CB5" t="n">
        <v>18</v>
      </c>
      <c r="CC5" t="n">
        <v>3447300</v>
      </c>
      <c r="CD5" t="n">
        <v>48605996</v>
      </c>
      <c r="CE5" t="n">
        <v>-1</v>
      </c>
      <c r="CF5" t="n">
        <v>8.58347</v>
      </c>
      <c r="CG5" t="n">
        <v>8.58347</v>
      </c>
      <c r="CH5" t="n">
        <v>-399006</v>
      </c>
      <c r="CI5" t="n">
        <v>-8.58347</v>
      </c>
      <c r="CJ5" t="n">
        <v>0</v>
      </c>
      <c r="CK5" t="n">
        <v>0</v>
      </c>
      <c r="CL5" t="n">
        <v>34.09</v>
      </c>
      <c r="CM5" t="n">
        <v>-1</v>
      </c>
      <c r="CN5" t="n">
        <v>-1</v>
      </c>
      <c r="CO5" t="inlineStr">
        <is>
          <t>2289.5 MiB</t>
        </is>
      </c>
      <c r="CP5" t="n">
        <v>206.89</v>
      </c>
      <c r="CQ5" t="n">
        <v>55.9184</v>
      </c>
      <c r="CR5" t="n">
        <v>47.0525</v>
      </c>
      <c r="CS5" t="inlineStr">
        <is>
          <t>2289.5 MiB</t>
        </is>
      </c>
      <c r="CT5" t="n">
        <v>-1</v>
      </c>
      <c r="CU5" t="n">
        <v>31.26</v>
      </c>
      <c r="CV5" t="n">
        <v/>
      </c>
    </row>
    <row r="6">
      <c r="A6" t="inlineStr">
        <is>
          <t>hecate_25d_L17_int_10um_bump_fanin_12.xml</t>
        </is>
      </c>
      <c r="B6" t="inlineStr">
        <is>
          <t>clstm_like.large.blif</t>
        </is>
      </c>
      <c r="C6" t="inlineStr">
        <is>
          <t>common</t>
        </is>
      </c>
      <c r="D6" t="n">
        <v>6640.96</v>
      </c>
      <c r="E6" t="inlineStr">
        <is>
          <t>vpr</t>
        </is>
      </c>
      <c r="F6" t="inlineStr">
        <is>
          <t>10.64 GiB</t>
        </is>
      </c>
      <c r="G6" t="n">
        <v/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44823</v>
      </c>
      <c r="T6" t="n">
        <v>652</v>
      </c>
      <c r="U6" t="n">
        <v>679</v>
      </c>
      <c r="V6" t="n">
        <v>-1</v>
      </c>
      <c r="W6" t="inlineStr">
        <is>
          <t>success</t>
        </is>
      </c>
      <c r="X6" t="inlineStr">
        <is>
          <t>v8.0.0-16074-g5c6c698728</t>
        </is>
      </c>
      <c r="Y6" t="inlineStr">
        <is>
          <t>release IPO VTR_ASSERT_LEVEL=2</t>
        </is>
      </c>
      <c r="Z6" t="inlineStr">
        <is>
          <t>GNU 13.3.0 on Linux-6.8.0-100-generic x86_64</t>
        </is>
      </c>
      <c r="AA6" t="inlineStr">
        <is>
          <t>2026-06-03T17:04:21</t>
        </is>
      </c>
      <c r="AB6" t="inlineStr">
        <is>
          <t>betzgrp-wintermute</t>
        </is>
      </c>
      <c r="AC6" t="inlineStr">
        <is>
          <t>/home/singera8/fpga-analytical-placement/testing/test_suites</t>
        </is>
      </c>
      <c r="AD6" t="n">
        <v>11152648</v>
      </c>
      <c r="AE6" t="n">
        <v>652</v>
      </c>
      <c r="AF6" t="n">
        <v>866</v>
      </c>
      <c r="AG6" t="n">
        <v>778833</v>
      </c>
      <c r="AH6" t="n">
        <v>758954</v>
      </c>
      <c r="AI6" t="n">
        <v>1</v>
      </c>
      <c r="AJ6" t="n">
        <v>271049</v>
      </c>
      <c r="AK6" t="n">
        <v>47723</v>
      </c>
      <c r="AL6" t="n">
        <v>228</v>
      </c>
      <c r="AM6" t="n">
        <v>228</v>
      </c>
      <c r="AN6" t="n">
        <v>51984</v>
      </c>
      <c r="AO6" t="inlineStr">
        <is>
          <t>clb</t>
        </is>
      </c>
      <c r="AP6" t="inlineStr">
        <is>
          <t>auto</t>
        </is>
      </c>
      <c r="AQ6" t="inlineStr">
        <is>
          <t>8829.0 MiB</t>
        </is>
      </c>
      <c r="AR6" t="n">
        <v>1960.1</v>
      </c>
      <c r="AS6" t="n">
        <v>12373500</v>
      </c>
      <c r="AT6" t="n">
        <v>5075642</v>
      </c>
      <c r="AU6" t="n">
        <v>105602367</v>
      </c>
      <c r="AV6" t="n">
        <v>37077845</v>
      </c>
      <c r="AW6" t="n">
        <v>67916698</v>
      </c>
      <c r="AX6" t="n">
        <v>607824</v>
      </c>
      <c r="AY6" t="inlineStr">
        <is>
          <t>10891.3 MiB</t>
        </is>
      </c>
      <c r="AZ6" t="n">
        <v>3107.71</v>
      </c>
      <c r="BA6" t="n">
        <v>74.98</v>
      </c>
      <c r="BB6" t="n">
        <v>21.992</v>
      </c>
      <c r="BC6" t="n">
        <v>7.1114</v>
      </c>
      <c r="BD6" t="n">
        <v>-1418720</v>
      </c>
      <c r="BE6" t="n">
        <v>-7.1114</v>
      </c>
      <c r="BF6" t="n">
        <v>7.1114</v>
      </c>
      <c r="BG6" t="n">
        <v>288.79</v>
      </c>
      <c r="BH6" t="n">
        <v>1.16705</v>
      </c>
      <c r="BI6" t="n">
        <v>0.985921</v>
      </c>
      <c r="BJ6" t="n">
        <v>152.148</v>
      </c>
      <c r="BK6" t="n">
        <v>128.953</v>
      </c>
      <c r="BL6" t="inlineStr">
        <is>
          <t>10891.3 MiB</t>
        </is>
      </c>
      <c r="BM6" t="n">
        <v>6258.89</v>
      </c>
      <c r="BN6" t="inlineStr">
        <is>
          <t>10064.1 MiB</t>
        </is>
      </c>
      <c r="BO6" t="n">
        <v>2036.16</v>
      </c>
      <c r="BP6" t="n">
        <v>5627543</v>
      </c>
      <c r="BQ6" t="n">
        <v>20.7776</v>
      </c>
      <c r="BR6" t="n">
        <v>1185266</v>
      </c>
      <c r="BS6" t="n">
        <v>4.37616</v>
      </c>
      <c r="BT6" t="n">
        <v>618352</v>
      </c>
      <c r="BU6" t="n">
        <v>1568212</v>
      </c>
      <c r="BV6" t="n">
        <v>724469015</v>
      </c>
      <c r="BW6" t="n">
        <v>294679699</v>
      </c>
      <c r="BX6" t="n">
        <v>2383790000</v>
      </c>
      <c r="BY6" t="n">
        <v>1522620000</v>
      </c>
      <c r="BZ6" t="n">
        <v>972365000</v>
      </c>
      <c r="CA6" t="n">
        <v>18705.1</v>
      </c>
      <c r="CB6" t="n">
        <v>15</v>
      </c>
      <c r="CC6" t="n">
        <v>13444520</v>
      </c>
      <c r="CD6" t="n">
        <v>192355860</v>
      </c>
      <c r="CE6" t="n">
        <v>-1</v>
      </c>
      <c r="CF6" t="n">
        <v>8.112690000000001</v>
      </c>
      <c r="CG6" t="n">
        <v>8.112690000000001</v>
      </c>
      <c r="CH6" t="n">
        <v>-1762500</v>
      </c>
      <c r="CI6" t="n">
        <v>-8.112690000000001</v>
      </c>
      <c r="CJ6" t="n">
        <v>0</v>
      </c>
      <c r="CK6" t="n">
        <v>0</v>
      </c>
      <c r="CL6" t="n">
        <v>138.06</v>
      </c>
      <c r="CM6" t="n">
        <v>-1</v>
      </c>
      <c r="CN6" t="n">
        <v>-1</v>
      </c>
      <c r="CO6" t="inlineStr">
        <is>
          <t>10891.3 MiB</t>
        </is>
      </c>
      <c r="CP6" t="n">
        <v>305.6</v>
      </c>
      <c r="CQ6" t="n">
        <v>285.165</v>
      </c>
      <c r="CR6" t="n">
        <v>247.984</v>
      </c>
      <c r="CS6" t="inlineStr">
        <is>
          <t>10891.3 MiB</t>
        </is>
      </c>
      <c r="CT6" t="n">
        <v>-1</v>
      </c>
      <c r="CU6" t="n">
        <v>134.77</v>
      </c>
      <c r="CV6" t="n">
        <v/>
      </c>
    </row>
    <row r="7">
      <c r="A7" t="inlineStr">
        <is>
          <t>hecate_25d_L17_int_10um_bump_fanin_12.xml</t>
        </is>
      </c>
      <c r="B7" t="inlineStr">
        <is>
          <t>clstm_like.medium.blif</t>
        </is>
      </c>
      <c r="C7" t="inlineStr">
        <is>
          <t>common</t>
        </is>
      </c>
      <c r="D7" t="n">
        <v>3334.78</v>
      </c>
      <c r="E7" t="inlineStr">
        <is>
          <t>vpr</t>
        </is>
      </c>
      <c r="F7" t="inlineStr">
        <is>
          <t>6.59 GiB</t>
        </is>
      </c>
      <c r="G7" t="n">
        <v/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26759</v>
      </c>
      <c r="T7" t="n">
        <v>652</v>
      </c>
      <c r="U7" t="n">
        <v>458</v>
      </c>
      <c r="V7" t="n">
        <v>-1</v>
      </c>
      <c r="W7" t="inlineStr">
        <is>
          <t>success</t>
        </is>
      </c>
      <c r="X7" t="inlineStr">
        <is>
          <t>v8.0.0-16074-g5c6c698728</t>
        </is>
      </c>
      <c r="Y7" t="inlineStr">
        <is>
          <t>release IPO VTR_ASSERT_LEVEL=2</t>
        </is>
      </c>
      <c r="Z7" t="inlineStr">
        <is>
          <t>GNU 13.3.0 on Linux-6.8.0-100-generic x86_64</t>
        </is>
      </c>
      <c r="AA7" t="inlineStr">
        <is>
          <t>2026-06-03T17:04:21</t>
        </is>
      </c>
      <c r="AB7" t="inlineStr">
        <is>
          <t>betzgrp-wintermute</t>
        </is>
      </c>
      <c r="AC7" t="inlineStr">
        <is>
          <t>/home/singera8/fpga-analytical-placement/testing/test_suites</t>
        </is>
      </c>
      <c r="AD7" t="n">
        <v>6907384</v>
      </c>
      <c r="AE7" t="n">
        <v>652</v>
      </c>
      <c r="AF7" t="n">
        <v>578</v>
      </c>
      <c r="AG7" t="n">
        <v>522235</v>
      </c>
      <c r="AH7" t="n">
        <v>508912</v>
      </c>
      <c r="AI7" t="n">
        <v>1</v>
      </c>
      <c r="AJ7" t="n">
        <v>178711</v>
      </c>
      <c r="AK7" t="n">
        <v>28901</v>
      </c>
      <c r="AL7" t="n">
        <v>176</v>
      </c>
      <c r="AM7" t="n">
        <v>176</v>
      </c>
      <c r="AN7" t="n">
        <v>30976</v>
      </c>
      <c r="AO7" t="inlineStr">
        <is>
          <t>clb</t>
        </is>
      </c>
      <c r="AP7" t="inlineStr">
        <is>
          <t>auto</t>
        </is>
      </c>
      <c r="AQ7" t="inlineStr">
        <is>
          <t>5889.6 MiB</t>
        </is>
      </c>
      <c r="AR7" t="n">
        <v>1327.67</v>
      </c>
      <c r="AS7" t="n">
        <v>5436840</v>
      </c>
      <c r="AT7" t="n">
        <v>2803915</v>
      </c>
      <c r="AU7" t="n">
        <v>51009206</v>
      </c>
      <c r="AV7" t="n">
        <v>17053268</v>
      </c>
      <c r="AW7" t="n">
        <v>33559792</v>
      </c>
      <c r="AX7" t="n">
        <v>396146</v>
      </c>
      <c r="AY7" t="inlineStr">
        <is>
          <t>6745.5 MiB</t>
        </is>
      </c>
      <c r="AZ7" t="n">
        <v>1202.83</v>
      </c>
      <c r="BA7" t="n">
        <v>61.58</v>
      </c>
      <c r="BB7" t="n">
        <v>14.6189</v>
      </c>
      <c r="BC7" t="n">
        <v>5.25794</v>
      </c>
      <c r="BD7" t="n">
        <v>-703029</v>
      </c>
      <c r="BE7" t="n">
        <v>-5.25794</v>
      </c>
      <c r="BF7" t="n">
        <v>5.25794</v>
      </c>
      <c r="BG7" t="n">
        <v>3.79</v>
      </c>
      <c r="BH7" t="n">
        <v>0.775648</v>
      </c>
      <c r="BI7" t="n">
        <v>0.654326</v>
      </c>
      <c r="BJ7" t="n">
        <v>94.87730000000001</v>
      </c>
      <c r="BK7" t="n">
        <v>81.2376</v>
      </c>
      <c r="BL7" t="inlineStr">
        <is>
          <t>6745.5 MiB</t>
        </is>
      </c>
      <c r="BM7" t="n">
        <v>3071.35</v>
      </c>
      <c r="BN7" t="inlineStr">
        <is>
          <t>6745.5 MiB</t>
        </is>
      </c>
      <c r="BO7" t="n">
        <v>1363.97</v>
      </c>
      <c r="BP7" t="n">
        <v>3464037</v>
      </c>
      <c r="BQ7" t="n">
        <v>19.3989</v>
      </c>
      <c r="BR7" t="n">
        <v>753926</v>
      </c>
      <c r="BS7" t="n">
        <v>4.22204</v>
      </c>
      <c r="BT7" t="n">
        <v>411575</v>
      </c>
      <c r="BU7" t="n">
        <v>982165</v>
      </c>
      <c r="BV7" t="n">
        <v>525083313</v>
      </c>
      <c r="BW7" t="n">
        <v>199069138</v>
      </c>
      <c r="BX7" t="n">
        <v>1388450000</v>
      </c>
      <c r="BY7" t="n">
        <v>924950000</v>
      </c>
      <c r="BZ7" t="n">
        <v>578229000</v>
      </c>
      <c r="CA7" t="n">
        <v>18667</v>
      </c>
      <c r="CB7" t="n">
        <v>15</v>
      </c>
      <c r="CC7" t="n">
        <v>7951452</v>
      </c>
      <c r="CD7" t="n">
        <v>113924781</v>
      </c>
      <c r="CE7" t="n">
        <v>-1</v>
      </c>
      <c r="CF7" t="n">
        <v>6.57052</v>
      </c>
      <c r="CG7" t="n">
        <v>6.57052</v>
      </c>
      <c r="CH7" t="n">
        <v>-886195</v>
      </c>
      <c r="CI7" t="n">
        <v>-6.57052</v>
      </c>
      <c r="CJ7" t="n">
        <v>0</v>
      </c>
      <c r="CK7" t="n">
        <v>0</v>
      </c>
      <c r="CL7" t="n">
        <v>82.15000000000001</v>
      </c>
      <c r="CM7" t="n">
        <v>-1</v>
      </c>
      <c r="CN7" t="n">
        <v>-1</v>
      </c>
      <c r="CO7" t="inlineStr">
        <is>
          <t>6745.5 MiB</t>
        </is>
      </c>
      <c r="CP7" t="n">
        <v>213.95</v>
      </c>
      <c r="CQ7" t="n">
        <v>182.349</v>
      </c>
      <c r="CR7" t="n">
        <v>159.381</v>
      </c>
      <c r="CS7" t="inlineStr">
        <is>
          <t>5396.4 MiB</t>
        </is>
      </c>
      <c r="CT7" t="n">
        <v>-1</v>
      </c>
      <c r="CU7" t="n">
        <v>79.31999999999999</v>
      </c>
      <c r="CV7" t="n">
        <v/>
      </c>
    </row>
    <row r="8">
      <c r="A8" t="inlineStr">
        <is>
          <t>hecate_25d_L17_int_10um_bump_fanin_12.xml</t>
        </is>
      </c>
      <c r="B8" t="inlineStr">
        <is>
          <t>clstm_like.small.blif</t>
        </is>
      </c>
      <c r="C8" t="inlineStr">
        <is>
          <t>common</t>
        </is>
      </c>
      <c r="D8" t="n">
        <v>1572.13</v>
      </c>
      <c r="E8" t="inlineStr">
        <is>
          <t>vpr</t>
        </is>
      </c>
      <c r="F8" t="inlineStr">
        <is>
          <t>3.47 GiB</t>
        </is>
      </c>
      <c r="G8" t="n">
        <v/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12597</v>
      </c>
      <c r="T8" t="n">
        <v>652</v>
      </c>
      <c r="U8" t="n">
        <v>237</v>
      </c>
      <c r="V8" t="n">
        <v>-1</v>
      </c>
      <c r="W8" t="inlineStr">
        <is>
          <t>success</t>
        </is>
      </c>
      <c r="X8" t="inlineStr">
        <is>
          <t>v8.0.0-16074-g5c6c698728</t>
        </is>
      </c>
      <c r="Y8" t="inlineStr">
        <is>
          <t>release IPO VTR_ASSERT_LEVEL=2</t>
        </is>
      </c>
      <c r="Z8" t="inlineStr">
        <is>
          <t>GNU 13.3.0 on Linux-6.8.0-100-generic x86_64</t>
        </is>
      </c>
      <c r="AA8" t="inlineStr">
        <is>
          <t>2026-06-03T17:04:21</t>
        </is>
      </c>
      <c r="AB8" t="inlineStr">
        <is>
          <t>betzgrp-wintermute</t>
        </is>
      </c>
      <c r="AC8" t="inlineStr">
        <is>
          <t>/home/singera8/fpga-analytical-placement/testing/test_suites</t>
        </is>
      </c>
      <c r="AD8" t="n">
        <v>3635484</v>
      </c>
      <c r="AE8" t="n">
        <v>652</v>
      </c>
      <c r="AF8" t="n">
        <v>290</v>
      </c>
      <c r="AG8" t="n">
        <v>265633</v>
      </c>
      <c r="AH8" t="n">
        <v>258866</v>
      </c>
      <c r="AI8" t="n">
        <v>1</v>
      </c>
      <c r="AJ8" t="n">
        <v>92187</v>
      </c>
      <c r="AK8" t="n">
        <v>14009</v>
      </c>
      <c r="AL8" t="n">
        <v>122</v>
      </c>
      <c r="AM8" t="n">
        <v>122</v>
      </c>
      <c r="AN8" t="n">
        <v>14884</v>
      </c>
      <c r="AO8" t="inlineStr">
        <is>
          <t>clb</t>
        </is>
      </c>
      <c r="AP8" t="inlineStr">
        <is>
          <t>auto</t>
        </is>
      </c>
      <c r="AQ8" t="inlineStr">
        <is>
          <t>3019.4 MiB</t>
        </is>
      </c>
      <c r="AR8" t="n">
        <v>731.88</v>
      </c>
      <c r="AS8" t="n">
        <v>2207540</v>
      </c>
      <c r="AT8" t="n">
        <v>1109402</v>
      </c>
      <c r="AU8" t="n">
        <v>18244409</v>
      </c>
      <c r="AV8" t="n">
        <v>5876455</v>
      </c>
      <c r="AW8" t="n">
        <v>12299813</v>
      </c>
      <c r="AX8" t="n">
        <v>68141</v>
      </c>
      <c r="AY8" t="inlineStr">
        <is>
          <t>3550.3 MiB</t>
        </is>
      </c>
      <c r="AZ8" t="n">
        <v>362.8</v>
      </c>
      <c r="BA8" t="n">
        <v>3.4</v>
      </c>
      <c r="BB8" t="n">
        <v>12.5405</v>
      </c>
      <c r="BC8" t="n">
        <v>5.22272</v>
      </c>
      <c r="BD8" t="n">
        <v>-272436</v>
      </c>
      <c r="BE8" t="n">
        <v>-5.22272</v>
      </c>
      <c r="BF8" t="n">
        <v>5.22272</v>
      </c>
      <c r="BG8" t="n">
        <v>39.92</v>
      </c>
      <c r="BH8" t="n">
        <v>0.384787</v>
      </c>
      <c r="BI8" t="n">
        <v>0.339579</v>
      </c>
      <c r="BJ8" t="n">
        <v>45.2881</v>
      </c>
      <c r="BK8" t="n">
        <v>39.2152</v>
      </c>
      <c r="BL8" t="inlineStr">
        <is>
          <t>3550.3 MiB</t>
        </is>
      </c>
      <c r="BM8" t="n">
        <v>1452.65</v>
      </c>
      <c r="BN8" t="inlineStr">
        <is>
          <t>3550.3 MiB</t>
        </is>
      </c>
      <c r="BO8" t="n">
        <v>791.4299999999999</v>
      </c>
      <c r="BP8" t="n">
        <v>1580213</v>
      </c>
      <c r="BQ8" t="n">
        <v>17.1553</v>
      </c>
      <c r="BR8" t="n">
        <v>360828</v>
      </c>
      <c r="BS8" t="n">
        <v>3.91727</v>
      </c>
      <c r="BT8" t="n">
        <v>214635</v>
      </c>
      <c r="BU8" t="n">
        <v>511930</v>
      </c>
      <c r="BV8" t="n">
        <v>218813439</v>
      </c>
      <c r="BW8" t="n">
        <v>86068087</v>
      </c>
      <c r="BX8" t="n">
        <v>682988000</v>
      </c>
      <c r="BY8" t="n">
        <v>443264000</v>
      </c>
      <c r="BZ8" t="n">
        <v>279300000</v>
      </c>
      <c r="CA8" t="n">
        <v>18765.1</v>
      </c>
      <c r="CB8" t="n">
        <v>16</v>
      </c>
      <c r="CC8" t="n">
        <v>3862504</v>
      </c>
      <c r="CD8" t="n">
        <v>54717509</v>
      </c>
      <c r="CE8" t="n">
        <v>-1</v>
      </c>
      <c r="CF8" t="n">
        <v>6.01805</v>
      </c>
      <c r="CG8" t="n">
        <v>6.01805</v>
      </c>
      <c r="CH8" t="n">
        <v>-355646</v>
      </c>
      <c r="CI8" t="n">
        <v>-6.01805</v>
      </c>
      <c r="CJ8" t="n">
        <v>0</v>
      </c>
      <c r="CK8" t="n">
        <v>0</v>
      </c>
      <c r="CL8" t="n">
        <v>38.97</v>
      </c>
      <c r="CM8" t="n">
        <v>-1</v>
      </c>
      <c r="CN8" t="n">
        <v>-1</v>
      </c>
      <c r="CO8" t="inlineStr">
        <is>
          <t>3550.3 MiB</t>
        </is>
      </c>
      <c r="CP8" t="n">
        <v>94.73999999999999</v>
      </c>
      <c r="CQ8" t="n">
        <v>92.6366</v>
      </c>
      <c r="CR8" t="n">
        <v>81.48999999999999</v>
      </c>
      <c r="CS8" t="inlineStr">
        <is>
          <t>3550.3 MiB</t>
        </is>
      </c>
      <c r="CT8" t="n">
        <v>-1</v>
      </c>
      <c r="CU8" t="n">
        <v>38.38</v>
      </c>
      <c r="CV8" t="n">
        <v/>
      </c>
    </row>
    <row r="9">
      <c r="A9" t="inlineStr">
        <is>
          <t>hecate_25d_L17_int_10um_bump_fanin_12.xml</t>
        </is>
      </c>
      <c r="B9" t="inlineStr">
        <is>
          <t>conv_layer_hls.blif</t>
        </is>
      </c>
      <c r="C9" t="inlineStr">
        <is>
          <t>common</t>
        </is>
      </c>
      <c r="D9" t="n">
        <v>125.37</v>
      </c>
      <c r="E9" t="inlineStr">
        <is>
          <t>vpr</t>
        </is>
      </c>
      <c r="F9" t="inlineStr">
        <is>
          <t>1.24 GiB</t>
        </is>
      </c>
      <c r="G9" t="n">
        <v/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2120</v>
      </c>
      <c r="T9" t="n">
        <v>1001</v>
      </c>
      <c r="U9" t="n">
        <v>21</v>
      </c>
      <c r="V9" t="n">
        <v>-1</v>
      </c>
      <c r="W9" t="inlineStr">
        <is>
          <t>success</t>
        </is>
      </c>
      <c r="X9" t="inlineStr">
        <is>
          <t>v8.0.0-16074-g5c6c698728</t>
        </is>
      </c>
      <c r="Y9" t="inlineStr">
        <is>
          <t>release IPO VTR_ASSERT_LEVEL=2</t>
        </is>
      </c>
      <c r="Z9" t="inlineStr">
        <is>
          <t>GNU 13.3.0 on Linux-6.8.0-100-generic x86_64</t>
        </is>
      </c>
      <c r="AA9" t="inlineStr">
        <is>
          <t>2026-06-03T17:04:21</t>
        </is>
      </c>
      <c r="AB9" t="inlineStr">
        <is>
          <t>betzgrp-wintermute</t>
        </is>
      </c>
      <c r="AC9" t="inlineStr">
        <is>
          <t>/home/singera8/fpga-analytical-placement/testing/test_suites</t>
        </is>
      </c>
      <c r="AD9" t="n">
        <v>1298332</v>
      </c>
      <c r="AE9" t="n">
        <v>1001</v>
      </c>
      <c r="AF9" t="n">
        <v>2283</v>
      </c>
      <c r="AG9" t="n">
        <v>10197</v>
      </c>
      <c r="AH9" t="n">
        <v>12351</v>
      </c>
      <c r="AI9" t="n">
        <v>1</v>
      </c>
      <c r="AJ9" t="n">
        <v>7619</v>
      </c>
      <c r="AK9" t="n">
        <v>5427</v>
      </c>
      <c r="AL9" t="n">
        <v>105</v>
      </c>
      <c r="AM9" t="n">
        <v>105</v>
      </c>
      <c r="AN9" t="n">
        <v>11025</v>
      </c>
      <c r="AO9" t="inlineStr">
        <is>
          <t>io</t>
        </is>
      </c>
      <c r="AP9" t="inlineStr">
        <is>
          <t>auto</t>
        </is>
      </c>
      <c r="AQ9" t="inlineStr">
        <is>
          <t>1267.9 MiB</t>
        </is>
      </c>
      <c r="AR9" t="n">
        <v>25.14</v>
      </c>
      <c r="AS9" t="n">
        <v>64556.7</v>
      </c>
      <c r="AT9" t="n">
        <v>51184</v>
      </c>
      <c r="AU9" t="n">
        <v>4820198</v>
      </c>
      <c r="AV9" t="n">
        <v>1801191</v>
      </c>
      <c r="AW9" t="n">
        <v>2394952</v>
      </c>
      <c r="AX9" t="n">
        <v>624055</v>
      </c>
      <c r="AY9" t="inlineStr">
        <is>
          <t>1267.9 MiB</t>
        </is>
      </c>
      <c r="AZ9" t="n">
        <v>16.67</v>
      </c>
      <c r="BA9" t="n">
        <v>0.28</v>
      </c>
      <c r="BB9" t="n">
        <v>6.57563</v>
      </c>
      <c r="BC9" t="n">
        <v>6.48694</v>
      </c>
      <c r="BD9" t="n">
        <v>-9481.99</v>
      </c>
      <c r="BE9" t="n">
        <v>-6.48694</v>
      </c>
      <c r="BF9" t="n">
        <v>6.48694</v>
      </c>
      <c r="BG9" t="n">
        <v>1.02</v>
      </c>
      <c r="BH9" t="n">
        <v>0.0540906</v>
      </c>
      <c r="BI9" t="n">
        <v>0.0523067</v>
      </c>
      <c r="BJ9" t="n">
        <v>5.65634</v>
      </c>
      <c r="BK9" t="n">
        <v>5.45019</v>
      </c>
      <c r="BL9" t="inlineStr">
        <is>
          <t>1267.9 MiB</t>
        </is>
      </c>
      <c r="BM9" t="n">
        <v>115.06</v>
      </c>
      <c r="BN9" t="inlineStr">
        <is>
          <t>1267.9 MiB</t>
        </is>
      </c>
      <c r="BO9" t="n">
        <v>26.03</v>
      </c>
      <c r="BP9" t="n">
        <v>94370</v>
      </c>
      <c r="BQ9" t="n">
        <v>15.4908</v>
      </c>
      <c r="BR9" t="n">
        <v>22631</v>
      </c>
      <c r="BS9" t="n">
        <v>3.71487</v>
      </c>
      <c r="BT9" t="n">
        <v>15033</v>
      </c>
      <c r="BU9" t="n">
        <v>35975</v>
      </c>
      <c r="BV9" t="n">
        <v>14686392</v>
      </c>
      <c r="BW9" t="n">
        <v>5897034</v>
      </c>
      <c r="BX9" t="n">
        <v>491500000</v>
      </c>
      <c r="BY9" t="n">
        <v>62555500</v>
      </c>
      <c r="BZ9" t="n">
        <v>205450000</v>
      </c>
      <c r="CA9" t="n">
        <v>18635</v>
      </c>
      <c r="CB9" t="n">
        <v>21</v>
      </c>
      <c r="CC9" t="n">
        <v>2840258</v>
      </c>
      <c r="CD9" t="n">
        <v>40240446</v>
      </c>
      <c r="CE9" t="n">
        <v>-1</v>
      </c>
      <c r="CF9" t="n">
        <v>6.90077</v>
      </c>
      <c r="CG9" t="n">
        <v>6.90077</v>
      </c>
      <c r="CH9" t="n">
        <v>-11573.7</v>
      </c>
      <c r="CI9" t="n">
        <v>-6.90077</v>
      </c>
      <c r="CJ9" t="n">
        <v>0</v>
      </c>
      <c r="CK9" t="n">
        <v>0</v>
      </c>
      <c r="CL9" t="n">
        <v>29.27</v>
      </c>
      <c r="CM9" t="n">
        <v>-1</v>
      </c>
      <c r="CN9" t="n">
        <v>-1</v>
      </c>
      <c r="CO9" t="inlineStr">
        <is>
          <t>1267.9 MiB</t>
        </is>
      </c>
      <c r="CP9" t="n">
        <v>8.140000000000001</v>
      </c>
      <c r="CQ9" t="n">
        <v>11.5778</v>
      </c>
      <c r="CR9" t="n">
        <v>11.1369</v>
      </c>
      <c r="CS9" t="inlineStr">
        <is>
          <t>1267.9 MiB</t>
        </is>
      </c>
      <c r="CT9" t="n">
        <v>-1</v>
      </c>
      <c r="CU9" t="n">
        <v>29.94</v>
      </c>
      <c r="CV9" t="n">
        <v/>
      </c>
    </row>
    <row r="10">
      <c r="A10" t="inlineStr">
        <is>
          <t>hecate_25d_L17_int_10um_bump_fanin_12.xml</t>
        </is>
      </c>
      <c r="B10" t="inlineStr">
        <is>
          <t>dla_like.medium.blif</t>
        </is>
      </c>
      <c r="C10" t="inlineStr">
        <is>
          <t>common</t>
        </is>
      </c>
      <c r="D10" t="n">
        <v>4503.98</v>
      </c>
      <c r="E10" t="inlineStr">
        <is>
          <t>vpr</t>
        </is>
      </c>
      <c r="F10" t="inlineStr">
        <is>
          <t>5.20 GiB</t>
        </is>
      </c>
      <c r="G10" t="n">
        <v/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19918</v>
      </c>
      <c r="T10" t="n">
        <v>410</v>
      </c>
      <c r="U10" t="n">
        <v>300</v>
      </c>
      <c r="V10" t="n">
        <v>-1</v>
      </c>
      <c r="W10" t="inlineStr">
        <is>
          <t>success</t>
        </is>
      </c>
      <c r="X10" t="inlineStr">
        <is>
          <t>v8.0.0-16074-g5c6c698728</t>
        </is>
      </c>
      <c r="Y10" t="inlineStr">
        <is>
          <t>release IPO VTR_ASSERT_LEVEL=2</t>
        </is>
      </c>
      <c r="Z10" t="inlineStr">
        <is>
          <t>GNU 13.3.0 on Linux-6.8.0-100-generic x86_64</t>
        </is>
      </c>
      <c r="AA10" t="inlineStr">
        <is>
          <t>2026-06-03T17:04:21</t>
        </is>
      </c>
      <c r="AB10" t="inlineStr">
        <is>
          <t>betzgrp-wintermute</t>
        </is>
      </c>
      <c r="AC10" t="inlineStr">
        <is>
          <t>/home/singera8/fpga-analytical-placement/testing/test_suites</t>
        </is>
      </c>
      <c r="AD10" t="n">
        <v>5457724</v>
      </c>
      <c r="AE10" t="n">
        <v>410</v>
      </c>
      <c r="AF10" t="n">
        <v>25</v>
      </c>
      <c r="AG10" t="n">
        <v>392882</v>
      </c>
      <c r="AH10" t="n">
        <v>375091</v>
      </c>
      <c r="AI10" t="n">
        <v>1</v>
      </c>
      <c r="AJ10" t="n">
        <v>204668</v>
      </c>
      <c r="AK10" t="n">
        <v>21228</v>
      </c>
      <c r="AL10" t="n">
        <v>153</v>
      </c>
      <c r="AM10" t="n">
        <v>153</v>
      </c>
      <c r="AN10" t="n">
        <v>23409</v>
      </c>
      <c r="AO10" t="inlineStr">
        <is>
          <t>clb</t>
        </is>
      </c>
      <c r="AP10" t="inlineStr">
        <is>
          <t>auto</t>
        </is>
      </c>
      <c r="AQ10" t="inlineStr">
        <is>
          <t>4544.0 MiB</t>
        </is>
      </c>
      <c r="AR10" t="n">
        <v>2930.54</v>
      </c>
      <c r="AS10" t="n">
        <v>4092700</v>
      </c>
      <c r="AT10" t="n">
        <v>1811842</v>
      </c>
      <c r="AU10" t="n">
        <v>29400228</v>
      </c>
      <c r="AV10" t="n">
        <v>8850177</v>
      </c>
      <c r="AW10" t="n">
        <v>20354656</v>
      </c>
      <c r="AX10" t="n">
        <v>195395</v>
      </c>
      <c r="AY10" t="inlineStr">
        <is>
          <t>5329.8 MiB</t>
        </is>
      </c>
      <c r="AZ10" t="n">
        <v>807.0700000000001</v>
      </c>
      <c r="BA10" t="n">
        <v>6.86</v>
      </c>
      <c r="BB10" t="n">
        <v>21.3076</v>
      </c>
      <c r="BC10" t="n">
        <v>7.16462</v>
      </c>
      <c r="BD10" t="n">
        <v>-335670</v>
      </c>
      <c r="BE10" t="n">
        <v>-7.16462</v>
      </c>
      <c r="BF10" t="n">
        <v>7.16462</v>
      </c>
      <c r="BG10" t="n">
        <v>60.33</v>
      </c>
      <c r="BH10" t="n">
        <v>0.567812</v>
      </c>
      <c r="BI10" t="n">
        <v>0.49972</v>
      </c>
      <c r="BJ10" t="n">
        <v>64.575</v>
      </c>
      <c r="BK10" t="n">
        <v>54.957</v>
      </c>
      <c r="BL10" t="inlineStr">
        <is>
          <t>5329.8 MiB</t>
        </is>
      </c>
      <c r="BM10" t="n">
        <v>4298.7</v>
      </c>
      <c r="BN10" t="inlineStr">
        <is>
          <t>5329.8 MiB</t>
        </is>
      </c>
      <c r="BO10" t="n">
        <v>3021.96</v>
      </c>
      <c r="BP10" t="n">
        <v>3293030</v>
      </c>
      <c r="BQ10" t="n">
        <v>16.105</v>
      </c>
      <c r="BR10" t="n">
        <v>767202</v>
      </c>
      <c r="BS10" t="n">
        <v>3.75209</v>
      </c>
      <c r="BT10" t="n">
        <v>563945</v>
      </c>
      <c r="BU10" t="n">
        <v>1148732</v>
      </c>
      <c r="BV10" t="n">
        <v>390063073</v>
      </c>
      <c r="BW10" t="n">
        <v>159204949</v>
      </c>
      <c r="BX10" t="n">
        <v>1057300000</v>
      </c>
      <c r="BY10" t="n">
        <v>743014000</v>
      </c>
      <c r="BZ10" t="n">
        <v>437928000</v>
      </c>
      <c r="CA10" t="n">
        <v>18707.7</v>
      </c>
      <c r="CB10" t="n">
        <v>19</v>
      </c>
      <c r="CC10" t="n">
        <v>6023890</v>
      </c>
      <c r="CD10" t="n">
        <v>86072382</v>
      </c>
      <c r="CE10" t="n">
        <v>-1</v>
      </c>
      <c r="CF10" t="n">
        <v>8.73873</v>
      </c>
      <c r="CG10" t="n">
        <v>8.73873</v>
      </c>
      <c r="CH10" t="n">
        <v>-415923</v>
      </c>
      <c r="CI10" t="n">
        <v>-8.73873</v>
      </c>
      <c r="CJ10" t="n">
        <v>0</v>
      </c>
      <c r="CK10" t="n">
        <v>0</v>
      </c>
      <c r="CL10" t="n">
        <v>58.75</v>
      </c>
      <c r="CM10" t="n">
        <v>-1</v>
      </c>
      <c r="CN10" t="n">
        <v>-1</v>
      </c>
      <c r="CO10" t="inlineStr">
        <is>
          <t>5329.8 MiB</t>
        </is>
      </c>
      <c r="CP10" t="n">
        <v>165.75</v>
      </c>
      <c r="CQ10" t="n">
        <v>141.064</v>
      </c>
      <c r="CR10" t="n">
        <v>121.601</v>
      </c>
      <c r="CS10" t="inlineStr">
        <is>
          <t>5329.8 MiB</t>
        </is>
      </c>
      <c r="CT10" t="n">
        <v>-1</v>
      </c>
      <c r="CU10" t="n">
        <v>58.11</v>
      </c>
      <c r="CV10" t="n">
        <v/>
      </c>
    </row>
    <row r="11">
      <c r="A11" t="inlineStr">
        <is>
          <t>hecate_25d_L17_int_10um_bump_fanin_12.xml</t>
        </is>
      </c>
      <c r="B11" t="inlineStr">
        <is>
          <t>dla_like.small.blif</t>
        </is>
      </c>
      <c r="C11" t="inlineStr">
        <is>
          <t>common</t>
        </is>
      </c>
      <c r="D11" t="n">
        <v>1711.9</v>
      </c>
      <c r="E11" t="inlineStr">
        <is>
          <t>vpr</t>
        </is>
      </c>
      <c r="F11" t="inlineStr">
        <is>
          <t>2.06 GiB</t>
        </is>
      </c>
      <c r="G11" t="n">
        <v/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7646</v>
      </c>
      <c r="T11" t="n">
        <v>206</v>
      </c>
      <c r="U11" t="n">
        <v>132</v>
      </c>
      <c r="V11" t="n">
        <v>-1</v>
      </c>
      <c r="W11" t="inlineStr">
        <is>
          <t>success</t>
        </is>
      </c>
      <c r="X11" t="inlineStr">
        <is>
          <t>v8.0.0-16074-g5c6c698728</t>
        </is>
      </c>
      <c r="Y11" t="inlineStr">
        <is>
          <t>release IPO VTR_ASSERT_LEVEL=2</t>
        </is>
      </c>
      <c r="Z11" t="inlineStr">
        <is>
          <t>GNU 13.3.0 on Linux-6.8.0-100-generic x86_64</t>
        </is>
      </c>
      <c r="AA11" t="inlineStr">
        <is>
          <t>2026-06-03T17:04:21</t>
        </is>
      </c>
      <c r="AB11" t="inlineStr">
        <is>
          <t>betzgrp-wintermute</t>
        </is>
      </c>
      <c r="AC11" t="inlineStr">
        <is>
          <t>/home/singera8/fpga-analytical-placement/testing/test_suites</t>
        </is>
      </c>
      <c r="AD11" t="n">
        <v>2162844</v>
      </c>
      <c r="AE11" t="n">
        <v>206</v>
      </c>
      <c r="AF11" t="n">
        <v>13</v>
      </c>
      <c r="AG11" t="n">
        <v>150856</v>
      </c>
      <c r="AH11" t="n">
        <v>145849</v>
      </c>
      <c r="AI11" t="n">
        <v>1</v>
      </c>
      <c r="AJ11" t="n">
        <v>82241</v>
      </c>
      <c r="AK11" t="n">
        <v>8162</v>
      </c>
      <c r="AL11" t="n">
        <v>96</v>
      </c>
      <c r="AM11" t="n">
        <v>96</v>
      </c>
      <c r="AN11" t="n">
        <v>9216</v>
      </c>
      <c r="AO11" t="inlineStr">
        <is>
          <t>clb</t>
        </is>
      </c>
      <c r="AP11" t="inlineStr">
        <is>
          <t>auto</t>
        </is>
      </c>
      <c r="AQ11" t="inlineStr">
        <is>
          <t>1820.2 MiB</t>
        </is>
      </c>
      <c r="AR11" t="n">
        <v>1187.66</v>
      </c>
      <c r="AS11" t="n">
        <v>1382120</v>
      </c>
      <c r="AT11" t="n">
        <v>691320</v>
      </c>
      <c r="AU11" t="n">
        <v>6825948</v>
      </c>
      <c r="AV11" t="n">
        <v>1823732</v>
      </c>
      <c r="AW11" t="n">
        <v>4919001</v>
      </c>
      <c r="AX11" t="n">
        <v>83215</v>
      </c>
      <c r="AY11" t="inlineStr">
        <is>
          <t>2112.2 MiB</t>
        </is>
      </c>
      <c r="AZ11" t="n">
        <v>211.52</v>
      </c>
      <c r="BA11" t="n">
        <v>2.03</v>
      </c>
      <c r="BB11" t="n">
        <v>12.4225</v>
      </c>
      <c r="BC11" t="n">
        <v>6.84471</v>
      </c>
      <c r="BD11" t="n">
        <v>-143600</v>
      </c>
      <c r="BE11" t="n">
        <v>-6.84471</v>
      </c>
      <c r="BF11" t="n">
        <v>6.84471</v>
      </c>
      <c r="BG11" t="n">
        <v>27.32</v>
      </c>
      <c r="BH11" t="n">
        <v>0.230836</v>
      </c>
      <c r="BI11" t="n">
        <v>0.204885</v>
      </c>
      <c r="BJ11" t="n">
        <v>22.4314</v>
      </c>
      <c r="BK11" t="n">
        <v>19.2704</v>
      </c>
      <c r="BL11" t="inlineStr">
        <is>
          <t>2112.2 MiB</t>
        </is>
      </c>
      <c r="BM11" t="n">
        <v>1618.64</v>
      </c>
      <c r="BN11" t="inlineStr">
        <is>
          <t>2112.2 MiB</t>
        </is>
      </c>
      <c r="BO11" t="n">
        <v>1224.17</v>
      </c>
      <c r="BP11" t="n">
        <v>1316858</v>
      </c>
      <c r="BQ11" t="n">
        <v>16.0315</v>
      </c>
      <c r="BR11" t="n">
        <v>311757</v>
      </c>
      <c r="BS11" t="n">
        <v>3.79534</v>
      </c>
      <c r="BT11" t="n">
        <v>256131</v>
      </c>
      <c r="BU11" t="n">
        <v>555339</v>
      </c>
      <c r="BV11" t="n">
        <v>176405575</v>
      </c>
      <c r="BW11" t="n">
        <v>75905484</v>
      </c>
      <c r="BX11" t="n">
        <v>403712000</v>
      </c>
      <c r="BY11" t="n">
        <v>273400000</v>
      </c>
      <c r="BZ11" t="n">
        <v>171047000</v>
      </c>
      <c r="CA11" t="n">
        <v>18559.8</v>
      </c>
      <c r="CB11" t="n">
        <v>20</v>
      </c>
      <c r="CC11" t="n">
        <v>2349944</v>
      </c>
      <c r="CD11" t="n">
        <v>33484257</v>
      </c>
      <c r="CE11" t="n">
        <v>-1</v>
      </c>
      <c r="CF11" t="n">
        <v>7.52855</v>
      </c>
      <c r="CG11" t="n">
        <v>7.52855</v>
      </c>
      <c r="CH11" t="n">
        <v>-168573</v>
      </c>
      <c r="CI11" t="n">
        <v>-7.52855</v>
      </c>
      <c r="CJ11" t="n">
        <v>0</v>
      </c>
      <c r="CK11" t="n">
        <v>0</v>
      </c>
      <c r="CL11" t="n">
        <v>23.93</v>
      </c>
      <c r="CM11" t="n">
        <v>-1</v>
      </c>
      <c r="CN11" t="n">
        <v>-1</v>
      </c>
      <c r="CO11" t="inlineStr">
        <is>
          <t>2112.2 MiB</t>
        </is>
      </c>
      <c r="CP11" t="n">
        <v>77.52</v>
      </c>
      <c r="CQ11" t="n">
        <v>54.2897</v>
      </c>
      <c r="CR11" t="n">
        <v>47.3372</v>
      </c>
      <c r="CS11" t="inlineStr">
        <is>
          <t>2112.2 MiB</t>
        </is>
      </c>
      <c r="CT11" t="n">
        <v>-1</v>
      </c>
      <c r="CU11" t="n">
        <v>26.39</v>
      </c>
      <c r="CV11" t="n">
        <v/>
      </c>
    </row>
    <row r="12">
      <c r="A12" t="inlineStr">
        <is>
          <t>hecate_25d_L17_int_10um_bump_fanin_12.xml</t>
        </is>
      </c>
      <c r="B12" t="inlineStr">
        <is>
          <t>dnnweaver.blif</t>
        </is>
      </c>
      <c r="C12" t="inlineStr">
        <is>
          <t>common</t>
        </is>
      </c>
      <c r="D12" t="n">
        <v>1938.08</v>
      </c>
      <c r="E12" t="inlineStr">
        <is>
          <t>vpr</t>
        </is>
      </c>
      <c r="F12" t="inlineStr">
        <is>
          <t>2.97 GiB</t>
        </is>
      </c>
      <c r="G12" t="n">
        <v/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8311</v>
      </c>
      <c r="T12" t="n">
        <v>1428</v>
      </c>
      <c r="U12" t="n">
        <v>1138</v>
      </c>
      <c r="V12" t="n">
        <v>-1</v>
      </c>
      <c r="W12" t="inlineStr">
        <is>
          <t>success</t>
        </is>
      </c>
      <c r="X12" t="inlineStr">
        <is>
          <t>v8.0.0-16074-g5c6c698728</t>
        </is>
      </c>
      <c r="Y12" t="inlineStr">
        <is>
          <t>release IPO VTR_ASSERT_LEVEL=2</t>
        </is>
      </c>
      <c r="Z12" t="inlineStr">
        <is>
          <t>GNU 13.3.0 on Linux-6.8.0-100-generic x86_64</t>
        </is>
      </c>
      <c r="AA12" t="inlineStr">
        <is>
          <t>2026-06-03T17:04:21</t>
        </is>
      </c>
      <c r="AB12" t="inlineStr">
        <is>
          <t>betzgrp-wintermute</t>
        </is>
      </c>
      <c r="AC12" t="inlineStr">
        <is>
          <t>/home/singera8/fpga-analytical-placement/testing/test_suites</t>
        </is>
      </c>
      <c r="AD12" t="n">
        <v>3110692</v>
      </c>
      <c r="AE12" t="n">
        <v>1428</v>
      </c>
      <c r="AF12" t="n">
        <v>2108</v>
      </c>
      <c r="AG12" t="n">
        <v>151826</v>
      </c>
      <c r="AH12" t="n">
        <v>138094</v>
      </c>
      <c r="AI12" t="n">
        <v>1</v>
      </c>
      <c r="AJ12" t="n">
        <v>112958</v>
      </c>
      <c r="AK12" t="n">
        <v>13543</v>
      </c>
      <c r="AL12" t="n">
        <v>129</v>
      </c>
      <c r="AM12" t="n">
        <v>129</v>
      </c>
      <c r="AN12" t="n">
        <v>16641</v>
      </c>
      <c r="AO12" t="inlineStr">
        <is>
          <t>memory</t>
        </is>
      </c>
      <c r="AP12" t="inlineStr">
        <is>
          <t>auto</t>
        </is>
      </c>
      <c r="AQ12" t="inlineStr">
        <is>
          <t>2683.0 MiB</t>
        </is>
      </c>
      <c r="AR12" t="n">
        <v>940.92</v>
      </c>
      <c r="AS12" t="n">
        <v>2635810</v>
      </c>
      <c r="AT12" t="n">
        <v>1529781</v>
      </c>
      <c r="AU12" t="n">
        <v>20505755</v>
      </c>
      <c r="AV12" t="n">
        <v>5358414</v>
      </c>
      <c r="AW12" t="n">
        <v>14025961</v>
      </c>
      <c r="AX12" t="n">
        <v>1121380</v>
      </c>
      <c r="AY12" t="inlineStr">
        <is>
          <t>2730.1 MiB</t>
        </is>
      </c>
      <c r="AZ12" t="n">
        <v>498.6</v>
      </c>
      <c r="BA12" t="n">
        <v>3.66</v>
      </c>
      <c r="BB12" t="n">
        <v>9.710760000000001</v>
      </c>
      <c r="BC12" t="n">
        <v>8.03288</v>
      </c>
      <c r="BD12" t="n">
        <v>-872255</v>
      </c>
      <c r="BE12" t="n">
        <v>-8.03288</v>
      </c>
      <c r="BF12" t="n">
        <v>8.03288</v>
      </c>
      <c r="BG12" t="n">
        <v>2.15</v>
      </c>
      <c r="BH12" t="n">
        <v>0.523626</v>
      </c>
      <c r="BI12" t="n">
        <v>0.423057</v>
      </c>
      <c r="BJ12" t="n">
        <v>70.80549999999999</v>
      </c>
      <c r="BK12" t="n">
        <v>57.2168</v>
      </c>
      <c r="BL12" t="inlineStr">
        <is>
          <t>2730.1 MiB</t>
        </is>
      </c>
      <c r="BM12" t="n">
        <v>1673.83</v>
      </c>
      <c r="BN12" t="inlineStr">
        <is>
          <t>2730.1 MiB</t>
        </is>
      </c>
      <c r="BO12" t="n">
        <v>953.13</v>
      </c>
      <c r="BP12" t="n">
        <v>2718258</v>
      </c>
      <c r="BQ12" t="n">
        <v>24.3142</v>
      </c>
      <c r="BR12" t="n">
        <v>611169</v>
      </c>
      <c r="BS12" t="n">
        <v>5.46677</v>
      </c>
      <c r="BT12" t="n">
        <v>422652</v>
      </c>
      <c r="BU12" t="n">
        <v>943936</v>
      </c>
      <c r="BV12" t="n">
        <v>698562384</v>
      </c>
      <c r="BW12" t="n">
        <v>235124657</v>
      </c>
      <c r="BX12" t="n">
        <v>747635000</v>
      </c>
      <c r="BY12" t="n">
        <v>530183000</v>
      </c>
      <c r="BZ12" t="n">
        <v>311618000</v>
      </c>
      <c r="CA12" t="n">
        <v>18725.9</v>
      </c>
      <c r="CB12" t="n">
        <v>19</v>
      </c>
      <c r="CC12" t="n">
        <v>4284270</v>
      </c>
      <c r="CD12" t="n">
        <v>61006964</v>
      </c>
      <c r="CE12" t="n">
        <v>-1</v>
      </c>
      <c r="CF12" t="n">
        <v>10.7916</v>
      </c>
      <c r="CG12" t="n">
        <v>10.7916</v>
      </c>
      <c r="CH12" t="n">
        <v>-1146800</v>
      </c>
      <c r="CI12" t="n">
        <v>-10.7916</v>
      </c>
      <c r="CJ12" t="n">
        <v>0</v>
      </c>
      <c r="CK12" t="n">
        <v>0</v>
      </c>
      <c r="CL12" t="n">
        <v>44.85</v>
      </c>
      <c r="CM12" t="n">
        <v>-1</v>
      </c>
      <c r="CN12" t="n">
        <v>-1</v>
      </c>
      <c r="CO12" t="inlineStr">
        <is>
          <t>2880.0 MiB</t>
        </is>
      </c>
      <c r="CP12" t="n">
        <v>241.46</v>
      </c>
      <c r="CQ12" t="n">
        <v>131.212</v>
      </c>
      <c r="CR12" t="n">
        <v>109.051</v>
      </c>
      <c r="CS12" t="inlineStr">
        <is>
          <t>2683.0 MiB</t>
        </is>
      </c>
      <c r="CT12" t="n">
        <v>-1</v>
      </c>
      <c r="CU12" t="n">
        <v>47.66</v>
      </c>
      <c r="CV12" t="n">
        <v/>
      </c>
    </row>
    <row r="13">
      <c r="A13" t="inlineStr">
        <is>
          <t>hecate_25d_L17_int_10um_bump_fanin_12.xml</t>
        </is>
      </c>
      <c r="B13" t="inlineStr">
        <is>
          <t>gemm_layer.blif</t>
        </is>
      </c>
      <c r="C13" t="inlineStr">
        <is>
          <t>common</t>
        </is>
      </c>
      <c r="D13" t="n">
        <v>5431.17</v>
      </c>
      <c r="E13" t="inlineStr">
        <is>
          <t>vpr</t>
        </is>
      </c>
      <c r="F13" t="inlineStr">
        <is>
          <t>6.00 GiB</t>
        </is>
      </c>
      <c r="G13" t="n">
        <v/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25790</v>
      </c>
      <c r="T13" t="n">
        <v>651</v>
      </c>
      <c r="U13" t="n">
        <v>0</v>
      </c>
      <c r="V13" t="n">
        <v>-1</v>
      </c>
      <c r="W13" t="inlineStr">
        <is>
          <t>success</t>
        </is>
      </c>
      <c r="X13" t="inlineStr">
        <is>
          <t>v8.0.0-16074-g5c6c698728</t>
        </is>
      </c>
      <c r="Y13" t="inlineStr">
        <is>
          <t>release IPO VTR_ASSERT_LEVEL=2</t>
        </is>
      </c>
      <c r="Z13" t="inlineStr">
        <is>
          <t>GNU 13.3.0 on Linux-6.8.0-100-generic x86_64</t>
        </is>
      </c>
      <c r="AA13" t="inlineStr">
        <is>
          <t>2026-06-03T17:04:21</t>
        </is>
      </c>
      <c r="AB13" t="inlineStr">
        <is>
          <t>betzgrp-wintermute</t>
        </is>
      </c>
      <c r="AC13" t="inlineStr">
        <is>
          <t>/home/singera8/fpga-analytical-placement/testing/test_suites</t>
        </is>
      </c>
      <c r="AD13" t="n">
        <v>6294652</v>
      </c>
      <c r="AE13" t="n">
        <v>651</v>
      </c>
      <c r="AF13" t="n">
        <v>1109</v>
      </c>
      <c r="AG13" t="n">
        <v>386778</v>
      </c>
      <c r="AH13" t="n">
        <v>384687</v>
      </c>
      <c r="AI13" t="n">
        <v>1</v>
      </c>
      <c r="AJ13" t="n">
        <v>228865</v>
      </c>
      <c r="AK13" t="n">
        <v>27807</v>
      </c>
      <c r="AL13" t="n">
        <v>173</v>
      </c>
      <c r="AM13" t="n">
        <v>173</v>
      </c>
      <c r="AN13" t="n">
        <v>29929</v>
      </c>
      <c r="AO13" t="inlineStr">
        <is>
          <t>clb</t>
        </is>
      </c>
      <c r="AP13" t="inlineStr">
        <is>
          <t>auto</t>
        </is>
      </c>
      <c r="AQ13" t="inlineStr">
        <is>
          <t>5064.6 MiB</t>
        </is>
      </c>
      <c r="AR13" t="n">
        <v>2870.19</v>
      </c>
      <c r="AS13" t="n">
        <v>7940570</v>
      </c>
      <c r="AT13" t="n">
        <v>2539005</v>
      </c>
      <c r="AU13" t="n">
        <v>40872179</v>
      </c>
      <c r="AV13" t="n">
        <v>12198520</v>
      </c>
      <c r="AW13" t="n">
        <v>28090414</v>
      </c>
      <c r="AX13" t="n">
        <v>583245</v>
      </c>
      <c r="AY13" t="inlineStr">
        <is>
          <t>6147.1 MiB</t>
        </is>
      </c>
      <c r="AZ13" t="n">
        <v>1624.35</v>
      </c>
      <c r="BA13" t="n">
        <v>42.07</v>
      </c>
      <c r="BB13" t="n">
        <v>22.5687</v>
      </c>
      <c r="BC13" t="n">
        <v>7.40393</v>
      </c>
      <c r="BD13" t="n">
        <v>-371787</v>
      </c>
      <c r="BE13" t="n">
        <v>-7.40393</v>
      </c>
      <c r="BF13" t="n">
        <v>7.40393</v>
      </c>
      <c r="BG13" t="n">
        <v>158.6</v>
      </c>
      <c r="BH13" t="n">
        <v>0.791034</v>
      </c>
      <c r="BI13" t="n">
        <v>0.650325</v>
      </c>
      <c r="BJ13" t="n">
        <v>86.51009999999999</v>
      </c>
      <c r="BK13" t="n">
        <v>72.28660000000001</v>
      </c>
      <c r="BL13" t="inlineStr">
        <is>
          <t>6147.1 MiB</t>
        </is>
      </c>
      <c r="BM13" t="n">
        <v>5193.84</v>
      </c>
      <c r="BN13" t="inlineStr">
        <is>
          <t>5479.8 MiB</t>
        </is>
      </c>
      <c r="BO13" t="n">
        <v>2908.68</v>
      </c>
      <c r="BP13" t="n">
        <v>4358217</v>
      </c>
      <c r="BQ13" t="n">
        <v>19.1033</v>
      </c>
      <c r="BR13" t="n">
        <v>985925</v>
      </c>
      <c r="BS13" t="n">
        <v>4.3216</v>
      </c>
      <c r="BT13" t="n">
        <v>743469</v>
      </c>
      <c r="BU13" t="n">
        <v>2247715</v>
      </c>
      <c r="BV13" t="n">
        <v>474853755</v>
      </c>
      <c r="BW13" t="n">
        <v>178386301</v>
      </c>
      <c r="BX13" t="n">
        <v>1350200000</v>
      </c>
      <c r="BY13" t="n">
        <v>784866000</v>
      </c>
      <c r="BZ13" t="n">
        <v>559278000</v>
      </c>
      <c r="CA13" t="n">
        <v>18686.8</v>
      </c>
      <c r="CB13" t="n">
        <v>17</v>
      </c>
      <c r="CC13" t="n">
        <v>7701004</v>
      </c>
      <c r="CD13" t="n">
        <v>110174405</v>
      </c>
      <c r="CE13" t="n">
        <v>-1</v>
      </c>
      <c r="CF13" t="n">
        <v>7.89694</v>
      </c>
      <c r="CG13" t="n">
        <v>7.89694</v>
      </c>
      <c r="CH13" t="n">
        <v>-446266</v>
      </c>
      <c r="CI13" t="n">
        <v>-7.89694</v>
      </c>
      <c r="CJ13" t="n">
        <v>0</v>
      </c>
      <c r="CK13" t="n">
        <v>0</v>
      </c>
      <c r="CL13" t="n">
        <v>75.84999999999999</v>
      </c>
      <c r="CM13" t="n">
        <v>-1</v>
      </c>
      <c r="CN13" t="n">
        <v>-1</v>
      </c>
      <c r="CO13" t="inlineStr">
        <is>
          <t>6147.1 MiB</t>
        </is>
      </c>
      <c r="CP13" t="n">
        <v>188.18</v>
      </c>
      <c r="CQ13" t="n">
        <v>175.125</v>
      </c>
      <c r="CR13" t="n">
        <v>150.005</v>
      </c>
      <c r="CS13" t="inlineStr">
        <is>
          <t>6147.1 MiB</t>
        </is>
      </c>
      <c r="CT13" t="n">
        <v>-1</v>
      </c>
      <c r="CU13" t="n">
        <v>74.33</v>
      </c>
      <c r="CV13" t="n">
        <v/>
      </c>
    </row>
    <row r="14">
      <c r="A14" t="inlineStr">
        <is>
          <t>hecate_25d_L17_int_10um_bump_fanin_12.xml</t>
        </is>
      </c>
      <c r="B14" t="inlineStr">
        <is>
          <t>lstm.blif</t>
        </is>
      </c>
      <c r="C14" t="inlineStr">
        <is>
          <t>common</t>
        </is>
      </c>
      <c r="D14" t="n">
        <v>1077.06</v>
      </c>
      <c r="E14" t="inlineStr">
        <is>
          <t>vpr</t>
        </is>
      </c>
      <c r="F14" t="inlineStr">
        <is>
          <t>1.95 GiB</t>
        </is>
      </c>
      <c r="G14" t="n">
        <v/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6233</v>
      </c>
      <c r="T14" t="n">
        <v>2642</v>
      </c>
      <c r="U14" t="n">
        <v>303</v>
      </c>
      <c r="V14" t="n">
        <v>-1</v>
      </c>
      <c r="W14" t="inlineStr">
        <is>
          <t>success</t>
        </is>
      </c>
      <c r="X14" t="inlineStr">
        <is>
          <t>v8.0.0-16074-g5c6c698728</t>
        </is>
      </c>
      <c r="Y14" t="inlineStr">
        <is>
          <t>release IPO VTR_ASSERT_LEVEL=2</t>
        </is>
      </c>
      <c r="Z14" t="inlineStr">
        <is>
          <t>GNU 13.3.0 on Linux-6.8.0-100-generic x86_64</t>
        </is>
      </c>
      <c r="AA14" t="inlineStr">
        <is>
          <t>2026-06-03T17:04:21</t>
        </is>
      </c>
      <c r="AB14" t="inlineStr">
        <is>
          <t>betzgrp-wintermute</t>
        </is>
      </c>
      <c r="AC14" t="inlineStr">
        <is>
          <t>/home/singera8/fpga-analytical-placement/testing/test_suites</t>
        </is>
      </c>
      <c r="AD14" t="n">
        <v>2046288</v>
      </c>
      <c r="AE14" t="n">
        <v>2642</v>
      </c>
      <c r="AF14" t="n">
        <v>19</v>
      </c>
      <c r="AG14" t="n">
        <v>145014</v>
      </c>
      <c r="AH14" t="n">
        <v>135863</v>
      </c>
      <c r="AI14" t="n">
        <v>1</v>
      </c>
      <c r="AJ14" t="n">
        <v>94827</v>
      </c>
      <c r="AK14" t="n">
        <v>9525</v>
      </c>
      <c r="AL14" t="n">
        <v>87</v>
      </c>
      <c r="AM14" t="n">
        <v>87</v>
      </c>
      <c r="AN14" t="n">
        <v>7569</v>
      </c>
      <c r="AO14" t="inlineStr">
        <is>
          <t>clb</t>
        </is>
      </c>
      <c r="AP14" t="inlineStr">
        <is>
          <t>auto</t>
        </is>
      </c>
      <c r="AQ14" t="inlineStr">
        <is>
          <t>1729.1 MiB</t>
        </is>
      </c>
      <c r="AR14" t="n">
        <v>469.82</v>
      </c>
      <c r="AS14" t="n">
        <v>1301240</v>
      </c>
      <c r="AT14" t="n">
        <v>810557</v>
      </c>
      <c r="AU14" t="n">
        <v>8184288</v>
      </c>
      <c r="AV14" t="n">
        <v>2050284</v>
      </c>
      <c r="AW14" t="n">
        <v>6061332</v>
      </c>
      <c r="AX14" t="n">
        <v>72672</v>
      </c>
      <c r="AY14" t="inlineStr">
        <is>
          <t>1998.3 MiB</t>
        </is>
      </c>
      <c r="AZ14" t="n">
        <v>221.57</v>
      </c>
      <c r="BA14" t="n">
        <v>2.47</v>
      </c>
      <c r="BB14" t="n">
        <v>9.939539999999999</v>
      </c>
      <c r="BC14" t="n">
        <v>5.85272</v>
      </c>
      <c r="BD14" t="n">
        <v>-193916</v>
      </c>
      <c r="BE14" t="n">
        <v>-5.85272</v>
      </c>
      <c r="BF14" t="n">
        <v>5.85272</v>
      </c>
      <c r="BG14" t="n">
        <v>19.56</v>
      </c>
      <c r="BH14" t="n">
        <v>0.29365</v>
      </c>
      <c r="BI14" t="n">
        <v>0.262133</v>
      </c>
      <c r="BJ14" t="n">
        <v>27.0831</v>
      </c>
      <c r="BK14" t="n">
        <v>23.4207</v>
      </c>
      <c r="BL14" t="inlineStr">
        <is>
          <t>1998.3 MiB</t>
        </is>
      </c>
      <c r="BM14" t="n">
        <v>910.3099999999999</v>
      </c>
      <c r="BN14" t="inlineStr">
        <is>
          <t>1998.3 MiB</t>
        </is>
      </c>
      <c r="BO14" t="n">
        <v>501.55</v>
      </c>
      <c r="BP14" t="n">
        <v>1684410</v>
      </c>
      <c r="BQ14" t="n">
        <v>17.7645</v>
      </c>
      <c r="BR14" t="n">
        <v>403930</v>
      </c>
      <c r="BS14" t="n">
        <v>4.26001</v>
      </c>
      <c r="BT14" t="n">
        <v>356740</v>
      </c>
      <c r="BU14" t="n">
        <v>702486</v>
      </c>
      <c r="BV14" t="n">
        <v>418224570</v>
      </c>
      <c r="BW14" t="n">
        <v>158193041</v>
      </c>
      <c r="BX14" t="n">
        <v>334383000</v>
      </c>
      <c r="BY14" t="n">
        <v>298878000</v>
      </c>
      <c r="BZ14" t="n">
        <v>140369000</v>
      </c>
      <c r="CA14" t="n">
        <v>18545.2</v>
      </c>
      <c r="CB14" t="n">
        <v>19</v>
      </c>
      <c r="CC14" t="n">
        <v>1944528</v>
      </c>
      <c r="CD14" t="n">
        <v>27486814</v>
      </c>
      <c r="CE14" t="n">
        <v>-1</v>
      </c>
      <c r="CF14" t="n">
        <v>6.83597</v>
      </c>
      <c r="CG14" t="n">
        <v>6.83597</v>
      </c>
      <c r="CH14" t="n">
        <v>-265814</v>
      </c>
      <c r="CI14" t="n">
        <v>-6.83597</v>
      </c>
      <c r="CJ14" t="n">
        <v>0</v>
      </c>
      <c r="CK14" t="n">
        <v>0</v>
      </c>
      <c r="CL14" t="n">
        <v>19.75</v>
      </c>
      <c r="CM14" t="n">
        <v>-1</v>
      </c>
      <c r="CN14" t="n">
        <v>-1</v>
      </c>
      <c r="CO14" t="inlineStr">
        <is>
          <t>1998.3 MiB</t>
        </is>
      </c>
      <c r="CP14" t="n">
        <v>149.2</v>
      </c>
      <c r="CQ14" t="n">
        <v>69.06610000000001</v>
      </c>
      <c r="CR14" t="n">
        <v>61.0927</v>
      </c>
      <c r="CS14" t="inlineStr">
        <is>
          <t>1998.3 MiB</t>
        </is>
      </c>
      <c r="CT14" t="n">
        <v>-1</v>
      </c>
      <c r="CU14" t="n">
        <v>18.79</v>
      </c>
      <c r="CV14" t="n">
        <v/>
      </c>
    </row>
    <row r="15">
      <c r="A15" t="inlineStr">
        <is>
          <t>hecate_25d_L17_int_10um_bump_fanin_12.xml</t>
        </is>
      </c>
      <c r="B15" t="inlineStr">
        <is>
          <t>proxy.5.blif</t>
        </is>
      </c>
      <c r="C15" t="inlineStr">
        <is>
          <t>common</t>
        </is>
      </c>
      <c r="D15" t="n">
        <v>1169.45</v>
      </c>
      <c r="E15" t="inlineStr">
        <is>
          <t>vpr</t>
        </is>
      </c>
      <c r="F15" t="inlineStr">
        <is>
          <t>1.52 GiB</t>
        </is>
      </c>
      <c r="G15" t="n">
        <v/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5778</v>
      </c>
      <c r="T15" t="n">
        <v>459</v>
      </c>
      <c r="U15" t="n">
        <v>176</v>
      </c>
      <c r="V15" t="n">
        <v>-1</v>
      </c>
      <c r="W15" t="inlineStr">
        <is>
          <t>success</t>
        </is>
      </c>
      <c r="X15" t="inlineStr">
        <is>
          <t>v8.0.0-16074-g5c6c698728</t>
        </is>
      </c>
      <c r="Y15" t="inlineStr">
        <is>
          <t>release IPO VTR_ASSERT_LEVEL=2</t>
        </is>
      </c>
      <c r="Z15" t="inlineStr">
        <is>
          <t>GNU 13.3.0 on Linux-6.8.0-100-generic x86_64</t>
        </is>
      </c>
      <c r="AA15" t="inlineStr">
        <is>
          <t>2026-06-03T17:04:21</t>
        </is>
      </c>
      <c r="AB15" t="inlineStr">
        <is>
          <t>betzgrp-wintermute</t>
        </is>
      </c>
      <c r="AC15" t="inlineStr">
        <is>
          <t>/home/singera8/fpga-analytical-placement/testing/test_suites</t>
        </is>
      </c>
      <c r="AD15" t="n">
        <v>1595136</v>
      </c>
      <c r="AE15" t="n">
        <v>459</v>
      </c>
      <c r="AF15" t="n">
        <v>320</v>
      </c>
      <c r="AG15" t="n">
        <v>114765</v>
      </c>
      <c r="AH15" t="n">
        <v>105021</v>
      </c>
      <c r="AI15" t="n">
        <v>1</v>
      </c>
      <c r="AJ15" t="n">
        <v>67926</v>
      </c>
      <c r="AK15" t="n">
        <v>7035</v>
      </c>
      <c r="AL15" t="n">
        <v>84</v>
      </c>
      <c r="AM15" t="n">
        <v>84</v>
      </c>
      <c r="AN15" t="n">
        <v>7056</v>
      </c>
      <c r="AO15" t="inlineStr">
        <is>
          <t>clb</t>
        </is>
      </c>
      <c r="AP15" t="inlineStr">
        <is>
          <t>auto</t>
        </is>
      </c>
      <c r="AQ15" t="inlineStr">
        <is>
          <t>1368.1 MiB</t>
        </is>
      </c>
      <c r="AR15" t="n">
        <v>811.64</v>
      </c>
      <c r="AS15" t="n">
        <v>1060670</v>
      </c>
      <c r="AT15" t="n">
        <v>635548</v>
      </c>
      <c r="AU15" t="n">
        <v>5195218</v>
      </c>
      <c r="AV15" t="n">
        <v>1295037</v>
      </c>
      <c r="AW15" t="n">
        <v>3865975</v>
      </c>
      <c r="AX15" t="n">
        <v>34206</v>
      </c>
      <c r="AY15" t="inlineStr">
        <is>
          <t>1542.9 MiB</t>
        </is>
      </c>
      <c r="AZ15" t="n">
        <v>137.35</v>
      </c>
      <c r="BA15" t="n">
        <v>1.6</v>
      </c>
      <c r="BB15" t="n">
        <v>8.108449999999999</v>
      </c>
      <c r="BC15" t="n">
        <v>5.40792</v>
      </c>
      <c r="BD15" t="n">
        <v>-142555</v>
      </c>
      <c r="BE15" t="n">
        <v>-5.40792</v>
      </c>
      <c r="BF15" t="n">
        <v>5.40792</v>
      </c>
      <c r="BG15" t="n">
        <v>0.88</v>
      </c>
      <c r="BH15" t="n">
        <v>0.202061</v>
      </c>
      <c r="BI15" t="n">
        <v>0.180189</v>
      </c>
      <c r="BJ15" t="n">
        <v>17.6535</v>
      </c>
      <c r="BK15" t="n">
        <v>15.3968</v>
      </c>
      <c r="BL15" t="inlineStr">
        <is>
          <t>1542.9 MiB</t>
        </is>
      </c>
      <c r="BM15" t="n">
        <v>1074.34</v>
      </c>
      <c r="BN15" t="inlineStr">
        <is>
          <t>1542.9 MiB</t>
        </is>
      </c>
      <c r="BO15" t="n">
        <v>819.89</v>
      </c>
      <c r="BP15" t="n">
        <v>1214288</v>
      </c>
      <c r="BQ15" t="n">
        <v>17.8772</v>
      </c>
      <c r="BR15" t="n">
        <v>286054</v>
      </c>
      <c r="BS15" t="n">
        <v>4.21138</v>
      </c>
      <c r="BT15" t="n">
        <v>234394</v>
      </c>
      <c r="BU15" t="n">
        <v>528186</v>
      </c>
      <c r="BV15" t="n">
        <v>223161839</v>
      </c>
      <c r="BW15" t="n">
        <v>81496448</v>
      </c>
      <c r="BX15" t="n">
        <v>315717000</v>
      </c>
      <c r="BY15" t="n">
        <v>262100000</v>
      </c>
      <c r="BZ15" t="n">
        <v>131039000</v>
      </c>
      <c r="CA15" t="n">
        <v>18571.3</v>
      </c>
      <c r="CB15" t="n">
        <v>17</v>
      </c>
      <c r="CC15" t="n">
        <v>1821576</v>
      </c>
      <c r="CD15" t="n">
        <v>25660362</v>
      </c>
      <c r="CE15" t="n">
        <v>-1</v>
      </c>
      <c r="CF15" t="n">
        <v>6.01768</v>
      </c>
      <c r="CG15" t="n">
        <v>6.01768</v>
      </c>
      <c r="CH15" t="n">
        <v>-174201</v>
      </c>
      <c r="CI15" t="n">
        <v>-6.01768</v>
      </c>
      <c r="CJ15" t="n">
        <v>0</v>
      </c>
      <c r="CK15" t="n">
        <v>0</v>
      </c>
      <c r="CL15" t="n">
        <v>19.34</v>
      </c>
      <c r="CM15" t="n">
        <v>-1</v>
      </c>
      <c r="CN15" t="n">
        <v>-1</v>
      </c>
      <c r="CO15" t="inlineStr">
        <is>
          <t>1542.9 MiB</t>
        </is>
      </c>
      <c r="CP15" t="n">
        <v>82.48</v>
      </c>
      <c r="CQ15" t="n">
        <v>43.4456</v>
      </c>
      <c r="CR15" t="n">
        <v>38.3601</v>
      </c>
      <c r="CS15" t="inlineStr">
        <is>
          <t>1263.6 MiB</t>
        </is>
      </c>
      <c r="CT15" t="n">
        <v>-1</v>
      </c>
      <c r="CU15" t="n">
        <v>18.96</v>
      </c>
      <c r="CV15" t="n">
        <v/>
      </c>
    </row>
    <row r="16">
      <c r="A16" t="inlineStr">
        <is>
          <t>hecate_25d_L17_int_10um_bump_fanin_12.xml</t>
        </is>
      </c>
      <c r="B16" t="inlineStr">
        <is>
          <t>proxy.7.blif</t>
        </is>
      </c>
      <c r="C16" t="inlineStr">
        <is>
          <t>common</t>
        </is>
      </c>
      <c r="D16" t="n">
        <v>3258.51</v>
      </c>
      <c r="E16" t="inlineStr">
        <is>
          <t>vpr</t>
        </is>
      </c>
      <c r="F16" t="inlineStr">
        <is>
          <t>4.04 GiB</t>
        </is>
      </c>
      <c r="G16" t="n">
        <v/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15799</v>
      </c>
      <c r="T16" t="n">
        <v>354</v>
      </c>
      <c r="U16" t="n">
        <v>492</v>
      </c>
      <c r="V16" t="n">
        <v>-1</v>
      </c>
      <c r="W16" t="inlineStr">
        <is>
          <t>success</t>
        </is>
      </c>
      <c r="X16" t="inlineStr">
        <is>
          <t>v8.0.0-16074-g5c6c698728</t>
        </is>
      </c>
      <c r="Y16" t="inlineStr">
        <is>
          <t>release IPO VTR_ASSERT_LEVEL=2</t>
        </is>
      </c>
      <c r="Z16" t="inlineStr">
        <is>
          <t>GNU 13.3.0 on Linux-6.8.0-100-generic x86_64</t>
        </is>
      </c>
      <c r="AA16" t="inlineStr">
        <is>
          <t>2026-06-03T17:04:21</t>
        </is>
      </c>
      <c r="AB16" t="inlineStr">
        <is>
          <t>betzgrp-wintermute</t>
        </is>
      </c>
      <c r="AC16" t="inlineStr">
        <is>
          <t>/home/singera8/fpga-analytical-placement/testing/test_suites</t>
        </is>
      </c>
      <c r="AD16" t="n">
        <v>4231136</v>
      </c>
      <c r="AE16" t="n">
        <v>354</v>
      </c>
      <c r="AF16" t="n">
        <v>144</v>
      </c>
      <c r="AG16" t="n">
        <v>289881</v>
      </c>
      <c r="AH16" t="n">
        <v>277953</v>
      </c>
      <c r="AI16" t="n">
        <v>1</v>
      </c>
      <c r="AJ16" t="n">
        <v>171426</v>
      </c>
      <c r="AK16" t="n">
        <v>17230</v>
      </c>
      <c r="AL16" t="n">
        <v>136</v>
      </c>
      <c r="AM16" t="n">
        <v>136</v>
      </c>
      <c r="AN16" t="n">
        <v>18496</v>
      </c>
      <c r="AO16" t="inlineStr">
        <is>
          <t>clb</t>
        </is>
      </c>
      <c r="AP16" t="inlineStr">
        <is>
          <t>auto</t>
        </is>
      </c>
      <c r="AQ16" t="inlineStr">
        <is>
          <t>3667.6 MiB</t>
        </is>
      </c>
      <c r="AR16" t="n">
        <v>1853.12</v>
      </c>
      <c r="AS16" t="n">
        <v>4245740</v>
      </c>
      <c r="AT16" t="n">
        <v>1698914</v>
      </c>
      <c r="AU16" t="n">
        <v>20703964</v>
      </c>
      <c r="AV16" t="n">
        <v>5909955</v>
      </c>
      <c r="AW16" t="n">
        <v>14750866</v>
      </c>
      <c r="AX16" t="n">
        <v>43143</v>
      </c>
      <c r="AY16" t="inlineStr">
        <is>
          <t>3941.1 MiB</t>
        </is>
      </c>
      <c r="AZ16" t="n">
        <v>792.8200000000001</v>
      </c>
      <c r="BA16" t="n">
        <v>7.16</v>
      </c>
      <c r="BB16" t="n">
        <v>14.2955</v>
      </c>
      <c r="BC16" t="n">
        <v>5.70136</v>
      </c>
      <c r="BD16" t="n">
        <v>-349784</v>
      </c>
      <c r="BE16" t="n">
        <v>-5.70136</v>
      </c>
      <c r="BF16" t="n">
        <v>5.70136</v>
      </c>
      <c r="BG16" t="n">
        <v>2.5</v>
      </c>
      <c r="BH16" t="n">
        <v>0.580433</v>
      </c>
      <c r="BI16" t="n">
        <v>0.514776</v>
      </c>
      <c r="BJ16" t="n">
        <v>61.4935</v>
      </c>
      <c r="BK16" t="n">
        <v>52.532</v>
      </c>
      <c r="BL16" t="inlineStr">
        <is>
          <t>3941.1 MiB</t>
        </is>
      </c>
      <c r="BM16" t="n">
        <v>3031.02</v>
      </c>
      <c r="BN16" t="inlineStr">
        <is>
          <t>3941.1 MiB</t>
        </is>
      </c>
      <c r="BO16" t="n">
        <v>1877.61</v>
      </c>
      <c r="BP16" t="n">
        <v>3117620</v>
      </c>
      <c r="BQ16" t="n">
        <v>18.1867</v>
      </c>
      <c r="BR16" t="n">
        <v>733163</v>
      </c>
      <c r="BS16" t="n">
        <v>4.27692</v>
      </c>
      <c r="BT16" t="n">
        <v>543276</v>
      </c>
      <c r="BU16" t="n">
        <v>1468491</v>
      </c>
      <c r="BV16" t="n">
        <v>454690911</v>
      </c>
      <c r="BW16" t="n">
        <v>183417021</v>
      </c>
      <c r="BX16" t="n">
        <v>829725000</v>
      </c>
      <c r="BY16" t="n">
        <v>620503000</v>
      </c>
      <c r="BZ16" t="n">
        <v>346116000</v>
      </c>
      <c r="CA16" t="n">
        <v>18713</v>
      </c>
      <c r="CB16" t="n">
        <v>18</v>
      </c>
      <c r="CC16" t="n">
        <v>4745592</v>
      </c>
      <c r="CD16" t="n">
        <v>67831239</v>
      </c>
      <c r="CE16" t="n">
        <v>-1</v>
      </c>
      <c r="CF16" t="n">
        <v>6.86229</v>
      </c>
      <c r="CG16" t="n">
        <v>6.86229</v>
      </c>
      <c r="CH16" t="n">
        <v>-428575</v>
      </c>
      <c r="CI16" t="n">
        <v>-6.86229</v>
      </c>
      <c r="CJ16" t="n">
        <v>0</v>
      </c>
      <c r="CK16" t="n">
        <v>0</v>
      </c>
      <c r="CL16" t="n">
        <v>50.48</v>
      </c>
      <c r="CM16" t="n">
        <v>-1</v>
      </c>
      <c r="CN16" t="n">
        <v>-1</v>
      </c>
      <c r="CO16" t="inlineStr">
        <is>
          <t>3941.1 MiB</t>
        </is>
      </c>
      <c r="CP16" t="n">
        <v>190.66</v>
      </c>
      <c r="CQ16" t="n">
        <v>133.329</v>
      </c>
      <c r="CR16" t="n">
        <v>116.303</v>
      </c>
      <c r="CS16" t="inlineStr">
        <is>
          <t>3239.3 MiB</t>
        </is>
      </c>
      <c r="CT16" t="n">
        <v>-1</v>
      </c>
      <c r="CU16" t="n">
        <v>60</v>
      </c>
      <c r="CV16" t="n">
        <v/>
      </c>
    </row>
    <row r="17">
      <c r="A17" t="inlineStr">
        <is>
          <t>hecate_25d_L17_int_10um_bump_fanin_12.xml</t>
        </is>
      </c>
      <c r="B17" t="inlineStr">
        <is>
          <t>tdarknet_like.large.blif</t>
        </is>
      </c>
      <c r="C17" t="inlineStr">
        <is>
          <t>common</t>
        </is>
      </c>
      <c r="D17" t="n">
        <v>203.04</v>
      </c>
      <c r="E17" t="inlineStr">
        <is>
          <t>vpr</t>
        </is>
      </c>
      <c r="F17" t="inlineStr">
        <is>
          <t>1.07 GiB</t>
        </is>
      </c>
      <c r="G17" t="n">
        <v/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1217</v>
      </c>
      <c r="T17" t="n">
        <v>21</v>
      </c>
      <c r="U17" t="n">
        <v>518</v>
      </c>
      <c r="V17" t="n">
        <v>-1</v>
      </c>
      <c r="W17" t="inlineStr">
        <is>
          <t>success</t>
        </is>
      </c>
      <c r="X17" t="inlineStr">
        <is>
          <t>v8.0.0-16074-g5c6c698728</t>
        </is>
      </c>
      <c r="Y17" t="inlineStr">
        <is>
          <t>release IPO VTR_ASSERT_LEVEL=2</t>
        </is>
      </c>
      <c r="Z17" t="inlineStr">
        <is>
          <t>GNU 13.3.0 on Linux-6.8.0-100-generic x86_64</t>
        </is>
      </c>
      <c r="AA17" t="inlineStr">
        <is>
          <t>2026-06-03T17:04:21</t>
        </is>
      </c>
      <c r="AB17" t="inlineStr">
        <is>
          <t>betzgrp-wintermute</t>
        </is>
      </c>
      <c r="AC17" t="inlineStr">
        <is>
          <t>/home/singera8/fpga-analytical-placement/testing/test_suites</t>
        </is>
      </c>
      <c r="AD17" t="n">
        <v>1119520</v>
      </c>
      <c r="AE17" t="n">
        <v>21</v>
      </c>
      <c r="AF17" t="n">
        <v>26</v>
      </c>
      <c r="AG17" t="n">
        <v>23610</v>
      </c>
      <c r="AH17" t="n">
        <v>23361</v>
      </c>
      <c r="AI17" t="n">
        <v>1</v>
      </c>
      <c r="AJ17" t="n">
        <v>14123</v>
      </c>
      <c r="AK17" t="n">
        <v>1786</v>
      </c>
      <c r="AL17" t="n">
        <v>89</v>
      </c>
      <c r="AM17" t="n">
        <v>89</v>
      </c>
      <c r="AN17" t="n">
        <v>7921</v>
      </c>
      <c r="AO17" t="inlineStr">
        <is>
          <t>memory</t>
        </is>
      </c>
      <c r="AP17" t="inlineStr">
        <is>
          <t>auto</t>
        </is>
      </c>
      <c r="AQ17" t="inlineStr">
        <is>
          <t>1093.3 MiB</t>
        </is>
      </c>
      <c r="AR17" t="n">
        <v>80.06</v>
      </c>
      <c r="AS17" t="n">
        <v>210718</v>
      </c>
      <c r="AT17" t="n">
        <v>164102</v>
      </c>
      <c r="AU17" t="n">
        <v>976576</v>
      </c>
      <c r="AV17" t="n">
        <v>254680</v>
      </c>
      <c r="AW17" t="n">
        <v>700751</v>
      </c>
      <c r="AX17" t="n">
        <v>21145</v>
      </c>
      <c r="AY17" t="inlineStr">
        <is>
          <t>1093.3 MiB</t>
        </is>
      </c>
      <c r="AZ17" t="n">
        <v>23.73</v>
      </c>
      <c r="BA17" t="n">
        <v>0.26</v>
      </c>
      <c r="BB17" t="n">
        <v>7.6017</v>
      </c>
      <c r="BC17" t="n">
        <v>7.03997</v>
      </c>
      <c r="BD17" t="n">
        <v>-255609</v>
      </c>
      <c r="BE17" t="n">
        <v>-7.03997</v>
      </c>
      <c r="BF17" t="n">
        <v>7.03997</v>
      </c>
      <c r="BG17" t="n">
        <v>0.74</v>
      </c>
      <c r="BH17" t="n">
        <v>0.103183</v>
      </c>
      <c r="BI17" t="n">
        <v>0.08849890000000001</v>
      </c>
      <c r="BJ17" t="n">
        <v>10.2085</v>
      </c>
      <c r="BK17" t="n">
        <v>8.50639</v>
      </c>
      <c r="BL17" t="inlineStr">
        <is>
          <t>1093.3 MiB</t>
        </is>
      </c>
      <c r="BM17" t="n">
        <v>169.22</v>
      </c>
      <c r="BN17" t="inlineStr">
        <is>
          <t>1093.3 MiB</t>
        </is>
      </c>
      <c r="BO17" t="n">
        <v>81.92</v>
      </c>
      <c r="BP17" t="n">
        <v>351867</v>
      </c>
      <c r="BQ17" t="n">
        <v>25.2978</v>
      </c>
      <c r="BR17" t="n">
        <v>83059</v>
      </c>
      <c r="BS17" t="n">
        <v>5.9716</v>
      </c>
      <c r="BT17" t="n">
        <v>39959</v>
      </c>
      <c r="BU17" t="n">
        <v>123343</v>
      </c>
      <c r="BV17" t="n">
        <v>68785433</v>
      </c>
      <c r="BW17" t="n">
        <v>26283784</v>
      </c>
      <c r="BX17" t="n">
        <v>347106000</v>
      </c>
      <c r="BY17" t="n">
        <v>106286000</v>
      </c>
      <c r="BZ17" t="n">
        <v>146766000</v>
      </c>
      <c r="CA17" t="n">
        <v>18528.8</v>
      </c>
      <c r="CB17" t="n">
        <v>20</v>
      </c>
      <c r="CC17" t="n">
        <v>2028708</v>
      </c>
      <c r="CD17" t="n">
        <v>28738997</v>
      </c>
      <c r="CE17" t="n">
        <v>-1</v>
      </c>
      <c r="CF17" t="n">
        <v>7.22654</v>
      </c>
      <c r="CG17" t="n">
        <v>7.22654</v>
      </c>
      <c r="CH17" t="n">
        <v>-312931</v>
      </c>
      <c r="CI17" t="n">
        <v>-7.22654</v>
      </c>
      <c r="CJ17" t="n">
        <v>0</v>
      </c>
      <c r="CK17" t="n">
        <v>0</v>
      </c>
      <c r="CL17" t="n">
        <v>20.71</v>
      </c>
      <c r="CM17" t="n">
        <v>-1</v>
      </c>
      <c r="CN17" t="n">
        <v>-1</v>
      </c>
      <c r="CO17" t="inlineStr">
        <is>
          <t>1093.3 MiB</t>
        </is>
      </c>
      <c r="CP17" t="n">
        <v>29.29</v>
      </c>
      <c r="CQ17" t="n">
        <v>22.8447</v>
      </c>
      <c r="CR17" t="n">
        <v>19.0846</v>
      </c>
      <c r="CS17" t="inlineStr">
        <is>
          <t>1093.3 MiB</t>
        </is>
      </c>
      <c r="CT17" t="n">
        <v>-1</v>
      </c>
      <c r="CU17" t="n">
        <v>21.79</v>
      </c>
      <c r="CV17" t="n">
        <v/>
      </c>
    </row>
    <row r="18">
      <c r="A18" t="inlineStr">
        <is>
          <t>hecate_25d_L17_int_10um_bump_fanin_12.xml</t>
        </is>
      </c>
      <c r="B18" t="inlineStr">
        <is>
          <t>tdarknet_like.small.blif</t>
        </is>
      </c>
      <c r="C18" t="inlineStr">
        <is>
          <t>common</t>
        </is>
      </c>
      <c r="D18" t="n">
        <v>1203</v>
      </c>
      <c r="E18" t="inlineStr">
        <is>
          <t>vpr</t>
        </is>
      </c>
      <c r="F18" t="inlineStr">
        <is>
          <t>5.48 GiB</t>
        </is>
      </c>
      <c r="G18" t="n">
        <v/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6158</v>
      </c>
      <c r="T18" t="n">
        <v>21</v>
      </c>
      <c r="U18" t="n">
        <v>3056</v>
      </c>
      <c r="V18" t="n">
        <v>-1</v>
      </c>
      <c r="W18" t="inlineStr">
        <is>
          <t>success</t>
        </is>
      </c>
      <c r="X18" t="inlineStr">
        <is>
          <t>v8.0.0-16074-g5c6c698728</t>
        </is>
      </c>
      <c r="Y18" t="inlineStr">
        <is>
          <t>release IPO VTR_ASSERT_LEVEL=2</t>
        </is>
      </c>
      <c r="Z18" t="inlineStr">
        <is>
          <t>GNU 13.3.0 on Linux-6.8.0-100-generic x86_64</t>
        </is>
      </c>
      <c r="AA18" t="inlineStr">
        <is>
          <t>2026-06-03T17:04:21</t>
        </is>
      </c>
      <c r="AB18" t="inlineStr">
        <is>
          <t>betzgrp-wintermute</t>
        </is>
      </c>
      <c r="AC18" t="inlineStr">
        <is>
          <t>/home/singera8/fpga-analytical-placement/testing/test_suites</t>
        </is>
      </c>
      <c r="AD18" t="n">
        <v>5748476</v>
      </c>
      <c r="AE18" t="n">
        <v>21</v>
      </c>
      <c r="AF18" t="n">
        <v>26</v>
      </c>
      <c r="AG18" t="n">
        <v>106170</v>
      </c>
      <c r="AH18" t="n">
        <v>105400</v>
      </c>
      <c r="AI18" t="n">
        <v>1</v>
      </c>
      <c r="AJ18" t="n">
        <v>72264</v>
      </c>
      <c r="AK18" t="n">
        <v>9279</v>
      </c>
      <c r="AL18" t="n">
        <v>206</v>
      </c>
      <c r="AM18" t="n">
        <v>206</v>
      </c>
      <c r="AN18" t="n">
        <v>42436</v>
      </c>
      <c r="AO18" t="inlineStr">
        <is>
          <t>memory</t>
        </is>
      </c>
      <c r="AP18" t="inlineStr">
        <is>
          <t>auto</t>
        </is>
      </c>
      <c r="AQ18" t="inlineStr">
        <is>
          <t>5613.7 MiB</t>
        </is>
      </c>
      <c r="AR18" t="n">
        <v>384.89</v>
      </c>
      <c r="AS18" t="n">
        <v>1734330</v>
      </c>
      <c r="AT18" t="n">
        <v>1087247</v>
      </c>
      <c r="AU18" t="n">
        <v>11899643</v>
      </c>
      <c r="AV18" t="n">
        <v>3393946</v>
      </c>
      <c r="AW18" t="n">
        <v>8158444</v>
      </c>
      <c r="AX18" t="n">
        <v>347253</v>
      </c>
      <c r="AY18" t="inlineStr">
        <is>
          <t>5613.7 MiB</t>
        </is>
      </c>
      <c r="AZ18" t="n">
        <v>281.68</v>
      </c>
      <c r="BA18" t="n">
        <v>2.23</v>
      </c>
      <c r="BB18" t="n">
        <v>7.79981</v>
      </c>
      <c r="BC18" t="n">
        <v>6.54839</v>
      </c>
      <c r="BD18" t="n">
        <v>-595871</v>
      </c>
      <c r="BE18" t="n">
        <v>-6.54839</v>
      </c>
      <c r="BF18" t="n">
        <v>6.54839</v>
      </c>
      <c r="BG18" t="n">
        <v>4.16</v>
      </c>
      <c r="BH18" t="n">
        <v>0.531276</v>
      </c>
      <c r="BI18" t="n">
        <v>0.450181</v>
      </c>
      <c r="BJ18" t="n">
        <v>68.61790000000001</v>
      </c>
      <c r="BK18" t="n">
        <v>56.9674</v>
      </c>
      <c r="BL18" t="inlineStr">
        <is>
          <t>5613.7 MiB</t>
        </is>
      </c>
      <c r="BM18" t="n">
        <v>1082.33</v>
      </c>
      <c r="BN18" t="inlineStr">
        <is>
          <t>5613.7 MiB</t>
        </is>
      </c>
      <c r="BO18" t="n">
        <v>393.87</v>
      </c>
      <c r="BP18" t="n">
        <v>1791761</v>
      </c>
      <c r="BQ18" t="n">
        <v>25.4454</v>
      </c>
      <c r="BR18" t="n">
        <v>402636</v>
      </c>
      <c r="BS18" t="n">
        <v>5.71796</v>
      </c>
      <c r="BT18" t="n">
        <v>159294</v>
      </c>
      <c r="BU18" t="n">
        <v>431400</v>
      </c>
      <c r="BV18" t="n">
        <v>216593723</v>
      </c>
      <c r="BW18" t="n">
        <v>84459269</v>
      </c>
      <c r="BX18" t="n">
        <v>1958030000</v>
      </c>
      <c r="BY18" t="n">
        <v>597104000</v>
      </c>
      <c r="BZ18" t="n">
        <v>794823000</v>
      </c>
      <c r="CA18" t="n">
        <v>18729.9</v>
      </c>
      <c r="CB18" t="n">
        <v>18</v>
      </c>
      <c r="CC18" t="n">
        <v>10996716</v>
      </c>
      <c r="CD18" t="n">
        <v>157061998</v>
      </c>
      <c r="CE18" t="n">
        <v>-1</v>
      </c>
      <c r="CF18" t="n">
        <v>7.64845</v>
      </c>
      <c r="CG18" t="n">
        <v>7.64845</v>
      </c>
      <c r="CH18" t="n">
        <v>-869089</v>
      </c>
      <c r="CI18" t="n">
        <v>-7.64845</v>
      </c>
      <c r="CJ18" t="n">
        <v>0</v>
      </c>
      <c r="CK18" t="n">
        <v>0</v>
      </c>
      <c r="CL18" t="n">
        <v>119</v>
      </c>
      <c r="CM18" t="n">
        <v>-1</v>
      </c>
      <c r="CN18" t="n">
        <v>-1</v>
      </c>
      <c r="CO18" t="inlineStr">
        <is>
          <t>5613.7 MiB</t>
        </is>
      </c>
      <c r="CP18" t="n">
        <v>97.33</v>
      </c>
      <c r="CQ18" t="n">
        <v>130.775</v>
      </c>
      <c r="CR18" t="n">
        <v>109.505</v>
      </c>
      <c r="CS18" t="inlineStr">
        <is>
          <t>5613.7 MiB</t>
        </is>
      </c>
      <c r="CT18" t="n">
        <v>-1</v>
      </c>
      <c r="CU18" t="n">
        <v>166.35</v>
      </c>
      <c r="CV18" t="n">
        <v/>
      </c>
    </row>
    <row r="19">
      <c r="A19" t="inlineStr">
        <is>
          <t>hecate_25d_L17_int_10um_bump_fanin_12.xml</t>
        </is>
      </c>
      <c r="B19" t="inlineStr">
        <is>
          <t>tpu_like.large.os.blif</t>
        </is>
      </c>
      <c r="C19" t="inlineStr">
        <is>
          <t>common</t>
        </is>
      </c>
      <c r="D19" t="n">
        <v>1631.51</v>
      </c>
      <c r="E19" t="inlineStr">
        <is>
          <t>vpr</t>
        </is>
      </c>
      <c r="F19" t="inlineStr">
        <is>
          <t>3.63 GiB</t>
        </is>
      </c>
      <c r="G19" t="n">
        <v/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7452</v>
      </c>
      <c r="T19" t="n">
        <v>643</v>
      </c>
      <c r="U19" t="n">
        <v>64</v>
      </c>
      <c r="V19" t="n">
        <v>-1</v>
      </c>
      <c r="W19" t="inlineStr">
        <is>
          <t>success</t>
        </is>
      </c>
      <c r="X19" t="inlineStr">
        <is>
          <t>v8.0.0-16074-g5c6c698728</t>
        </is>
      </c>
      <c r="Y19" t="inlineStr">
        <is>
          <t>release IPO VTR_ASSERT_LEVEL=2</t>
        </is>
      </c>
      <c r="Z19" t="inlineStr">
        <is>
          <t>GNU 13.3.0 on Linux-6.8.0-100-generic x86_64</t>
        </is>
      </c>
      <c r="AA19" t="inlineStr">
        <is>
          <t>2026-06-03T17:04:21</t>
        </is>
      </c>
      <c r="AB19" t="inlineStr">
        <is>
          <t>betzgrp-wintermute</t>
        </is>
      </c>
      <c r="AC19" t="inlineStr">
        <is>
          <t>/home/singera8/fpga-analytical-placement/testing/test_suites</t>
        </is>
      </c>
      <c r="AD19" t="n">
        <v>3801336</v>
      </c>
      <c r="AE19" t="n">
        <v>643</v>
      </c>
      <c r="AF19" t="n">
        <v>545</v>
      </c>
      <c r="AG19" t="n">
        <v>168120</v>
      </c>
      <c r="AH19" t="n">
        <v>152345</v>
      </c>
      <c r="AI19" t="n">
        <v>2</v>
      </c>
      <c r="AJ19" t="n">
        <v>98425</v>
      </c>
      <c r="AK19" t="n">
        <v>9765</v>
      </c>
      <c r="AL19" t="n">
        <v>154</v>
      </c>
      <c r="AM19" t="n">
        <v>154</v>
      </c>
      <c r="AN19" t="n">
        <v>23716</v>
      </c>
      <c r="AO19" t="inlineStr">
        <is>
          <t>dsp_top</t>
        </is>
      </c>
      <c r="AP19" t="inlineStr">
        <is>
          <t>auto</t>
        </is>
      </c>
      <c r="AQ19" t="inlineStr">
        <is>
          <t>2016.5 MiB</t>
        </is>
      </c>
      <c r="AR19" t="n">
        <v>961.8</v>
      </c>
      <c r="AS19" t="n">
        <v>2463150</v>
      </c>
      <c r="AT19" t="n">
        <v>1145945</v>
      </c>
      <c r="AU19" t="n">
        <v>9712176</v>
      </c>
      <c r="AV19" t="n">
        <v>2910579</v>
      </c>
      <c r="AW19" t="n">
        <v>6740114</v>
      </c>
      <c r="AX19" t="n">
        <v>61483</v>
      </c>
      <c r="AY19" t="inlineStr">
        <is>
          <t>3712.2 MiB</t>
        </is>
      </c>
      <c r="AZ19" t="n">
        <v>249.92</v>
      </c>
      <c r="BA19" t="n">
        <v>2.75</v>
      </c>
      <c r="BB19" t="n">
        <v>9.206099999999999</v>
      </c>
      <c r="BC19" t="n">
        <v>4.98913</v>
      </c>
      <c r="BD19" t="n">
        <v>-271509</v>
      </c>
      <c r="BE19" t="n">
        <v>-4.98913</v>
      </c>
      <c r="BF19" t="n">
        <v>1.22532</v>
      </c>
      <c r="BG19" t="n">
        <v>139.77</v>
      </c>
      <c r="BH19" t="n">
        <v>0.262679</v>
      </c>
      <c r="BI19" t="n">
        <v>0.218186</v>
      </c>
      <c r="BJ19" t="n">
        <v>27.0057</v>
      </c>
      <c r="BK19" t="n">
        <v>22.5823</v>
      </c>
      <c r="BL19" t="inlineStr">
        <is>
          <t>3712.2 MiB</t>
        </is>
      </c>
      <c r="BM19" t="n">
        <v>1539.46</v>
      </c>
      <c r="BN19" t="inlineStr">
        <is>
          <t>2262.9 MiB</t>
        </is>
      </c>
      <c r="BO19" t="n">
        <v>974.84</v>
      </c>
      <c r="BP19" t="n">
        <v>1747940</v>
      </c>
      <c r="BQ19" t="n">
        <v>17.7596</v>
      </c>
      <c r="BR19" t="n">
        <v>382767</v>
      </c>
      <c r="BS19" t="n">
        <v>3.88904</v>
      </c>
      <c r="BT19" t="n">
        <v>249045</v>
      </c>
      <c r="BU19" t="n">
        <v>437509</v>
      </c>
      <c r="BV19" t="n">
        <v>184935180</v>
      </c>
      <c r="BW19" t="n">
        <v>71018721</v>
      </c>
      <c r="BX19" t="n">
        <v>1068540000</v>
      </c>
      <c r="BY19" t="n">
        <v>486009000</v>
      </c>
      <c r="BZ19" t="n">
        <v>443498000</v>
      </c>
      <c r="CA19" t="n">
        <v>18700.4</v>
      </c>
      <c r="CB19" t="n">
        <v>16</v>
      </c>
      <c r="CC19" t="n">
        <v>6097384</v>
      </c>
      <c r="CD19" t="n">
        <v>87172327</v>
      </c>
      <c r="CE19" t="n">
        <v>-1</v>
      </c>
      <c r="CF19" t="n">
        <v>5.26091</v>
      </c>
      <c r="CG19" t="n">
        <v>1.29639</v>
      </c>
      <c r="CH19" t="n">
        <v>-308793</v>
      </c>
      <c r="CI19" t="n">
        <v>-5.26091</v>
      </c>
      <c r="CJ19" t="n">
        <v>0</v>
      </c>
      <c r="CK19" t="n">
        <v>0</v>
      </c>
      <c r="CL19" t="n">
        <v>63.68</v>
      </c>
      <c r="CM19" t="n">
        <v>-1</v>
      </c>
      <c r="CN19" t="n">
        <v>-1</v>
      </c>
      <c r="CO19" t="inlineStr">
        <is>
          <t>3712.2 MiB</t>
        </is>
      </c>
      <c r="CP19" t="n">
        <v>74.09999999999999</v>
      </c>
      <c r="CQ19" t="n">
        <v>57.6406</v>
      </c>
      <c r="CR19" t="n">
        <v>49.3146</v>
      </c>
      <c r="CS19" t="inlineStr">
        <is>
          <t>3712.2 MiB</t>
        </is>
      </c>
      <c r="CT19" t="n">
        <v>-1</v>
      </c>
      <c r="CU19" t="n">
        <v>68.84</v>
      </c>
      <c r="CV19" t="n">
        <v/>
      </c>
    </row>
    <row r="20">
      <c r="A20" t="inlineStr">
        <is>
          <t>hecate_25d_L17_int_10um_bump_fanin_12.xml</t>
        </is>
      </c>
      <c r="B20" t="inlineStr">
        <is>
          <t>tpu_like.large.ws.blif</t>
        </is>
      </c>
      <c r="C20" t="inlineStr">
        <is>
          <t>common</t>
        </is>
      </c>
      <c r="D20" t="n">
        <v>1796.41</v>
      </c>
      <c r="E20" t="inlineStr">
        <is>
          <t>vpr</t>
        </is>
      </c>
      <c r="F20" t="inlineStr">
        <is>
          <t>3.79 GiB</t>
        </is>
      </c>
      <c r="G20" t="n">
        <v/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9352</v>
      </c>
      <c r="T20" t="n">
        <v>645</v>
      </c>
      <c r="U20" t="n">
        <v>116</v>
      </c>
      <c r="V20" t="n">
        <v>-1</v>
      </c>
      <c r="W20" t="inlineStr">
        <is>
          <t>success</t>
        </is>
      </c>
      <c r="X20" t="inlineStr">
        <is>
          <t>v8.0.0-16074-g5c6c698728</t>
        </is>
      </c>
      <c r="Y20" t="inlineStr">
        <is>
          <t>release IPO VTR_ASSERT_LEVEL=2</t>
        </is>
      </c>
      <c r="Z20" t="inlineStr">
        <is>
          <t>GNU 13.3.0 on Linux-6.8.0-100-generic x86_64</t>
        </is>
      </c>
      <c r="AA20" t="inlineStr">
        <is>
          <t>2026-06-03T17:04:21</t>
        </is>
      </c>
      <c r="AB20" t="inlineStr">
        <is>
          <t>betzgrp-wintermute</t>
        </is>
      </c>
      <c r="AC20" t="inlineStr">
        <is>
          <t>/home/singera8/fpga-analytical-placement/testing/test_suites</t>
        </is>
      </c>
      <c r="AD20" t="n">
        <v>3972888</v>
      </c>
      <c r="AE20" t="n">
        <v>645</v>
      </c>
      <c r="AF20" t="n">
        <v>545</v>
      </c>
      <c r="AG20" t="n">
        <v>179138</v>
      </c>
      <c r="AH20" t="n">
        <v>163346</v>
      </c>
      <c r="AI20" t="n">
        <v>2</v>
      </c>
      <c r="AJ20" t="n">
        <v>93687</v>
      </c>
      <c r="AK20" t="n">
        <v>11723</v>
      </c>
      <c r="AL20" t="n">
        <v>155</v>
      </c>
      <c r="AM20" t="n">
        <v>155</v>
      </c>
      <c r="AN20" t="n">
        <v>24025</v>
      </c>
      <c r="AO20" t="inlineStr">
        <is>
          <t>dsp_top</t>
        </is>
      </c>
      <c r="AP20" t="inlineStr">
        <is>
          <t>auto</t>
        </is>
      </c>
      <c r="AQ20" t="inlineStr">
        <is>
          <t>2207.1 MiB</t>
        </is>
      </c>
      <c r="AR20" t="n">
        <v>1000.12</v>
      </c>
      <c r="AS20" t="n">
        <v>2769560</v>
      </c>
      <c r="AT20" t="n">
        <v>1436130</v>
      </c>
      <c r="AU20" t="n">
        <v>11326243</v>
      </c>
      <c r="AV20" t="n">
        <v>3170645</v>
      </c>
      <c r="AW20" t="n">
        <v>8053918</v>
      </c>
      <c r="AX20" t="n">
        <v>101680</v>
      </c>
      <c r="AY20" t="inlineStr">
        <is>
          <t>3879.8 MiB</t>
        </is>
      </c>
      <c r="AZ20" t="n">
        <v>304.08</v>
      </c>
      <c r="BA20" t="n">
        <v>3.38</v>
      </c>
      <c r="BB20" t="n">
        <v>13.3106</v>
      </c>
      <c r="BC20" t="n">
        <v>7.71994</v>
      </c>
      <c r="BD20" t="n">
        <v>-378199</v>
      </c>
      <c r="BE20" t="n">
        <v>-7.71994</v>
      </c>
      <c r="BF20" t="n">
        <v>1.59853</v>
      </c>
      <c r="BG20" t="n">
        <v>142.7</v>
      </c>
      <c r="BH20" t="n">
        <v>0.349057</v>
      </c>
      <c r="BI20" t="n">
        <v>0.289396</v>
      </c>
      <c r="BJ20" t="n">
        <v>32.8035</v>
      </c>
      <c r="BK20" t="n">
        <v>27.3793</v>
      </c>
      <c r="BL20" t="inlineStr">
        <is>
          <t>3879.8 MiB</t>
        </is>
      </c>
      <c r="BM20" t="n">
        <v>1665.05</v>
      </c>
      <c r="BN20" t="inlineStr">
        <is>
          <t>2381.9 MiB</t>
        </is>
      </c>
      <c r="BO20" t="n">
        <v>1014.83</v>
      </c>
      <c r="BP20" t="n">
        <v>2152176</v>
      </c>
      <c r="BQ20" t="n">
        <v>22.9727</v>
      </c>
      <c r="BR20" t="n">
        <v>466354</v>
      </c>
      <c r="BS20" t="n">
        <v>4.97795</v>
      </c>
      <c r="BT20" t="n">
        <v>265720</v>
      </c>
      <c r="BU20" t="n">
        <v>617893</v>
      </c>
      <c r="BV20" t="n">
        <v>270684506</v>
      </c>
      <c r="BW20" t="n">
        <v>103597368</v>
      </c>
      <c r="BX20" t="n">
        <v>1079840000</v>
      </c>
      <c r="BY20" t="n">
        <v>547201000</v>
      </c>
      <c r="BZ20" t="n">
        <v>449129000</v>
      </c>
      <c r="CA20" t="n">
        <v>18694.2</v>
      </c>
      <c r="CB20" t="n">
        <v>18</v>
      </c>
      <c r="CC20" t="n">
        <v>6171322</v>
      </c>
      <c r="CD20" t="n">
        <v>88279496</v>
      </c>
      <c r="CE20" t="n">
        <v>-1</v>
      </c>
      <c r="CF20" t="n">
        <v>8.379810000000001</v>
      </c>
      <c r="CG20" t="n">
        <v>1.66545</v>
      </c>
      <c r="CH20" t="n">
        <v>-448697</v>
      </c>
      <c r="CI20" t="n">
        <v>-8.379810000000001</v>
      </c>
      <c r="CJ20" t="n">
        <v>0</v>
      </c>
      <c r="CK20" t="n">
        <v>0</v>
      </c>
      <c r="CL20" t="n">
        <v>64.01000000000001</v>
      </c>
      <c r="CM20" t="n">
        <v>-1</v>
      </c>
      <c r="CN20" t="n">
        <v>-1</v>
      </c>
      <c r="CO20" t="inlineStr">
        <is>
          <t>3879.8 MiB</t>
        </is>
      </c>
      <c r="CP20" t="n">
        <v>110.18</v>
      </c>
      <c r="CQ20" t="n">
        <v>73.70569999999999</v>
      </c>
      <c r="CR20" t="n">
        <v>63.0341</v>
      </c>
      <c r="CS20" t="inlineStr">
        <is>
          <t>3879.8 MiB</t>
        </is>
      </c>
      <c r="CT20" t="n">
        <v>-1</v>
      </c>
      <c r="CU20" t="n">
        <v>71.38</v>
      </c>
      <c r="CV20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vtr_flow_elapsed_time</t>
        </is>
      </c>
      <c r="E1" t="inlineStr">
        <is>
          <t>vtr_max_mem_stage</t>
        </is>
      </c>
      <c r="F1" t="inlineStr">
        <is>
          <t>vtr_max_mem</t>
        </is>
      </c>
      <c r="G1" t="inlineStr">
        <is>
          <t>error</t>
        </is>
      </c>
      <c r="H1" t="inlineStr">
        <is>
          <t>odin_synth_time</t>
        </is>
      </c>
      <c r="I1" t="inlineStr">
        <is>
          <t>max_odin_mem</t>
        </is>
      </c>
      <c r="J1" t="inlineStr">
        <is>
          <t>parmys_synth_time</t>
        </is>
      </c>
      <c r="K1" t="inlineStr">
        <is>
          <t>max_parmys_mem</t>
        </is>
      </c>
      <c r="L1" t="inlineStr">
        <is>
          <t>abc_depth</t>
        </is>
      </c>
      <c r="M1" t="inlineStr">
        <is>
          <t>abc_synth_time</t>
        </is>
      </c>
      <c r="N1" t="inlineStr">
        <is>
          <t>abc_cec_time</t>
        </is>
      </c>
      <c r="O1" t="inlineStr">
        <is>
          <t>abc_sec_time</t>
        </is>
      </c>
      <c r="P1" t="inlineStr">
        <is>
          <t>max_abc_mem</t>
        </is>
      </c>
      <c r="Q1" t="inlineStr">
        <is>
          <t>ace_time</t>
        </is>
      </c>
      <c r="R1" t="inlineStr">
        <is>
          <t>max_ace_mem</t>
        </is>
      </c>
      <c r="S1" t="inlineStr">
        <is>
          <t>num_clb</t>
        </is>
      </c>
      <c r="T1" t="inlineStr">
        <is>
          <t>num_io</t>
        </is>
      </c>
      <c r="U1" t="inlineStr">
        <is>
          <t>num_memories</t>
        </is>
      </c>
      <c r="V1" t="inlineStr">
        <is>
          <t>num_mult</t>
        </is>
      </c>
      <c r="W1" t="inlineStr">
        <is>
          <t>vpr_status</t>
        </is>
      </c>
      <c r="X1" t="inlineStr">
        <is>
          <t>vpr_revision</t>
        </is>
      </c>
      <c r="Y1" t="inlineStr">
        <is>
          <t>vpr_build_info</t>
        </is>
      </c>
      <c r="Z1" t="inlineStr">
        <is>
          <t>vpr_compiler</t>
        </is>
      </c>
      <c r="AA1" t="inlineStr">
        <is>
          <t>vpr_compiled</t>
        </is>
      </c>
      <c r="AB1" t="inlineStr">
        <is>
          <t>hostname</t>
        </is>
      </c>
      <c r="AC1" t="inlineStr">
        <is>
          <t>rundir</t>
        </is>
      </c>
      <c r="AD1" t="inlineStr">
        <is>
          <t>max_vpr_mem</t>
        </is>
      </c>
      <c r="AE1" t="inlineStr">
        <is>
          <t>num_primary_inputs</t>
        </is>
      </c>
      <c r="AF1" t="inlineStr">
        <is>
          <t>num_primary_outputs</t>
        </is>
      </c>
      <c r="AG1" t="inlineStr">
        <is>
          <t>num_pre_packed_nets</t>
        </is>
      </c>
      <c r="AH1" t="inlineStr">
        <is>
          <t>num_pre_packed_blocks</t>
        </is>
      </c>
      <c r="AI1" t="inlineStr">
        <is>
          <t>num_netlist_clocks</t>
        </is>
      </c>
      <c r="AJ1" t="inlineStr">
        <is>
          <t>num_post_packed_nets</t>
        </is>
      </c>
      <c r="AK1" t="inlineStr">
        <is>
          <t>num_post_packed_blocks</t>
        </is>
      </c>
      <c r="AL1" t="inlineStr">
        <is>
          <t>device_width</t>
        </is>
      </c>
      <c r="AM1" t="inlineStr">
        <is>
          <t>device_height</t>
        </is>
      </c>
      <c r="AN1" t="inlineStr">
        <is>
          <t>device_grid_tiles</t>
        </is>
      </c>
      <c r="AO1" t="inlineStr">
        <is>
          <t>device_limiting_resources</t>
        </is>
      </c>
      <c r="AP1" t="inlineStr">
        <is>
          <t>device_name</t>
        </is>
      </c>
      <c r="AQ1" t="inlineStr">
        <is>
          <t>pack_mem</t>
        </is>
      </c>
      <c r="AR1" t="inlineStr">
        <is>
          <t>pack_time</t>
        </is>
      </c>
      <c r="AS1" t="inlineStr">
        <is>
          <t>initial_placed_wirelength_est</t>
        </is>
      </c>
      <c r="AT1" t="inlineStr">
        <is>
          <t>placed_wirelength_est</t>
        </is>
      </c>
      <c r="AU1" t="inlineStr">
        <is>
          <t>total_swap</t>
        </is>
      </c>
      <c r="AV1" t="inlineStr">
        <is>
          <t>accepted_swap</t>
        </is>
      </c>
      <c r="AW1" t="inlineStr">
        <is>
          <t>rejected_swap</t>
        </is>
      </c>
      <c r="AX1" t="inlineStr">
        <is>
          <t>aborted_swap</t>
        </is>
      </c>
      <c r="AY1" t="inlineStr">
        <is>
          <t>place_mem</t>
        </is>
      </c>
      <c r="AZ1" t="inlineStr">
        <is>
          <t>place_time</t>
        </is>
      </c>
      <c r="BA1" t="inlineStr">
        <is>
          <t>place_quench_time</t>
        </is>
      </c>
      <c r="BB1" t="inlineStr">
        <is>
          <t>initial_placed_CPD_est</t>
        </is>
      </c>
      <c r="BC1" t="inlineStr">
        <is>
          <t>placed_CPD_est</t>
        </is>
      </c>
      <c r="BD1" t="inlineStr">
        <is>
          <t>placed_setup_TNS_est</t>
        </is>
      </c>
      <c r="BE1" t="inlineStr">
        <is>
          <t>placed_setup_WNS_est</t>
        </is>
      </c>
      <c r="BF1" t="inlineStr">
        <is>
          <t>placed_geomean_nonvirtual_intradomain_critical_path_delay_est</t>
        </is>
      </c>
      <c r="BG1" t="inlineStr">
        <is>
          <t>place_delay_matrix_lookup_time</t>
        </is>
      </c>
      <c r="BH1" t="inlineStr">
        <is>
          <t>place_quench_timing_analysis_time</t>
        </is>
      </c>
      <c r="BI1" t="inlineStr">
        <is>
          <t>place_quench_sta_time</t>
        </is>
      </c>
      <c r="BJ1" t="inlineStr">
        <is>
          <t>place_total_timing_analysis_time</t>
        </is>
      </c>
      <c r="BK1" t="inlineStr">
        <is>
          <t>place_total_sta_time</t>
        </is>
      </c>
      <c r="BL1" t="inlineStr">
        <is>
          <t>ap_mem</t>
        </is>
      </c>
      <c r="BM1" t="inlineStr">
        <is>
          <t>ap_time</t>
        </is>
      </c>
      <c r="BN1" t="inlineStr">
        <is>
          <t>ap_full_legalizer_mem</t>
        </is>
      </c>
      <c r="BO1" t="inlineStr">
        <is>
          <t>ap_full_legalizer_time</t>
        </is>
      </c>
      <c r="BP1" t="inlineStr">
        <is>
          <t>routed_wirelength</t>
        </is>
      </c>
      <c r="BQ1" t="inlineStr">
        <is>
          <t>avg_routed_wirelength</t>
        </is>
      </c>
      <c r="BR1" t="inlineStr">
        <is>
          <t>routed_wiresegment</t>
        </is>
      </c>
      <c r="BS1" t="inlineStr">
        <is>
          <t>avg_routed_wiresegment</t>
        </is>
      </c>
      <c r="BT1" t="inlineStr">
        <is>
          <t>total_nets_routed</t>
        </is>
      </c>
      <c r="BU1" t="inlineStr">
        <is>
          <t>total_connections_routed</t>
        </is>
      </c>
      <c r="BV1" t="inlineStr">
        <is>
          <t>total_heap_pushes</t>
        </is>
      </c>
      <c r="BW1" t="inlineStr">
        <is>
          <t>total_heap_pops</t>
        </is>
      </c>
      <c r="BX1" t="inlineStr">
        <is>
          <t>logic_block_area_total</t>
        </is>
      </c>
      <c r="BY1" t="inlineStr">
        <is>
          <t>logic_block_area_used</t>
        </is>
      </c>
      <c r="BZ1" t="inlineStr">
        <is>
          <t>routing_area_total</t>
        </is>
      </c>
      <c r="CA1" t="inlineStr">
        <is>
          <t>routing_area_per_tile</t>
        </is>
      </c>
      <c r="CB1" t="inlineStr">
        <is>
          <t>crit_path_route_success_iteration</t>
        </is>
      </c>
      <c r="CC1" t="inlineStr">
        <is>
          <t>num_rr_graph_nodes</t>
        </is>
      </c>
      <c r="CD1" t="inlineStr">
        <is>
          <t>num_rr_graph_edges</t>
        </is>
      </c>
      <c r="CE1" t="inlineStr">
        <is>
          <t>collapsed_nodes</t>
        </is>
      </c>
      <c r="CF1" t="inlineStr">
        <is>
          <t>critical_path_delay</t>
        </is>
      </c>
      <c r="CG1" t="inlineStr">
        <is>
          <t>geomean_nonvirtual_intradomain_critical_path_delay</t>
        </is>
      </c>
      <c r="CH1" t="inlineStr">
        <is>
          <t>setup_TNS</t>
        </is>
      </c>
      <c r="CI1" t="inlineStr">
        <is>
          <t>setup_WNS</t>
        </is>
      </c>
      <c r="CJ1" t="inlineStr">
        <is>
          <t>hold_TNS</t>
        </is>
      </c>
      <c r="CK1" t="inlineStr">
        <is>
          <t>hold_WNS</t>
        </is>
      </c>
      <c r="CL1" t="inlineStr">
        <is>
          <t>create_rr_graph_time</t>
        </is>
      </c>
      <c r="CM1" t="inlineStr">
        <is>
          <t>create_intra_cluster_rr_graph_time</t>
        </is>
      </c>
      <c r="CN1" t="inlineStr">
        <is>
          <t>adding_internal_edges</t>
        </is>
      </c>
      <c r="CO1" t="inlineStr">
        <is>
          <t>route_mem</t>
        </is>
      </c>
      <c r="CP1" t="inlineStr">
        <is>
          <t>crit_path_route_time</t>
        </is>
      </c>
      <c r="CQ1" t="inlineStr">
        <is>
          <t>crit_path_total_timing_analysis_time</t>
        </is>
      </c>
      <c r="CR1" t="inlineStr">
        <is>
          <t>crit_path_total_sta_time</t>
        </is>
      </c>
      <c r="CS1" t="inlineStr">
        <is>
          <t>router_lookahead_mem</t>
        </is>
      </c>
      <c r="CT1" t="inlineStr">
        <is>
          <t>tile_lookahead_computation_time</t>
        </is>
      </c>
      <c r="CU1" t="inlineStr">
        <is>
          <t>router_lookahead_computation_time</t>
        </is>
      </c>
      <c r="CV1" t="inlineStr">
        <is>
          <t>Unnamed: 99</t>
        </is>
      </c>
    </row>
    <row r="2">
      <c r="A2" t="inlineStr">
        <is>
          <t>hecate_25d_L17_int_10um_bump_fanin_12.xml</t>
        </is>
      </c>
      <c r="B2" t="inlineStr">
        <is>
          <t>attention_layer.blif</t>
        </is>
      </c>
      <c r="C2" t="inlineStr">
        <is>
          <t>common</t>
        </is>
      </c>
      <c r="D2" t="n">
        <v>218.61</v>
      </c>
      <c r="E2" t="inlineStr">
        <is>
          <t>vpr</t>
        </is>
      </c>
      <c r="F2" t="inlineStr">
        <is>
          <t>564.95 MiB</t>
        </is>
      </c>
      <c r="G2" t="n">
        <v/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1310</v>
      </c>
      <c r="T2" t="n">
        <v>1052</v>
      </c>
      <c r="U2" t="n">
        <v>194</v>
      </c>
      <c r="V2" t="n">
        <v>-1</v>
      </c>
      <c r="W2" t="inlineStr">
        <is>
          <t>success</t>
        </is>
      </c>
      <c r="X2" t="inlineStr">
        <is>
          <t>v8.0.0-16070-ga8427fcd2f</t>
        </is>
      </c>
      <c r="Y2" t="inlineStr">
        <is>
          <t>release IPO VTR_ASSERT_LEVEL=2</t>
        </is>
      </c>
      <c r="Z2" t="inlineStr">
        <is>
          <t>GNU 13.3.0 on Linux-6.8.0-100-generic x86_64</t>
        </is>
      </c>
      <c r="AA2" t="inlineStr">
        <is>
          <t>2026-06-03T21:18:33</t>
        </is>
      </c>
      <c r="AB2" t="inlineStr">
        <is>
          <t>betzgrp-wintermute</t>
        </is>
      </c>
      <c r="AC2" t="inlineStr">
        <is>
          <t>/home/singera8/fpga-analytical-placement/testing/test_suites</t>
        </is>
      </c>
      <c r="AD2" t="n">
        <v>578512</v>
      </c>
      <c r="AE2" t="n">
        <v>1052</v>
      </c>
      <c r="AF2" t="n">
        <v>32</v>
      </c>
      <c r="AG2" t="n">
        <v>29505</v>
      </c>
      <c r="AH2" t="n">
        <v>27637</v>
      </c>
      <c r="AI2" t="n">
        <v>1</v>
      </c>
      <c r="AJ2" t="n">
        <v>20582</v>
      </c>
      <c r="AK2" t="n">
        <v>2686</v>
      </c>
      <c r="AL2" t="n">
        <v>54</v>
      </c>
      <c r="AM2" t="n">
        <v>54</v>
      </c>
      <c r="AN2" t="n">
        <v>2916</v>
      </c>
      <c r="AO2" t="inlineStr">
        <is>
          <t>memory</t>
        </is>
      </c>
      <c r="AP2" t="inlineStr">
        <is>
          <t>auto</t>
        </is>
      </c>
      <c r="AQ2" t="n">
        <v>-1</v>
      </c>
      <c r="AR2" t="n">
        <v>-1</v>
      </c>
      <c r="AS2" t="n">
        <v>270238</v>
      </c>
      <c r="AT2" t="n">
        <v>188507</v>
      </c>
      <c r="AU2" t="n">
        <v>1439737</v>
      </c>
      <c r="AV2" t="n">
        <v>320993</v>
      </c>
      <c r="AW2" t="n">
        <v>1092250</v>
      </c>
      <c r="AX2" t="n">
        <v>26494</v>
      </c>
      <c r="AY2" t="inlineStr">
        <is>
          <t>521.0 MiB</t>
        </is>
      </c>
      <c r="AZ2" t="n">
        <v>166.99</v>
      </c>
      <c r="BA2" t="n">
        <v>0.3</v>
      </c>
      <c r="BB2" t="n">
        <v>7.05828</v>
      </c>
      <c r="BC2" t="n">
        <v>5.69207</v>
      </c>
      <c r="BD2" t="n">
        <v>-49422.6</v>
      </c>
      <c r="BE2" t="n">
        <v>-5.69207</v>
      </c>
      <c r="BF2" t="n">
        <v>5.69207</v>
      </c>
      <c r="BG2" t="n">
        <v>0.4</v>
      </c>
      <c r="BH2" t="n">
        <v>0.0757347</v>
      </c>
      <c r="BI2" t="n">
        <v>0.0662606</v>
      </c>
      <c r="BJ2" t="n">
        <v>6.59268</v>
      </c>
      <c r="BK2" t="n">
        <v>5.66332</v>
      </c>
      <c r="BL2" t="inlineStr">
        <is>
          <t>521.0 MiB</t>
        </is>
      </c>
      <c r="BM2" t="n">
        <v>166.99</v>
      </c>
      <c r="BN2" t="inlineStr">
        <is>
          <t>521.0 MiB</t>
        </is>
      </c>
      <c r="BO2" t="n">
        <v>107.32</v>
      </c>
      <c r="BP2" t="n">
        <v>417670</v>
      </c>
      <c r="BQ2" t="n">
        <v>20.2959</v>
      </c>
      <c r="BR2" t="n">
        <v>100211</v>
      </c>
      <c r="BS2" t="n">
        <v>4.86958</v>
      </c>
      <c r="BT2" t="n">
        <v>81909</v>
      </c>
      <c r="BU2" t="n">
        <v>184707</v>
      </c>
      <c r="BV2" t="n">
        <v>134111696</v>
      </c>
      <c r="BW2" t="n">
        <v>50209445</v>
      </c>
      <c r="BX2" t="n">
        <v>121774000</v>
      </c>
      <c r="BY2" t="n">
        <v>88132300</v>
      </c>
      <c r="BZ2" t="n">
        <v>53280800</v>
      </c>
      <c r="CA2" t="n">
        <v>18271.9</v>
      </c>
      <c r="CB2" t="n">
        <v>18</v>
      </c>
      <c r="CC2" t="n">
        <v>735536</v>
      </c>
      <c r="CD2" t="n">
        <v>10356455</v>
      </c>
      <c r="CE2" t="n">
        <v>-1</v>
      </c>
      <c r="CF2" t="n">
        <v>7.08058</v>
      </c>
      <c r="CG2" t="n">
        <v>7.08058</v>
      </c>
      <c r="CH2" t="n">
        <v>-71935.10000000001</v>
      </c>
      <c r="CI2" t="n">
        <v>-7.08058</v>
      </c>
      <c r="CJ2" t="n">
        <v>0</v>
      </c>
      <c r="CK2" t="n">
        <v>0</v>
      </c>
      <c r="CL2" t="n">
        <v>7.76</v>
      </c>
      <c r="CM2" t="n">
        <v>-1</v>
      </c>
      <c r="CN2" t="n">
        <v>-1</v>
      </c>
      <c r="CO2" t="inlineStr">
        <is>
          <t>540.2 MiB</t>
        </is>
      </c>
      <c r="CP2" t="n">
        <v>47.54</v>
      </c>
      <c r="CQ2" t="n">
        <v>16.6801</v>
      </c>
      <c r="CR2" t="n">
        <v>14.5359</v>
      </c>
      <c r="CS2" t="inlineStr">
        <is>
          <t>519.4 MiB</t>
        </is>
      </c>
      <c r="CT2" t="n">
        <v>-1</v>
      </c>
      <c r="CU2" t="n">
        <v>7.05</v>
      </c>
      <c r="CV2" t="n">
        <v/>
      </c>
    </row>
    <row r="3">
      <c r="A3" t="inlineStr">
        <is>
          <t>hecate_25d_L17_int_10um_bump_fanin_12.xml</t>
        </is>
      </c>
      <c r="B3" t="inlineStr">
        <is>
          <t>bnn.blif</t>
        </is>
      </c>
      <c r="C3" t="inlineStr">
        <is>
          <t>common</t>
        </is>
      </c>
      <c r="D3" t="n">
        <v>1117.24</v>
      </c>
      <c r="E3" t="inlineStr">
        <is>
          <t>vpr</t>
        </is>
      </c>
      <c r="F3" t="inlineStr">
        <is>
          <t>2.47 GiB</t>
        </is>
      </c>
      <c r="G3" t="n">
        <v/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10129</v>
      </c>
      <c r="T3" t="n">
        <v>260</v>
      </c>
      <c r="U3" t="n">
        <v>0</v>
      </c>
      <c r="V3" t="n">
        <v>-1</v>
      </c>
      <c r="W3" t="inlineStr">
        <is>
          <t>success</t>
        </is>
      </c>
      <c r="X3" t="inlineStr">
        <is>
          <t>v8.0.0-16070-ga8427fcd2f</t>
        </is>
      </c>
      <c r="Y3" t="inlineStr">
        <is>
          <t>release IPO VTR_ASSERT_LEVEL=2</t>
        </is>
      </c>
      <c r="Z3" t="inlineStr">
        <is>
          <t>GNU 13.3.0 on Linux-6.8.0-100-generic x86_64</t>
        </is>
      </c>
      <c r="AA3" t="inlineStr">
        <is>
          <t>2026-06-03T21:18:33</t>
        </is>
      </c>
      <c r="AB3" t="inlineStr">
        <is>
          <t>betzgrp-wintermute</t>
        </is>
      </c>
      <c r="AC3" t="inlineStr">
        <is>
          <t>/home/singera8/fpga-analytical-placement/testing/test_suites</t>
        </is>
      </c>
      <c r="AD3" t="n">
        <v>2594056</v>
      </c>
      <c r="AE3" t="n">
        <v>260</v>
      </c>
      <c r="AF3" t="n">
        <v>122</v>
      </c>
      <c r="AG3" t="n">
        <v>152293</v>
      </c>
      <c r="AH3" t="n">
        <v>150576</v>
      </c>
      <c r="AI3" t="n">
        <v>1</v>
      </c>
      <c r="AJ3" t="n">
        <v>88184</v>
      </c>
      <c r="AK3" t="n">
        <v>10598</v>
      </c>
      <c r="AL3" t="n">
        <v>110</v>
      </c>
      <c r="AM3" t="n">
        <v>110</v>
      </c>
      <c r="AN3" t="n">
        <v>12100</v>
      </c>
      <c r="AO3" t="inlineStr">
        <is>
          <t>clb</t>
        </is>
      </c>
      <c r="AP3" t="inlineStr">
        <is>
          <t>auto</t>
        </is>
      </c>
      <c r="AQ3" t="n">
        <v>-1</v>
      </c>
      <c r="AR3" t="n">
        <v>-1</v>
      </c>
      <c r="AS3" t="n">
        <v>2725540</v>
      </c>
      <c r="AT3" t="n">
        <v>1077749</v>
      </c>
      <c r="AU3" t="n">
        <v>10948344</v>
      </c>
      <c r="AV3" t="n">
        <v>3177770</v>
      </c>
      <c r="AW3" t="n">
        <v>7722517</v>
      </c>
      <c r="AX3" t="n">
        <v>48057</v>
      </c>
      <c r="AY3" t="inlineStr">
        <is>
          <t>2533.3 MiB</t>
        </is>
      </c>
      <c r="AZ3" t="n">
        <v>993.23</v>
      </c>
      <c r="BA3" t="n">
        <v>3.26</v>
      </c>
      <c r="BB3" t="n">
        <v>22.5902</v>
      </c>
      <c r="BC3" t="n">
        <v>6.3426</v>
      </c>
      <c r="BD3" t="n">
        <v>-112169</v>
      </c>
      <c r="BE3" t="n">
        <v>-6.3426</v>
      </c>
      <c r="BF3" t="n">
        <v>6.3426</v>
      </c>
      <c r="BG3" t="n">
        <v>68.18000000000001</v>
      </c>
      <c r="BH3" t="n">
        <v>0.327915</v>
      </c>
      <c r="BI3" t="n">
        <v>0.295102</v>
      </c>
      <c r="BJ3" t="n">
        <v>35.7855</v>
      </c>
      <c r="BK3" t="n">
        <v>30.5219</v>
      </c>
      <c r="BL3" t="inlineStr">
        <is>
          <t>2533.3 MiB</t>
        </is>
      </c>
      <c r="BM3" t="n">
        <v>993.23</v>
      </c>
      <c r="BN3" t="inlineStr">
        <is>
          <t>2237.0 MiB</t>
        </is>
      </c>
      <c r="BO3" t="n">
        <v>377.58</v>
      </c>
      <c r="BP3" t="n">
        <v>1866411</v>
      </c>
      <c r="BQ3" t="n">
        <v>21.1738</v>
      </c>
      <c r="BR3" t="n">
        <v>432681</v>
      </c>
      <c r="BS3" t="n">
        <v>4.90863</v>
      </c>
      <c r="BT3" t="n">
        <v>302302</v>
      </c>
      <c r="BU3" t="n">
        <v>834016</v>
      </c>
      <c r="BV3" t="n">
        <v>250851311</v>
      </c>
      <c r="BW3" t="n">
        <v>96696063</v>
      </c>
      <c r="BX3" t="n">
        <v>542282000</v>
      </c>
      <c r="BY3" t="n">
        <v>304718000</v>
      </c>
      <c r="BZ3" t="n">
        <v>225916000</v>
      </c>
      <c r="CA3" t="n">
        <v>18670.7</v>
      </c>
      <c r="CB3" t="n">
        <v>17</v>
      </c>
      <c r="CC3" t="n">
        <v>3111972</v>
      </c>
      <c r="CD3" t="n">
        <v>44235233</v>
      </c>
      <c r="CE3" t="n">
        <v>-1</v>
      </c>
      <c r="CF3" t="n">
        <v>10.217</v>
      </c>
      <c r="CG3" t="n">
        <v>10.217</v>
      </c>
      <c r="CH3" t="n">
        <v>-135784</v>
      </c>
      <c r="CI3" t="n">
        <v>-10.217</v>
      </c>
      <c r="CJ3" t="n">
        <v>0</v>
      </c>
      <c r="CK3" t="n">
        <v>0</v>
      </c>
      <c r="CL3" t="n">
        <v>32.57</v>
      </c>
      <c r="CM3" t="n">
        <v>-1</v>
      </c>
      <c r="CN3" t="n">
        <v>-1</v>
      </c>
      <c r="CO3" t="inlineStr">
        <is>
          <t>2533.3 MiB</t>
        </is>
      </c>
      <c r="CP3" t="n">
        <v>103.5</v>
      </c>
      <c r="CQ3" t="n">
        <v>73.5928</v>
      </c>
      <c r="CR3" t="n">
        <v>63.4727</v>
      </c>
      <c r="CS3" t="inlineStr">
        <is>
          <t>2533.3 MiB</t>
        </is>
      </c>
      <c r="CT3" t="n">
        <v>-1</v>
      </c>
      <c r="CU3" t="n">
        <v>32.13</v>
      </c>
      <c r="CV3" t="n">
        <v/>
      </c>
    </row>
    <row r="4">
      <c r="A4" t="inlineStr">
        <is>
          <t>hecate_25d_L17_int_10um_bump_fanin_12.xml</t>
        </is>
      </c>
      <c r="B4" t="inlineStr">
        <is>
          <t>bwave_like.fixed.small.blif</t>
        </is>
      </c>
      <c r="C4" t="inlineStr">
        <is>
          <t>common</t>
        </is>
      </c>
      <c r="D4" t="n">
        <v>152.78</v>
      </c>
      <c r="E4" t="inlineStr">
        <is>
          <t>vpr</t>
        </is>
      </c>
      <c r="F4" t="inlineStr">
        <is>
          <t>590.52 MiB</t>
        </is>
      </c>
      <c r="G4" t="n">
        <v/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1024</v>
      </c>
      <c r="T4" t="n">
        <v>112</v>
      </c>
      <c r="U4" t="n">
        <v>170</v>
      </c>
      <c r="V4" t="n">
        <v>-1</v>
      </c>
      <c r="W4" t="inlineStr">
        <is>
          <t>success</t>
        </is>
      </c>
      <c r="X4" t="inlineStr">
        <is>
          <t>v8.0.0-16070-ga8427fcd2f</t>
        </is>
      </c>
      <c r="Y4" t="inlineStr">
        <is>
          <t>release IPO VTR_ASSERT_LEVEL=2</t>
        </is>
      </c>
      <c r="Z4" t="inlineStr">
        <is>
          <t>GNU 13.3.0 on Linux-6.8.0-100-generic x86_64</t>
        </is>
      </c>
      <c r="AA4" t="inlineStr">
        <is>
          <t>2026-06-03T21:18:33</t>
        </is>
      </c>
      <c r="AB4" t="inlineStr">
        <is>
          <t>betzgrp-wintermute</t>
        </is>
      </c>
      <c r="AC4" t="inlineStr">
        <is>
          <t>/home/singera8/fpga-analytical-placement/testing/test_suites</t>
        </is>
      </c>
      <c r="AD4" t="n">
        <v>604688</v>
      </c>
      <c r="AE4" t="n">
        <v>112</v>
      </c>
      <c r="AF4" t="n">
        <v>86</v>
      </c>
      <c r="AG4" t="n">
        <v>25401</v>
      </c>
      <c r="AH4" t="n">
        <v>20863</v>
      </c>
      <c r="AI4" t="n">
        <v>1</v>
      </c>
      <c r="AJ4" t="n">
        <v>17182</v>
      </c>
      <c r="AK4" t="n">
        <v>1558</v>
      </c>
      <c r="AL4" t="n">
        <v>61</v>
      </c>
      <c r="AM4" t="n">
        <v>61</v>
      </c>
      <c r="AN4" t="n">
        <v>3721</v>
      </c>
      <c r="AO4" t="inlineStr">
        <is>
          <t>dsp_top</t>
        </is>
      </c>
      <c r="AP4" t="inlineStr">
        <is>
          <t>auto</t>
        </is>
      </c>
      <c r="AQ4" t="n">
        <v>-1</v>
      </c>
      <c r="AR4" t="n">
        <v>-1</v>
      </c>
      <c r="AS4" t="n">
        <v>331265</v>
      </c>
      <c r="AT4" t="n">
        <v>228483</v>
      </c>
      <c r="AU4" t="n">
        <v>705742</v>
      </c>
      <c r="AV4" t="n">
        <v>186015</v>
      </c>
      <c r="AW4" t="n">
        <v>479926</v>
      </c>
      <c r="AX4" t="n">
        <v>39801</v>
      </c>
      <c r="AY4" t="inlineStr">
        <is>
          <t>590.5 MiB</t>
        </is>
      </c>
      <c r="AZ4" t="n">
        <v>102.14</v>
      </c>
      <c r="BA4" t="n">
        <v>0.19</v>
      </c>
      <c r="BB4" t="n">
        <v>6.97155</v>
      </c>
      <c r="BC4" t="n">
        <v>5.57948</v>
      </c>
      <c r="BD4" t="n">
        <v>-60635.9</v>
      </c>
      <c r="BE4" t="n">
        <v>-5.57948</v>
      </c>
      <c r="BF4" t="n">
        <v>5.57948</v>
      </c>
      <c r="BG4" t="n">
        <v>0.31</v>
      </c>
      <c r="BH4" t="n">
        <v>0.07104439999999999</v>
      </c>
      <c r="BI4" t="n">
        <v>0.0617033</v>
      </c>
      <c r="BJ4" t="n">
        <v>6.28548</v>
      </c>
      <c r="BK4" t="n">
        <v>5.22069</v>
      </c>
      <c r="BL4" t="inlineStr">
        <is>
          <t>590.5 MiB</t>
        </is>
      </c>
      <c r="BM4" t="n">
        <v>102.14</v>
      </c>
      <c r="BN4" t="inlineStr">
        <is>
          <t>590.5 MiB</t>
        </is>
      </c>
      <c r="BO4" t="n">
        <v>50.5</v>
      </c>
      <c r="BP4" t="n">
        <v>449261</v>
      </c>
      <c r="BQ4" t="n">
        <v>26.1502</v>
      </c>
      <c r="BR4" t="n">
        <v>102011</v>
      </c>
      <c r="BS4" t="n">
        <v>5.93778</v>
      </c>
      <c r="BT4" t="n">
        <v>67602</v>
      </c>
      <c r="BU4" t="n">
        <v>145949</v>
      </c>
      <c r="BV4" t="n">
        <v>140160926</v>
      </c>
      <c r="BW4" t="n">
        <v>52269488</v>
      </c>
      <c r="BX4" t="n">
        <v>163018000</v>
      </c>
      <c r="BY4" t="n">
        <v>94104700</v>
      </c>
      <c r="BZ4" t="n">
        <v>68545000</v>
      </c>
      <c r="CA4" t="n">
        <v>18421.1</v>
      </c>
      <c r="CB4" t="n">
        <v>18</v>
      </c>
      <c r="CC4" t="n">
        <v>960456</v>
      </c>
      <c r="CD4" t="n">
        <v>13377129</v>
      </c>
      <c r="CE4" t="n">
        <v>-1</v>
      </c>
      <c r="CF4" t="n">
        <v>6.48251</v>
      </c>
      <c r="CG4" t="n">
        <v>6.48251</v>
      </c>
      <c r="CH4" t="n">
        <v>-88070.3</v>
      </c>
      <c r="CI4" t="n">
        <v>-6.48251</v>
      </c>
      <c r="CJ4" t="n">
        <v>0</v>
      </c>
      <c r="CK4" t="n">
        <v>0</v>
      </c>
      <c r="CL4" t="n">
        <v>9.82</v>
      </c>
      <c r="CM4" t="n">
        <v>-1</v>
      </c>
      <c r="CN4" t="n">
        <v>-1</v>
      </c>
      <c r="CO4" t="inlineStr">
        <is>
          <t>590.5 MiB</t>
        </is>
      </c>
      <c r="CP4" t="n">
        <v>47.15</v>
      </c>
      <c r="CQ4" t="n">
        <v>15.4507</v>
      </c>
      <c r="CR4" t="n">
        <v>13.1773</v>
      </c>
      <c r="CS4" t="inlineStr">
        <is>
          <t>590.5 MiB</t>
        </is>
      </c>
      <c r="CT4" t="n">
        <v>-1</v>
      </c>
      <c r="CU4" t="n">
        <v>8.199999999999999</v>
      </c>
      <c r="CV4" t="n">
        <v/>
      </c>
    </row>
    <row r="5">
      <c r="A5" t="inlineStr">
        <is>
          <t>hecate_25d_L17_int_10um_bump_fanin_12.xml</t>
        </is>
      </c>
      <c r="B5" t="inlineStr">
        <is>
          <t>bwave_like.fixed.large.blif</t>
        </is>
      </c>
      <c r="C5" t="inlineStr">
        <is>
          <t>common</t>
        </is>
      </c>
      <c r="D5" t="n">
        <v>734.5599999999999</v>
      </c>
      <c r="E5" t="inlineStr">
        <is>
          <t>vpr</t>
        </is>
      </c>
      <c r="F5" t="inlineStr">
        <is>
          <t>2.24 GiB</t>
        </is>
      </c>
      <c r="G5" t="n">
        <v/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3788</v>
      </c>
      <c r="T5" t="n">
        <v>178</v>
      </c>
      <c r="U5" t="n">
        <v>511</v>
      </c>
      <c r="V5" t="n">
        <v>-1</v>
      </c>
      <c r="W5" t="inlineStr">
        <is>
          <t>success</t>
        </is>
      </c>
      <c r="X5" t="inlineStr">
        <is>
          <t>v8.0.0-16070-ga8427fcd2f</t>
        </is>
      </c>
      <c r="Y5" t="inlineStr">
        <is>
          <t>release IPO VTR_ASSERT_LEVEL=2</t>
        </is>
      </c>
      <c r="Z5" t="inlineStr">
        <is>
          <t>GNU 13.3.0 on Linux-6.8.0-100-generic x86_64</t>
        </is>
      </c>
      <c r="AA5" t="inlineStr">
        <is>
          <t>2026-06-03T21:18:33</t>
        </is>
      </c>
      <c r="AB5" t="inlineStr">
        <is>
          <t>betzgrp-wintermute</t>
        </is>
      </c>
      <c r="AC5" t="inlineStr">
        <is>
          <t>/home/singera8/fpga-analytical-placement/testing/test_suites</t>
        </is>
      </c>
      <c r="AD5" t="n">
        <v>2344356</v>
      </c>
      <c r="AE5" t="n">
        <v>178</v>
      </c>
      <c r="AF5" t="n">
        <v>150</v>
      </c>
      <c r="AG5" t="n">
        <v>90136</v>
      </c>
      <c r="AH5" t="n">
        <v>73326</v>
      </c>
      <c r="AI5" t="n">
        <v>1</v>
      </c>
      <c r="AJ5" t="n">
        <v>62212</v>
      </c>
      <c r="AK5" t="n">
        <v>5227</v>
      </c>
      <c r="AL5" t="n">
        <v>115</v>
      </c>
      <c r="AM5" t="n">
        <v>115</v>
      </c>
      <c r="AN5" t="n">
        <v>13225</v>
      </c>
      <c r="AO5" t="inlineStr">
        <is>
          <t>dsp_top</t>
        </is>
      </c>
      <c r="AP5" t="inlineStr">
        <is>
          <t>auto</t>
        </is>
      </c>
      <c r="AQ5" t="n">
        <v>-1</v>
      </c>
      <c r="AR5" t="n">
        <v>-1</v>
      </c>
      <c r="AS5" t="n">
        <v>1528780</v>
      </c>
      <c r="AT5" t="n">
        <v>1150749</v>
      </c>
      <c r="AU5" t="n">
        <v>3405952</v>
      </c>
      <c r="AV5" t="n">
        <v>868115</v>
      </c>
      <c r="AW5" t="n">
        <v>2490577</v>
      </c>
      <c r="AX5" t="n">
        <v>47260</v>
      </c>
      <c r="AY5" t="inlineStr">
        <is>
          <t>2289.4 MiB</t>
        </is>
      </c>
      <c r="AZ5" t="n">
        <v>515.75</v>
      </c>
      <c r="BA5" t="n">
        <v>1.45</v>
      </c>
      <c r="BB5" t="n">
        <v>8.42337</v>
      </c>
      <c r="BC5" t="n">
        <v>6.71992</v>
      </c>
      <c r="BD5" t="n">
        <v>-246573</v>
      </c>
      <c r="BE5" t="n">
        <v>-6.71992</v>
      </c>
      <c r="BF5" t="n">
        <v>6.71992</v>
      </c>
      <c r="BG5" t="n">
        <v>77.90000000000001</v>
      </c>
      <c r="BH5" t="n">
        <v>0.270118</v>
      </c>
      <c r="BI5" t="n">
        <v>0.233233</v>
      </c>
      <c r="BJ5" t="n">
        <v>23.2373</v>
      </c>
      <c r="BK5" t="n">
        <v>19.1613</v>
      </c>
      <c r="BL5" t="inlineStr">
        <is>
          <t>2289.4 MiB</t>
        </is>
      </c>
      <c r="BM5" t="n">
        <v>515.75</v>
      </c>
      <c r="BN5" t="inlineStr">
        <is>
          <t>1860.2 MiB</t>
        </is>
      </c>
      <c r="BO5" t="n">
        <v>178.6</v>
      </c>
      <c r="BP5" t="n">
        <v>1898992</v>
      </c>
      <c r="BQ5" t="n">
        <v>30.5255</v>
      </c>
      <c r="BR5" t="n">
        <v>415054</v>
      </c>
      <c r="BS5" t="n">
        <v>6.67182</v>
      </c>
      <c r="BT5" t="n">
        <v>265484</v>
      </c>
      <c r="BU5" t="n">
        <v>597458</v>
      </c>
      <c r="BV5" t="n">
        <v>562999725</v>
      </c>
      <c r="BW5" t="n">
        <v>212660374</v>
      </c>
      <c r="BX5" t="n">
        <v>608675000</v>
      </c>
      <c r="BY5" t="n">
        <v>328314000</v>
      </c>
      <c r="BZ5" t="n">
        <v>247970000</v>
      </c>
      <c r="CA5" t="n">
        <v>18750.1</v>
      </c>
      <c r="CB5" t="n">
        <v>19</v>
      </c>
      <c r="CC5" t="n">
        <v>3447300</v>
      </c>
      <c r="CD5" t="n">
        <v>48605996</v>
      </c>
      <c r="CE5" t="n">
        <v>-1</v>
      </c>
      <c r="CF5" t="n">
        <v>8.119400000000001</v>
      </c>
      <c r="CG5" t="n">
        <v>8.119400000000001</v>
      </c>
      <c r="CH5" t="n">
        <v>-383644</v>
      </c>
      <c r="CI5" t="n">
        <v>-8.119400000000001</v>
      </c>
      <c r="CJ5" t="n">
        <v>0</v>
      </c>
      <c r="CK5" t="n">
        <v>0</v>
      </c>
      <c r="CL5" t="n">
        <v>35.23</v>
      </c>
      <c r="CM5" t="n">
        <v>-1</v>
      </c>
      <c r="CN5" t="n">
        <v>-1</v>
      </c>
      <c r="CO5" t="inlineStr">
        <is>
          <t>2289.4 MiB</t>
        </is>
      </c>
      <c r="CP5" t="n">
        <v>205.48</v>
      </c>
      <c r="CQ5" t="n">
        <v>57.6332</v>
      </c>
      <c r="CR5" t="n">
        <v>48.7516</v>
      </c>
      <c r="CS5" t="inlineStr">
        <is>
          <t>2289.4 MiB</t>
        </is>
      </c>
      <c r="CT5" t="n">
        <v>-1</v>
      </c>
      <c r="CU5" t="n">
        <v>38.85</v>
      </c>
      <c r="CV5" t="n">
        <v/>
      </c>
    </row>
    <row r="6">
      <c r="A6" t="inlineStr">
        <is>
          <t>hecate_25d_L17_int_10um_bump_fanin_12.xml</t>
        </is>
      </c>
      <c r="B6" t="inlineStr">
        <is>
          <t>clstm_like.large.blif</t>
        </is>
      </c>
      <c r="C6" t="inlineStr">
        <is>
          <t>common</t>
        </is>
      </c>
      <c r="D6" t="n">
        <v>7465.81</v>
      </c>
      <c r="E6" t="inlineStr">
        <is>
          <t>vpr</t>
        </is>
      </c>
      <c r="F6" t="inlineStr">
        <is>
          <t>10.69 GiB</t>
        </is>
      </c>
      <c r="G6" t="n">
        <v/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45214</v>
      </c>
      <c r="T6" t="n">
        <v>652</v>
      </c>
      <c r="U6" t="n">
        <v>679</v>
      </c>
      <c r="V6" t="n">
        <v>-1</v>
      </c>
      <c r="W6" t="inlineStr">
        <is>
          <t>success</t>
        </is>
      </c>
      <c r="X6" t="inlineStr">
        <is>
          <t>v8.0.0-16070-ga8427fcd2f</t>
        </is>
      </c>
      <c r="Y6" t="inlineStr">
        <is>
          <t>release IPO VTR_ASSERT_LEVEL=2</t>
        </is>
      </c>
      <c r="Z6" t="inlineStr">
        <is>
          <t>GNU 13.3.0 on Linux-6.8.0-100-generic x86_64</t>
        </is>
      </c>
      <c r="AA6" t="inlineStr">
        <is>
          <t>2026-06-03T21:18:33</t>
        </is>
      </c>
      <c r="AB6" t="inlineStr">
        <is>
          <t>betzgrp-wintermute</t>
        </is>
      </c>
      <c r="AC6" t="inlineStr">
        <is>
          <t>/home/singera8/fpga-analytical-placement/testing/test_suites</t>
        </is>
      </c>
      <c r="AD6" t="n">
        <v>11205756</v>
      </c>
      <c r="AE6" t="n">
        <v>652</v>
      </c>
      <c r="AF6" t="n">
        <v>866</v>
      </c>
      <c r="AG6" t="n">
        <v>778833</v>
      </c>
      <c r="AH6" t="n">
        <v>758954</v>
      </c>
      <c r="AI6" t="n">
        <v>1</v>
      </c>
      <c r="AJ6" t="n">
        <v>271211</v>
      </c>
      <c r="AK6" t="n">
        <v>48097</v>
      </c>
      <c r="AL6" t="n">
        <v>229</v>
      </c>
      <c r="AM6" t="n">
        <v>229</v>
      </c>
      <c r="AN6" t="n">
        <v>52441</v>
      </c>
      <c r="AO6" t="inlineStr">
        <is>
          <t>clb</t>
        </is>
      </c>
      <c r="AP6" t="inlineStr">
        <is>
          <t>auto</t>
        </is>
      </c>
      <c r="AQ6" t="n">
        <v>-1</v>
      </c>
      <c r="AR6" t="n">
        <v>-1</v>
      </c>
      <c r="AS6" t="n">
        <v>12956100</v>
      </c>
      <c r="AT6" t="n">
        <v>5190496</v>
      </c>
      <c r="AU6" t="n">
        <v>106707085</v>
      </c>
      <c r="AV6" t="n">
        <v>37073407</v>
      </c>
      <c r="AW6" t="n">
        <v>69111737</v>
      </c>
      <c r="AX6" t="n">
        <v>521941</v>
      </c>
      <c r="AY6" t="inlineStr">
        <is>
          <t>10943.1 MiB</t>
        </is>
      </c>
      <c r="AZ6" t="n">
        <v>7060.74</v>
      </c>
      <c r="BA6" t="n">
        <v>346.69</v>
      </c>
      <c r="BB6" t="n">
        <v>20.5033</v>
      </c>
      <c r="BC6" t="n">
        <v>6.20105</v>
      </c>
      <c r="BD6" t="n">
        <v>-1268970</v>
      </c>
      <c r="BE6" t="n">
        <v>-6.20105</v>
      </c>
      <c r="BF6" t="n">
        <v>6.20105</v>
      </c>
      <c r="BG6" t="n">
        <v>331.42</v>
      </c>
      <c r="BH6" t="n">
        <v>1.20151</v>
      </c>
      <c r="BI6" t="n">
        <v>1.01754</v>
      </c>
      <c r="BJ6" t="n">
        <v>160.447</v>
      </c>
      <c r="BK6" t="n">
        <v>136.295</v>
      </c>
      <c r="BL6" t="inlineStr">
        <is>
          <t>10943.1 MiB</t>
        </is>
      </c>
      <c r="BM6" t="n">
        <v>7060.74</v>
      </c>
      <c r="BN6" t="inlineStr">
        <is>
          <t>10080.2 MiB</t>
        </is>
      </c>
      <c r="BO6" t="n">
        <v>2051.31</v>
      </c>
      <c r="BP6" t="n">
        <v>5761879</v>
      </c>
      <c r="BQ6" t="n">
        <v>21.2609</v>
      </c>
      <c r="BR6" t="n">
        <v>1201373</v>
      </c>
      <c r="BS6" t="n">
        <v>4.43298</v>
      </c>
      <c r="BT6" t="n">
        <v>634781</v>
      </c>
      <c r="BU6" t="n">
        <v>1634128</v>
      </c>
      <c r="BV6" t="n">
        <v>715978594</v>
      </c>
      <c r="BW6" t="n">
        <v>260644878</v>
      </c>
      <c r="BX6" t="n">
        <v>2400680000</v>
      </c>
      <c r="BY6" t="n">
        <v>1529220000</v>
      </c>
      <c r="BZ6" t="n">
        <v>980671000</v>
      </c>
      <c r="CA6" t="n">
        <v>18700.5</v>
      </c>
      <c r="CB6" t="n">
        <v>20</v>
      </c>
      <c r="CC6" t="n">
        <v>13554168</v>
      </c>
      <c r="CD6" t="n">
        <v>193997048</v>
      </c>
      <c r="CE6" t="n">
        <v>-1</v>
      </c>
      <c r="CF6" t="n">
        <v>6.8421</v>
      </c>
      <c r="CG6" t="n">
        <v>6.8421</v>
      </c>
      <c r="CH6" t="n">
        <v>-1537250</v>
      </c>
      <c r="CI6" t="n">
        <v>-6.8421</v>
      </c>
      <c r="CJ6" t="n">
        <v>0</v>
      </c>
      <c r="CK6" t="n">
        <v>0</v>
      </c>
      <c r="CL6" t="n">
        <v>143.2</v>
      </c>
      <c r="CM6" t="n">
        <v>-1</v>
      </c>
      <c r="CN6" t="n">
        <v>-1</v>
      </c>
      <c r="CO6" t="inlineStr">
        <is>
          <t>10943.1 MiB</t>
        </is>
      </c>
      <c r="CP6" t="n">
        <v>327.74</v>
      </c>
      <c r="CQ6" t="n">
        <v>315.904</v>
      </c>
      <c r="CR6" t="n">
        <v>275.083</v>
      </c>
      <c r="CS6" t="inlineStr">
        <is>
          <t>10943.1 MiB</t>
        </is>
      </c>
      <c r="CT6" t="n">
        <v>-1</v>
      </c>
      <c r="CU6" t="n">
        <v>171.96</v>
      </c>
      <c r="CV6" t="n">
        <v/>
      </c>
    </row>
    <row r="7">
      <c r="A7" t="inlineStr">
        <is>
          <t>hecate_25d_L17_int_10um_bump_fanin_12.xml</t>
        </is>
      </c>
      <c r="B7" t="inlineStr">
        <is>
          <t>clstm_like.medium.blif</t>
        </is>
      </c>
      <c r="C7" t="inlineStr">
        <is>
          <t>common</t>
        </is>
      </c>
      <c r="D7" t="n">
        <v>3566.13</v>
      </c>
      <c r="E7" t="inlineStr">
        <is>
          <t>vpr</t>
        </is>
      </c>
      <c r="F7" t="inlineStr">
        <is>
          <t>6.60 GiB</t>
        </is>
      </c>
      <c r="G7" t="n">
        <v/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26713</v>
      </c>
      <c r="T7" t="n">
        <v>652</v>
      </c>
      <c r="U7" t="n">
        <v>458</v>
      </c>
      <c r="V7" t="n">
        <v>-1</v>
      </c>
      <c r="W7" t="inlineStr">
        <is>
          <t>success</t>
        </is>
      </c>
      <c r="X7" t="inlineStr">
        <is>
          <t>v8.0.0-16070-ga8427fcd2f</t>
        </is>
      </c>
      <c r="Y7" t="inlineStr">
        <is>
          <t>release IPO VTR_ASSERT_LEVEL=2</t>
        </is>
      </c>
      <c r="Z7" t="inlineStr">
        <is>
          <t>GNU 13.3.0 on Linux-6.8.0-100-generic x86_64</t>
        </is>
      </c>
      <c r="AA7" t="inlineStr">
        <is>
          <t>2026-06-03T21:18:33</t>
        </is>
      </c>
      <c r="AB7" t="inlineStr">
        <is>
          <t>betzgrp-wintermute</t>
        </is>
      </c>
      <c r="AC7" t="inlineStr">
        <is>
          <t>/home/singera8/fpga-analytical-placement/testing/test_suites</t>
        </is>
      </c>
      <c r="AD7" t="n">
        <v>6915480</v>
      </c>
      <c r="AE7" t="n">
        <v>652</v>
      </c>
      <c r="AF7" t="n">
        <v>578</v>
      </c>
      <c r="AG7" t="n">
        <v>522235</v>
      </c>
      <c r="AH7" t="n">
        <v>508912</v>
      </c>
      <c r="AI7" t="n">
        <v>1</v>
      </c>
      <c r="AJ7" t="n">
        <v>180164</v>
      </c>
      <c r="AK7" t="n">
        <v>28856</v>
      </c>
      <c r="AL7" t="n">
        <v>176</v>
      </c>
      <c r="AM7" t="n">
        <v>176</v>
      </c>
      <c r="AN7" t="n">
        <v>30976</v>
      </c>
      <c r="AO7" t="inlineStr">
        <is>
          <t>clb</t>
        </is>
      </c>
      <c r="AP7" t="inlineStr">
        <is>
          <t>auto</t>
        </is>
      </c>
      <c r="AQ7" t="n">
        <v>-1</v>
      </c>
      <c r="AR7" t="n">
        <v>-1</v>
      </c>
      <c r="AS7" t="n">
        <v>5629170</v>
      </c>
      <c r="AT7" t="n">
        <v>2794019</v>
      </c>
      <c r="AU7" t="n">
        <v>48691426</v>
      </c>
      <c r="AV7" t="n">
        <v>15845327</v>
      </c>
      <c r="AW7" t="n">
        <v>32459470</v>
      </c>
      <c r="AX7" t="n">
        <v>386629</v>
      </c>
      <c r="AY7" t="inlineStr">
        <is>
          <t>6753.4 MiB</t>
        </is>
      </c>
      <c r="AZ7" t="n">
        <v>3282.02</v>
      </c>
      <c r="BA7" t="n">
        <v>34.21</v>
      </c>
      <c r="BB7" t="n">
        <v>12.5599</v>
      </c>
      <c r="BC7" t="n">
        <v>5.7864</v>
      </c>
      <c r="BD7" t="n">
        <v>-733724</v>
      </c>
      <c r="BE7" t="n">
        <v>-5.7864</v>
      </c>
      <c r="BF7" t="n">
        <v>5.7864</v>
      </c>
      <c r="BG7" t="n">
        <v>3.66</v>
      </c>
      <c r="BH7" t="n">
        <v>0.834766</v>
      </c>
      <c r="BI7" t="n">
        <v>0.698931</v>
      </c>
      <c r="BJ7" t="n">
        <v>95.8967</v>
      </c>
      <c r="BK7" t="n">
        <v>81.1913</v>
      </c>
      <c r="BL7" t="inlineStr">
        <is>
          <t>6753.4 MiB</t>
        </is>
      </c>
      <c r="BM7" t="n">
        <v>3282.02</v>
      </c>
      <c r="BN7" t="inlineStr">
        <is>
          <t>6753.4 MiB</t>
        </is>
      </c>
      <c r="BO7" t="n">
        <v>1368.48</v>
      </c>
      <c r="BP7" t="n">
        <v>3473955</v>
      </c>
      <c r="BQ7" t="n">
        <v>19.2974</v>
      </c>
      <c r="BR7" t="n">
        <v>758254</v>
      </c>
      <c r="BS7" t="n">
        <v>4.21201</v>
      </c>
      <c r="BT7" t="n">
        <v>417156</v>
      </c>
      <c r="BU7" t="n">
        <v>987069</v>
      </c>
      <c r="BV7" t="n">
        <v>510607436</v>
      </c>
      <c r="BW7" t="n">
        <v>184631792</v>
      </c>
      <c r="BX7" t="n">
        <v>1388450000</v>
      </c>
      <c r="BY7" t="n">
        <v>923920000</v>
      </c>
      <c r="BZ7" t="n">
        <v>578229000</v>
      </c>
      <c r="CA7" t="n">
        <v>18667</v>
      </c>
      <c r="CB7" t="n">
        <v>16</v>
      </c>
      <c r="CC7" t="n">
        <v>7951452</v>
      </c>
      <c r="CD7" t="n">
        <v>113924781</v>
      </c>
      <c r="CE7" t="n">
        <v>-1</v>
      </c>
      <c r="CF7" t="n">
        <v>6.41104</v>
      </c>
      <c r="CG7" t="n">
        <v>6.41104</v>
      </c>
      <c r="CH7" t="n">
        <v>-884883</v>
      </c>
      <c r="CI7" t="n">
        <v>-6.41104</v>
      </c>
      <c r="CJ7" t="n">
        <v>0</v>
      </c>
      <c r="CK7" t="n">
        <v>0</v>
      </c>
      <c r="CL7" t="n">
        <v>84.38</v>
      </c>
      <c r="CM7" t="n">
        <v>-1</v>
      </c>
      <c r="CN7" t="n">
        <v>-1</v>
      </c>
      <c r="CO7" t="inlineStr">
        <is>
          <t>6753.4 MiB</t>
        </is>
      </c>
      <c r="CP7" t="n">
        <v>231.7</v>
      </c>
      <c r="CQ7" t="n">
        <v>193.625</v>
      </c>
      <c r="CR7" t="n">
        <v>168.423</v>
      </c>
      <c r="CS7" t="inlineStr">
        <is>
          <t>5396.6 MiB</t>
        </is>
      </c>
      <c r="CT7" t="n">
        <v>-1</v>
      </c>
      <c r="CU7" t="n">
        <v>93.29000000000001</v>
      </c>
      <c r="CV7" t="n">
        <v/>
      </c>
    </row>
    <row r="8">
      <c r="A8" t="inlineStr">
        <is>
          <t>hecate_25d_L17_int_10um_bump_fanin_12.xml</t>
        </is>
      </c>
      <c r="B8" t="inlineStr">
        <is>
          <t>clstm_like.small.blif</t>
        </is>
      </c>
      <c r="C8" t="inlineStr">
        <is>
          <t>common</t>
        </is>
      </c>
      <c r="D8" t="n">
        <v>1662.9</v>
      </c>
      <c r="E8" t="inlineStr">
        <is>
          <t>vpr</t>
        </is>
      </c>
      <c r="F8" t="inlineStr">
        <is>
          <t>3.55 GiB</t>
        </is>
      </c>
      <c r="G8" t="n">
        <v/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13788</v>
      </c>
      <c r="T8" t="n">
        <v>652</v>
      </c>
      <c r="U8" t="n">
        <v>237</v>
      </c>
      <c r="V8" t="n">
        <v>-1</v>
      </c>
      <c r="W8" t="inlineStr">
        <is>
          <t>success</t>
        </is>
      </c>
      <c r="X8" t="inlineStr">
        <is>
          <t>v8.0.0-16070-ga8427fcd2f</t>
        </is>
      </c>
      <c r="Y8" t="inlineStr">
        <is>
          <t>release IPO VTR_ASSERT_LEVEL=2</t>
        </is>
      </c>
      <c r="Z8" t="inlineStr">
        <is>
          <t>GNU 13.3.0 on Linux-6.8.0-100-generic x86_64</t>
        </is>
      </c>
      <c r="AA8" t="inlineStr">
        <is>
          <t>2026-06-03T21:18:33</t>
        </is>
      </c>
      <c r="AB8" t="inlineStr">
        <is>
          <t>betzgrp-wintermute</t>
        </is>
      </c>
      <c r="AC8" t="inlineStr">
        <is>
          <t>/home/singera8/fpga-analytical-placement/testing/test_suites</t>
        </is>
      </c>
      <c r="AD8" t="n">
        <v>3718316</v>
      </c>
      <c r="AE8" t="n">
        <v>652</v>
      </c>
      <c r="AF8" t="n">
        <v>290</v>
      </c>
      <c r="AG8" t="n">
        <v>265633</v>
      </c>
      <c r="AH8" t="n">
        <v>258866</v>
      </c>
      <c r="AI8" t="n">
        <v>1</v>
      </c>
      <c r="AJ8" t="n">
        <v>94748</v>
      </c>
      <c r="AK8" t="n">
        <v>15192</v>
      </c>
      <c r="AL8" t="n">
        <v>128</v>
      </c>
      <c r="AM8" t="n">
        <v>128</v>
      </c>
      <c r="AN8" t="n">
        <v>16384</v>
      </c>
      <c r="AO8" t="inlineStr">
        <is>
          <t>clb</t>
        </is>
      </c>
      <c r="AP8" t="inlineStr">
        <is>
          <t>auto</t>
        </is>
      </c>
      <c r="AQ8" t="n">
        <v>-1</v>
      </c>
      <c r="AR8" t="n">
        <v>-1</v>
      </c>
      <c r="AS8" t="n">
        <v>2097110</v>
      </c>
      <c r="AT8" t="n">
        <v>1185936</v>
      </c>
      <c r="AU8" t="n">
        <v>19574368</v>
      </c>
      <c r="AV8" t="n">
        <v>6122879</v>
      </c>
      <c r="AW8" t="n">
        <v>13371052</v>
      </c>
      <c r="AX8" t="n">
        <v>80437</v>
      </c>
      <c r="AY8" t="inlineStr">
        <is>
          <t>3631.2 MiB</t>
        </is>
      </c>
      <c r="AZ8" t="n">
        <v>1509.07</v>
      </c>
      <c r="BA8" t="n">
        <v>3.63</v>
      </c>
      <c r="BB8" t="n">
        <v>9.420859999999999</v>
      </c>
      <c r="BC8" t="n">
        <v>5.11054</v>
      </c>
      <c r="BD8" t="n">
        <v>-308822</v>
      </c>
      <c r="BE8" t="n">
        <v>-5.11054</v>
      </c>
      <c r="BF8" t="n">
        <v>5.11054</v>
      </c>
      <c r="BG8" t="n">
        <v>94.03</v>
      </c>
      <c r="BH8" t="n">
        <v>0.38743</v>
      </c>
      <c r="BI8" t="n">
        <v>0.343268</v>
      </c>
      <c r="BJ8" t="n">
        <v>44.797</v>
      </c>
      <c r="BK8" t="n">
        <v>38.8998</v>
      </c>
      <c r="BL8" t="inlineStr">
        <is>
          <t>3631.2 MiB</t>
        </is>
      </c>
      <c r="BM8" t="n">
        <v>1509.07</v>
      </c>
      <c r="BN8" t="inlineStr">
        <is>
          <t>3493.4 MiB</t>
        </is>
      </c>
      <c r="BO8" t="n">
        <v>726.7</v>
      </c>
      <c r="BP8" t="n">
        <v>1668513</v>
      </c>
      <c r="BQ8" t="n">
        <v>17.624</v>
      </c>
      <c r="BR8" t="n">
        <v>375789</v>
      </c>
      <c r="BS8" t="n">
        <v>3.96934</v>
      </c>
      <c r="BT8" t="n">
        <v>216755</v>
      </c>
      <c r="BU8" t="n">
        <v>501271</v>
      </c>
      <c r="BV8" t="n">
        <v>279240181</v>
      </c>
      <c r="BW8" t="n">
        <v>114725462</v>
      </c>
      <c r="BX8" t="n">
        <v>738232000</v>
      </c>
      <c r="BY8" t="n">
        <v>474468000</v>
      </c>
      <c r="BZ8" t="n">
        <v>306898000</v>
      </c>
      <c r="CA8" t="n">
        <v>18731.6</v>
      </c>
      <c r="CB8" t="n">
        <v>16</v>
      </c>
      <c r="CC8" t="n">
        <v>4222704</v>
      </c>
      <c r="CD8" t="n">
        <v>60088254</v>
      </c>
      <c r="CE8" t="n">
        <v>-1</v>
      </c>
      <c r="CF8" t="n">
        <v>5.94588</v>
      </c>
      <c r="CG8" t="n">
        <v>5.94588</v>
      </c>
      <c r="CH8" t="n">
        <v>-390144</v>
      </c>
      <c r="CI8" t="n">
        <v>-5.94588</v>
      </c>
      <c r="CJ8" t="n">
        <v>0</v>
      </c>
      <c r="CK8" t="n">
        <v>0</v>
      </c>
      <c r="CL8" t="n">
        <v>44.47</v>
      </c>
      <c r="CM8" t="n">
        <v>-1</v>
      </c>
      <c r="CN8" t="n">
        <v>-1</v>
      </c>
      <c r="CO8" t="inlineStr">
        <is>
          <t>3631.2 MiB</t>
        </is>
      </c>
      <c r="CP8" t="n">
        <v>127.66</v>
      </c>
      <c r="CQ8" t="n">
        <v>93.8496</v>
      </c>
      <c r="CR8" t="n">
        <v>82.5478</v>
      </c>
      <c r="CS8" t="inlineStr">
        <is>
          <t>3631.2 MiB</t>
        </is>
      </c>
      <c r="CT8" t="n">
        <v>-1</v>
      </c>
      <c r="CU8" t="n">
        <v>44.52</v>
      </c>
      <c r="CV8" t="n">
        <v/>
      </c>
    </row>
    <row r="9">
      <c r="A9" t="inlineStr">
        <is>
          <t>hecate_25d_L17_int_10um_bump_fanin_12.xml</t>
        </is>
      </c>
      <c r="B9" t="inlineStr">
        <is>
          <t>conv_layer_hls.blif</t>
        </is>
      </c>
      <c r="C9" t="inlineStr">
        <is>
          <t>common</t>
        </is>
      </c>
      <c r="D9" t="n">
        <v>120.51</v>
      </c>
      <c r="E9" t="inlineStr">
        <is>
          <t>vpr</t>
        </is>
      </c>
      <c r="F9" t="inlineStr">
        <is>
          <t>1.24 GiB</t>
        </is>
      </c>
      <c r="G9" t="n">
        <v/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2122</v>
      </c>
      <c r="T9" t="n">
        <v>1001</v>
      </c>
      <c r="U9" t="n">
        <v>21</v>
      </c>
      <c r="V9" t="n">
        <v>-1</v>
      </c>
      <c r="W9" t="inlineStr">
        <is>
          <t>success</t>
        </is>
      </c>
      <c r="X9" t="inlineStr">
        <is>
          <t>v8.0.0-16070-ga8427fcd2f</t>
        </is>
      </c>
      <c r="Y9" t="inlineStr">
        <is>
          <t>release IPO VTR_ASSERT_LEVEL=2</t>
        </is>
      </c>
      <c r="Z9" t="inlineStr">
        <is>
          <t>GNU 13.3.0 on Linux-6.8.0-100-generic x86_64</t>
        </is>
      </c>
      <c r="AA9" t="inlineStr">
        <is>
          <t>2026-06-03T21:18:33</t>
        </is>
      </c>
      <c r="AB9" t="inlineStr">
        <is>
          <t>betzgrp-wintermute</t>
        </is>
      </c>
      <c r="AC9" t="inlineStr">
        <is>
          <t>/home/singera8/fpga-analytical-placement/testing/test_suites</t>
        </is>
      </c>
      <c r="AD9" t="n">
        <v>1298988</v>
      </c>
      <c r="AE9" t="n">
        <v>1001</v>
      </c>
      <c r="AF9" t="n">
        <v>2283</v>
      </c>
      <c r="AG9" t="n">
        <v>10197</v>
      </c>
      <c r="AH9" t="n">
        <v>12351</v>
      </c>
      <c r="AI9" t="n">
        <v>1</v>
      </c>
      <c r="AJ9" t="n">
        <v>7658</v>
      </c>
      <c r="AK9" t="n">
        <v>5429</v>
      </c>
      <c r="AL9" t="n">
        <v>105</v>
      </c>
      <c r="AM9" t="n">
        <v>105</v>
      </c>
      <c r="AN9" t="n">
        <v>11025</v>
      </c>
      <c r="AO9" t="inlineStr">
        <is>
          <t>io</t>
        </is>
      </c>
      <c r="AP9" t="inlineStr">
        <is>
          <t>auto</t>
        </is>
      </c>
      <c r="AQ9" t="n">
        <v>-1</v>
      </c>
      <c r="AR9" t="n">
        <v>-1</v>
      </c>
      <c r="AS9" t="n">
        <v>56068.7</v>
      </c>
      <c r="AT9" t="n">
        <v>49300</v>
      </c>
      <c r="AU9" t="n">
        <v>4059419</v>
      </c>
      <c r="AV9" t="n">
        <v>1494665</v>
      </c>
      <c r="AW9" t="n">
        <v>2036224</v>
      </c>
      <c r="AX9" t="n">
        <v>528530</v>
      </c>
      <c r="AY9" t="inlineStr">
        <is>
          <t>1268.5 MiB</t>
        </is>
      </c>
      <c r="AZ9" t="n">
        <v>113.3</v>
      </c>
      <c r="BA9" t="n">
        <v>0.27</v>
      </c>
      <c r="BB9" t="n">
        <v>6.60855</v>
      </c>
      <c r="BC9" t="n">
        <v>6.41788</v>
      </c>
      <c r="BD9" t="n">
        <v>-9953.01</v>
      </c>
      <c r="BE9" t="n">
        <v>-6.41788</v>
      </c>
      <c r="BF9" t="n">
        <v>6.41788</v>
      </c>
      <c r="BG9" t="n">
        <v>0.9</v>
      </c>
      <c r="BH9" t="n">
        <v>0.0532813</v>
      </c>
      <c r="BI9" t="n">
        <v>0.0516047</v>
      </c>
      <c r="BJ9" t="n">
        <v>4.80004</v>
      </c>
      <c r="BK9" t="n">
        <v>4.63779</v>
      </c>
      <c r="BL9" t="inlineStr">
        <is>
          <t>1268.5 MiB</t>
        </is>
      </c>
      <c r="BM9" t="n">
        <v>113.3</v>
      </c>
      <c r="BN9" t="inlineStr">
        <is>
          <t>1268.5 MiB</t>
        </is>
      </c>
      <c r="BO9" t="n">
        <v>24.37</v>
      </c>
      <c r="BP9" t="n">
        <v>91826</v>
      </c>
      <c r="BQ9" t="n">
        <v>14.9773</v>
      </c>
      <c r="BR9" t="n">
        <v>22193</v>
      </c>
      <c r="BS9" t="n">
        <v>3.6198</v>
      </c>
      <c r="BT9" t="n">
        <v>14982</v>
      </c>
      <c r="BU9" t="n">
        <v>34998</v>
      </c>
      <c r="BV9" t="n">
        <v>8591157</v>
      </c>
      <c r="BW9" t="n">
        <v>2873296</v>
      </c>
      <c r="BX9" t="n">
        <v>491500000</v>
      </c>
      <c r="BY9" t="n">
        <v>62611400</v>
      </c>
      <c r="BZ9" t="n">
        <v>205450000</v>
      </c>
      <c r="CA9" t="n">
        <v>18635</v>
      </c>
      <c r="CB9" t="n">
        <v>17</v>
      </c>
      <c r="CC9" t="n">
        <v>2840258</v>
      </c>
      <c r="CD9" t="n">
        <v>40240446</v>
      </c>
      <c r="CE9" t="n">
        <v>-1</v>
      </c>
      <c r="CF9" t="n">
        <v>7.14834</v>
      </c>
      <c r="CG9" t="n">
        <v>7.14834</v>
      </c>
      <c r="CH9" t="n">
        <v>-11795</v>
      </c>
      <c r="CI9" t="n">
        <v>-7.14834</v>
      </c>
      <c r="CJ9" t="n">
        <v>0</v>
      </c>
      <c r="CK9" t="n">
        <v>0</v>
      </c>
      <c r="CL9" t="n">
        <v>29.54</v>
      </c>
      <c r="CM9" t="n">
        <v>-1</v>
      </c>
      <c r="CN9" t="n">
        <v>-1</v>
      </c>
      <c r="CO9" t="inlineStr">
        <is>
          <t>1268.5 MiB</t>
        </is>
      </c>
      <c r="CP9" t="n">
        <v>5.11</v>
      </c>
      <c r="CQ9" t="n">
        <v>10.2251</v>
      </c>
      <c r="CR9" t="n">
        <v>9.873620000000001</v>
      </c>
      <c r="CS9" t="inlineStr">
        <is>
          <t>1268.5 MiB</t>
        </is>
      </c>
      <c r="CT9" t="n">
        <v>-1</v>
      </c>
      <c r="CU9" t="n">
        <v>32.66</v>
      </c>
      <c r="CV9" t="n">
        <v/>
      </c>
    </row>
    <row r="10">
      <c r="A10" t="inlineStr">
        <is>
          <t>hecate_25d_L17_int_10um_bump_fanin_12.xml</t>
        </is>
      </c>
      <c r="B10" t="inlineStr">
        <is>
          <t>dla_like.medium.blif</t>
        </is>
      </c>
      <c r="C10" t="inlineStr">
        <is>
          <t>common</t>
        </is>
      </c>
      <c r="D10" t="n">
        <v>4591.42</v>
      </c>
      <c r="E10" t="inlineStr">
        <is>
          <t>vpr</t>
        </is>
      </c>
      <c r="F10" t="inlineStr">
        <is>
          <t>5.19 GiB</t>
        </is>
      </c>
      <c r="G10" t="n">
        <v/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19659</v>
      </c>
      <c r="T10" t="n">
        <v>410</v>
      </c>
      <c r="U10" t="n">
        <v>300</v>
      </c>
      <c r="V10" t="n">
        <v>-1</v>
      </c>
      <c r="W10" t="inlineStr">
        <is>
          <t>success</t>
        </is>
      </c>
      <c r="X10" t="inlineStr">
        <is>
          <t>v8.0.0-16070-ga8427fcd2f</t>
        </is>
      </c>
      <c r="Y10" t="inlineStr">
        <is>
          <t>release IPO VTR_ASSERT_LEVEL=2</t>
        </is>
      </c>
      <c r="Z10" t="inlineStr">
        <is>
          <t>GNU 13.3.0 on Linux-6.8.0-100-generic x86_64</t>
        </is>
      </c>
      <c r="AA10" t="inlineStr">
        <is>
          <t>2026-06-03T21:18:33</t>
        </is>
      </c>
      <c r="AB10" t="inlineStr">
        <is>
          <t>betzgrp-wintermute</t>
        </is>
      </c>
      <c r="AC10" t="inlineStr">
        <is>
          <t>/home/singera8/fpga-analytical-placement/testing/test_suites</t>
        </is>
      </c>
      <c r="AD10" t="n">
        <v>5441636</v>
      </c>
      <c r="AE10" t="n">
        <v>410</v>
      </c>
      <c r="AF10" t="n">
        <v>25</v>
      </c>
      <c r="AG10" t="n">
        <v>392882</v>
      </c>
      <c r="AH10" t="n">
        <v>375091</v>
      </c>
      <c r="AI10" t="n">
        <v>1</v>
      </c>
      <c r="AJ10" t="n">
        <v>202650</v>
      </c>
      <c r="AK10" t="n">
        <v>20966</v>
      </c>
      <c r="AL10" t="n">
        <v>152</v>
      </c>
      <c r="AM10" t="n">
        <v>152</v>
      </c>
      <c r="AN10" t="n">
        <v>23104</v>
      </c>
      <c r="AO10" t="inlineStr">
        <is>
          <t>clb</t>
        </is>
      </c>
      <c r="AP10" t="inlineStr">
        <is>
          <t>auto</t>
        </is>
      </c>
      <c r="AQ10" t="n">
        <v>-1</v>
      </c>
      <c r="AR10" t="n">
        <v>-1</v>
      </c>
      <c r="AS10" t="n">
        <v>4592550</v>
      </c>
      <c r="AT10" t="n">
        <v>1801099</v>
      </c>
      <c r="AU10" t="n">
        <v>29784361</v>
      </c>
      <c r="AV10" t="n">
        <v>9114548</v>
      </c>
      <c r="AW10" t="n">
        <v>20531576</v>
      </c>
      <c r="AX10" t="n">
        <v>138237</v>
      </c>
      <c r="AY10" t="inlineStr">
        <is>
          <t>5314.1 MiB</t>
        </is>
      </c>
      <c r="AZ10" t="n">
        <v>4392.58</v>
      </c>
      <c r="BA10" t="n">
        <v>8.56</v>
      </c>
      <c r="BB10" t="n">
        <v>23.5048</v>
      </c>
      <c r="BC10" t="n">
        <v>7.34907</v>
      </c>
      <c r="BD10" t="n">
        <v>-333600</v>
      </c>
      <c r="BE10" t="n">
        <v>-7.34907</v>
      </c>
      <c r="BF10" t="n">
        <v>7.34907</v>
      </c>
      <c r="BG10" t="n">
        <v>63.79</v>
      </c>
      <c r="BH10" t="n">
        <v>0.612636</v>
      </c>
      <c r="BI10" t="n">
        <v>0.540555</v>
      </c>
      <c r="BJ10" t="n">
        <v>70.21769999999999</v>
      </c>
      <c r="BK10" t="n">
        <v>59.777</v>
      </c>
      <c r="BL10" t="inlineStr">
        <is>
          <t>5314.1 MiB</t>
        </is>
      </c>
      <c r="BM10" t="n">
        <v>4392.58</v>
      </c>
      <c r="BN10" t="inlineStr">
        <is>
          <t>5314.1 MiB</t>
        </is>
      </c>
      <c r="BO10" t="n">
        <v>2872.43</v>
      </c>
      <c r="BP10" t="n">
        <v>3247649</v>
      </c>
      <c r="BQ10" t="n">
        <v>16.0413</v>
      </c>
      <c r="BR10" t="n">
        <v>757202</v>
      </c>
      <c r="BS10" t="n">
        <v>3.7401</v>
      </c>
      <c r="BT10" t="n">
        <v>561133</v>
      </c>
      <c r="BU10" t="n">
        <v>1144106</v>
      </c>
      <c r="BV10" t="n">
        <v>352504786</v>
      </c>
      <c r="BW10" t="n">
        <v>138327312</v>
      </c>
      <c r="BX10" t="n">
        <v>1046110000</v>
      </c>
      <c r="BY10" t="n">
        <v>735025000</v>
      </c>
      <c r="BZ10" t="n">
        <v>432410000</v>
      </c>
      <c r="CA10" t="n">
        <v>18715.8</v>
      </c>
      <c r="CB10" t="n">
        <v>18</v>
      </c>
      <c r="CC10" t="n">
        <v>5950852</v>
      </c>
      <c r="CD10" t="n">
        <v>84980350</v>
      </c>
      <c r="CE10" t="n">
        <v>-1</v>
      </c>
      <c r="CF10" t="n">
        <v>9.294510000000001</v>
      </c>
      <c r="CG10" t="n">
        <v>9.294510000000001</v>
      </c>
      <c r="CH10" t="n">
        <v>-413414</v>
      </c>
      <c r="CI10" t="n">
        <v>-9.294510000000001</v>
      </c>
      <c r="CJ10" t="n">
        <v>0</v>
      </c>
      <c r="CK10" t="n">
        <v>0</v>
      </c>
      <c r="CL10" t="n">
        <v>61.66</v>
      </c>
      <c r="CM10" t="n">
        <v>-1</v>
      </c>
      <c r="CN10" t="n">
        <v>-1</v>
      </c>
      <c r="CO10" t="inlineStr">
        <is>
          <t>5314.1 MiB</t>
        </is>
      </c>
      <c r="CP10" t="n">
        <v>157.98</v>
      </c>
      <c r="CQ10" t="n">
        <v>149.643</v>
      </c>
      <c r="CR10" t="n">
        <v>129.248</v>
      </c>
      <c r="CS10" t="inlineStr">
        <is>
          <t>5314.1 MiB</t>
        </is>
      </c>
      <c r="CT10" t="n">
        <v>-1</v>
      </c>
      <c r="CU10" t="n">
        <v>61.61</v>
      </c>
      <c r="CV10" t="n">
        <v/>
      </c>
    </row>
    <row r="11">
      <c r="A11" t="inlineStr">
        <is>
          <t>hecate_25d_L17_int_10um_bump_fanin_12.xml</t>
        </is>
      </c>
      <c r="B11" t="inlineStr">
        <is>
          <t>dla_like.small.blif</t>
        </is>
      </c>
      <c r="C11" t="inlineStr">
        <is>
          <t>common</t>
        </is>
      </c>
      <c r="D11" t="n">
        <v>1709.21</v>
      </c>
      <c r="E11" t="inlineStr">
        <is>
          <t>vpr</t>
        </is>
      </c>
      <c r="F11" t="inlineStr">
        <is>
          <t>2.05 GiB</t>
        </is>
      </c>
      <c r="G11" t="n">
        <v/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7143</v>
      </c>
      <c r="T11" t="n">
        <v>206</v>
      </c>
      <c r="U11" t="n">
        <v>132</v>
      </c>
      <c r="V11" t="n">
        <v>-1</v>
      </c>
      <c r="W11" t="inlineStr">
        <is>
          <t>success</t>
        </is>
      </c>
      <c r="X11" t="inlineStr">
        <is>
          <t>v8.0.0-16070-ga8427fcd2f</t>
        </is>
      </c>
      <c r="Y11" t="inlineStr">
        <is>
          <t>release IPO VTR_ASSERT_LEVEL=2</t>
        </is>
      </c>
      <c r="Z11" t="inlineStr">
        <is>
          <t>GNU 13.3.0 on Linux-6.8.0-100-generic x86_64</t>
        </is>
      </c>
      <c r="AA11" t="inlineStr">
        <is>
          <t>2026-06-03T21:18:33</t>
        </is>
      </c>
      <c r="AB11" t="inlineStr">
        <is>
          <t>betzgrp-wintermute</t>
        </is>
      </c>
      <c r="AC11" t="inlineStr">
        <is>
          <t>/home/singera8/fpga-analytical-placement/testing/test_suites</t>
        </is>
      </c>
      <c r="AD11" t="n">
        <v>2146828</v>
      </c>
      <c r="AE11" t="n">
        <v>206</v>
      </c>
      <c r="AF11" t="n">
        <v>13</v>
      </c>
      <c r="AG11" t="n">
        <v>150856</v>
      </c>
      <c r="AH11" t="n">
        <v>145849</v>
      </c>
      <c r="AI11" t="n">
        <v>1</v>
      </c>
      <c r="AJ11" t="n">
        <v>81732</v>
      </c>
      <c r="AK11" t="n">
        <v>7662</v>
      </c>
      <c r="AL11" t="n">
        <v>92</v>
      </c>
      <c r="AM11" t="n">
        <v>92</v>
      </c>
      <c r="AN11" t="n">
        <v>8464</v>
      </c>
      <c r="AO11" t="inlineStr">
        <is>
          <t>clb</t>
        </is>
      </c>
      <c r="AP11" t="inlineStr">
        <is>
          <t>auto</t>
        </is>
      </c>
      <c r="AQ11" t="n">
        <v>-1</v>
      </c>
      <c r="AR11" t="n">
        <v>-1</v>
      </c>
      <c r="AS11" t="n">
        <v>1406530</v>
      </c>
      <c r="AT11" t="n">
        <v>645982</v>
      </c>
      <c r="AU11" t="n">
        <v>6198826</v>
      </c>
      <c r="AV11" t="n">
        <v>1630778</v>
      </c>
      <c r="AW11" t="n">
        <v>4507136</v>
      </c>
      <c r="AX11" t="n">
        <v>60912</v>
      </c>
      <c r="AY11" t="inlineStr">
        <is>
          <t>2096.5 MiB</t>
        </is>
      </c>
      <c r="AZ11" t="n">
        <v>1607.01</v>
      </c>
      <c r="BA11" t="n">
        <v>2.14</v>
      </c>
      <c r="BB11" t="n">
        <v>16.7564</v>
      </c>
      <c r="BC11" t="n">
        <v>6.43884</v>
      </c>
      <c r="BD11" t="n">
        <v>-139505</v>
      </c>
      <c r="BE11" t="n">
        <v>-6.43884</v>
      </c>
      <c r="BF11" t="n">
        <v>6.43884</v>
      </c>
      <c r="BG11" t="n">
        <v>22.69</v>
      </c>
      <c r="BH11" t="n">
        <v>0.236693</v>
      </c>
      <c r="BI11" t="n">
        <v>0.210292</v>
      </c>
      <c r="BJ11" t="n">
        <v>22.5675</v>
      </c>
      <c r="BK11" t="n">
        <v>19.3407</v>
      </c>
      <c r="BL11" t="inlineStr">
        <is>
          <t>2096.5 MiB</t>
        </is>
      </c>
      <c r="BM11" t="n">
        <v>1607.01</v>
      </c>
      <c r="BN11" t="inlineStr">
        <is>
          <t>2096.5 MiB</t>
        </is>
      </c>
      <c r="BO11" t="n">
        <v>1230.84</v>
      </c>
      <c r="BP11" t="n">
        <v>1276331</v>
      </c>
      <c r="BQ11" t="n">
        <v>15.635</v>
      </c>
      <c r="BR11" t="n">
        <v>305979</v>
      </c>
      <c r="BS11" t="n">
        <v>3.74823</v>
      </c>
      <c r="BT11" t="n">
        <v>261638</v>
      </c>
      <c r="BU11" t="n">
        <v>571414</v>
      </c>
      <c r="BV11" t="n">
        <v>196955831</v>
      </c>
      <c r="BW11" t="n">
        <v>81482047</v>
      </c>
      <c r="BX11" t="n">
        <v>366609000</v>
      </c>
      <c r="BY11" t="n">
        <v>260125000</v>
      </c>
      <c r="BZ11" t="n">
        <v>156647000</v>
      </c>
      <c r="CA11" t="n">
        <v>18507.5</v>
      </c>
      <c r="CB11" t="n">
        <v>21</v>
      </c>
      <c r="CC11" t="n">
        <v>2158352</v>
      </c>
      <c r="CD11" t="n">
        <v>30672588</v>
      </c>
      <c r="CE11" t="n">
        <v>-1</v>
      </c>
      <c r="CF11" t="n">
        <v>7.33235</v>
      </c>
      <c r="CG11" t="n">
        <v>7.33235</v>
      </c>
      <c r="CH11" t="n">
        <v>-163048</v>
      </c>
      <c r="CI11" t="n">
        <v>-7.33235</v>
      </c>
      <c r="CJ11" t="n">
        <v>0</v>
      </c>
      <c r="CK11" t="n">
        <v>0</v>
      </c>
      <c r="CL11" t="n">
        <v>22.42</v>
      </c>
      <c r="CM11" t="n">
        <v>-1</v>
      </c>
      <c r="CN11" t="n">
        <v>-1</v>
      </c>
      <c r="CO11" t="inlineStr">
        <is>
          <t>2096.5 MiB</t>
        </is>
      </c>
      <c r="CP11" t="n">
        <v>86.25</v>
      </c>
      <c r="CQ11" t="n">
        <v>54.7297</v>
      </c>
      <c r="CR11" t="n">
        <v>47.4845</v>
      </c>
      <c r="CS11" t="inlineStr">
        <is>
          <t>2096.5 MiB</t>
        </is>
      </c>
      <c r="CT11" t="n">
        <v>-1</v>
      </c>
      <c r="CU11" t="n">
        <v>21.92</v>
      </c>
      <c r="CV11" t="n">
        <v/>
      </c>
    </row>
    <row r="12">
      <c r="A12" t="inlineStr">
        <is>
          <t>hecate_25d_L17_int_10um_bump_fanin_12.xml</t>
        </is>
      </c>
      <c r="B12" t="inlineStr">
        <is>
          <t>dnnweaver.blif</t>
        </is>
      </c>
      <c r="C12" t="inlineStr">
        <is>
          <t>common</t>
        </is>
      </c>
      <c r="D12" t="n">
        <v>1991.09</v>
      </c>
      <c r="E12" t="inlineStr">
        <is>
          <t>vpr</t>
        </is>
      </c>
      <c r="F12" t="inlineStr">
        <is>
          <t>2.97 GiB</t>
        </is>
      </c>
      <c r="G12" t="n">
        <v/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8070</v>
      </c>
      <c r="T12" t="n">
        <v>1428</v>
      </c>
      <c r="U12" t="n">
        <v>1138</v>
      </c>
      <c r="V12" t="n">
        <v>-1</v>
      </c>
      <c r="W12" t="inlineStr">
        <is>
          <t>success</t>
        </is>
      </c>
      <c r="X12" t="inlineStr">
        <is>
          <t>v8.0.0-16070-ga8427fcd2f</t>
        </is>
      </c>
      <c r="Y12" t="inlineStr">
        <is>
          <t>release IPO VTR_ASSERT_LEVEL=2</t>
        </is>
      </c>
      <c r="Z12" t="inlineStr">
        <is>
          <t>GNU 13.3.0 on Linux-6.8.0-100-generic x86_64</t>
        </is>
      </c>
      <c r="AA12" t="inlineStr">
        <is>
          <t>2026-06-03T21:18:33</t>
        </is>
      </c>
      <c r="AB12" t="inlineStr">
        <is>
          <t>betzgrp-wintermute</t>
        </is>
      </c>
      <c r="AC12" t="inlineStr">
        <is>
          <t>/home/singera8/fpga-analytical-placement/testing/test_suites</t>
        </is>
      </c>
      <c r="AD12" t="n">
        <v>3109088</v>
      </c>
      <c r="AE12" t="n">
        <v>1428</v>
      </c>
      <c r="AF12" t="n">
        <v>2108</v>
      </c>
      <c r="AG12" t="n">
        <v>151826</v>
      </c>
      <c r="AH12" t="n">
        <v>138094</v>
      </c>
      <c r="AI12" t="n">
        <v>1</v>
      </c>
      <c r="AJ12" t="n">
        <v>112045</v>
      </c>
      <c r="AK12" t="n">
        <v>13311</v>
      </c>
      <c r="AL12" t="n">
        <v>129</v>
      </c>
      <c r="AM12" t="n">
        <v>129</v>
      </c>
      <c r="AN12" t="n">
        <v>16641</v>
      </c>
      <c r="AO12" t="inlineStr">
        <is>
          <t>memory</t>
        </is>
      </c>
      <c r="AP12" t="inlineStr">
        <is>
          <t>auto</t>
        </is>
      </c>
      <c r="AQ12" t="n">
        <v>-1</v>
      </c>
      <c r="AR12" t="n">
        <v>-1</v>
      </c>
      <c r="AS12" t="n">
        <v>2563030</v>
      </c>
      <c r="AT12" t="n">
        <v>1568038</v>
      </c>
      <c r="AU12" t="n">
        <v>19408074</v>
      </c>
      <c r="AV12" t="n">
        <v>4982649</v>
      </c>
      <c r="AW12" t="n">
        <v>13423689</v>
      </c>
      <c r="AX12" t="n">
        <v>1001736</v>
      </c>
      <c r="AY12" t="inlineStr">
        <is>
          <t>2724.9 MiB</t>
        </is>
      </c>
      <c r="AZ12" t="n">
        <v>1707.87</v>
      </c>
      <c r="BA12" t="n">
        <v>4.17</v>
      </c>
      <c r="BB12" t="n">
        <v>9.270619999999999</v>
      </c>
      <c r="BC12" t="n">
        <v>7.61646</v>
      </c>
      <c r="BD12" t="n">
        <v>-803187</v>
      </c>
      <c r="BE12" t="n">
        <v>-7.61646</v>
      </c>
      <c r="BF12" t="n">
        <v>7.61646</v>
      </c>
      <c r="BG12" t="n">
        <v>1.5</v>
      </c>
      <c r="BH12" t="n">
        <v>0.501507</v>
      </c>
      <c r="BI12" t="n">
        <v>0.438504</v>
      </c>
      <c r="BJ12" t="n">
        <v>66.67449999999999</v>
      </c>
      <c r="BK12" t="n">
        <v>57.0893</v>
      </c>
      <c r="BL12" t="inlineStr">
        <is>
          <t>2724.9 MiB</t>
        </is>
      </c>
      <c r="BM12" t="n">
        <v>1707.87</v>
      </c>
      <c r="BN12" t="inlineStr">
        <is>
          <t>2724.9 MiB</t>
        </is>
      </c>
      <c r="BO12" t="n">
        <v>951.1</v>
      </c>
      <c r="BP12" t="n">
        <v>2834079</v>
      </c>
      <c r="BQ12" t="n">
        <v>25.559</v>
      </c>
      <c r="BR12" t="n">
        <v>627438</v>
      </c>
      <c r="BS12" t="n">
        <v>5.65851</v>
      </c>
      <c r="BT12" t="n">
        <v>446308</v>
      </c>
      <c r="BU12" t="n">
        <v>989992</v>
      </c>
      <c r="BV12" t="n">
        <v>733893497</v>
      </c>
      <c r="BW12" t="n">
        <v>247813816</v>
      </c>
      <c r="BX12" t="n">
        <v>747635000</v>
      </c>
      <c r="BY12" t="n">
        <v>525742000</v>
      </c>
      <c r="BZ12" t="n">
        <v>311618000</v>
      </c>
      <c r="CA12" t="n">
        <v>18725.9</v>
      </c>
      <c r="CB12" t="n">
        <v>20</v>
      </c>
      <c r="CC12" t="n">
        <v>4284270</v>
      </c>
      <c r="CD12" t="n">
        <v>61006964</v>
      </c>
      <c r="CE12" t="n">
        <v>-1</v>
      </c>
      <c r="CF12" t="n">
        <v>9.249269999999999</v>
      </c>
      <c r="CG12" t="n">
        <v>9.249269999999999</v>
      </c>
      <c r="CH12" t="n">
        <v>-1046580</v>
      </c>
      <c r="CI12" t="n">
        <v>-9.249269999999999</v>
      </c>
      <c r="CJ12" t="n">
        <v>0</v>
      </c>
      <c r="CK12" t="n">
        <v>0</v>
      </c>
      <c r="CL12" t="n">
        <v>45.32</v>
      </c>
      <c r="CM12" t="n">
        <v>-1</v>
      </c>
      <c r="CN12" t="n">
        <v>-1</v>
      </c>
      <c r="CO12" t="inlineStr">
        <is>
          <t>2876.8 MiB</t>
        </is>
      </c>
      <c r="CP12" t="n">
        <v>259.27</v>
      </c>
      <c r="CQ12" t="n">
        <v>130.189</v>
      </c>
      <c r="CR12" t="n">
        <v>111.797</v>
      </c>
      <c r="CS12" t="inlineStr">
        <is>
          <t>2682.3 MiB</t>
        </is>
      </c>
      <c r="CT12" t="n">
        <v>-1</v>
      </c>
      <c r="CU12" t="n">
        <v>45.93</v>
      </c>
      <c r="CV12" t="n">
        <v/>
      </c>
    </row>
    <row r="13">
      <c r="A13" t="inlineStr">
        <is>
          <t>hecate_25d_L17_int_10um_bump_fanin_12.xml</t>
        </is>
      </c>
      <c r="B13" t="inlineStr">
        <is>
          <t>gemm_layer.blif</t>
        </is>
      </c>
      <c r="C13" t="inlineStr">
        <is>
          <t>common</t>
        </is>
      </c>
      <c r="D13" t="n">
        <v>5724.71</v>
      </c>
      <c r="E13" t="inlineStr">
        <is>
          <t>vpr</t>
        </is>
      </c>
      <c r="F13" t="inlineStr">
        <is>
          <t>6.13 GiB</t>
        </is>
      </c>
      <c r="G13" t="n">
        <v/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26227</v>
      </c>
      <c r="T13" t="n">
        <v>651</v>
      </c>
      <c r="U13" t="n">
        <v>0</v>
      </c>
      <c r="V13" t="n">
        <v>-1</v>
      </c>
      <c r="W13" t="inlineStr">
        <is>
          <t>success</t>
        </is>
      </c>
      <c r="X13" t="inlineStr">
        <is>
          <t>v8.0.0-16070-ga8427fcd2f</t>
        </is>
      </c>
      <c r="Y13" t="inlineStr">
        <is>
          <t>release IPO VTR_ASSERT_LEVEL=2</t>
        </is>
      </c>
      <c r="Z13" t="inlineStr">
        <is>
          <t>GNU 13.3.0 on Linux-6.8.0-100-generic x86_64</t>
        </is>
      </c>
      <c r="AA13" t="inlineStr">
        <is>
          <t>2026-06-03T21:18:33</t>
        </is>
      </c>
      <c r="AB13" t="inlineStr">
        <is>
          <t>betzgrp-wintermute</t>
        </is>
      </c>
      <c r="AC13" t="inlineStr">
        <is>
          <t>/home/singera8/fpga-analytical-placement/testing/test_suites</t>
        </is>
      </c>
      <c r="AD13" t="n">
        <v>6424700</v>
      </c>
      <c r="AE13" t="n">
        <v>651</v>
      </c>
      <c r="AF13" t="n">
        <v>1109</v>
      </c>
      <c r="AG13" t="n">
        <v>386778</v>
      </c>
      <c r="AH13" t="n">
        <v>384687</v>
      </c>
      <c r="AI13" t="n">
        <v>1</v>
      </c>
      <c r="AJ13" t="n">
        <v>228232</v>
      </c>
      <c r="AK13" t="n">
        <v>28276</v>
      </c>
      <c r="AL13" t="n">
        <v>175</v>
      </c>
      <c r="AM13" t="n">
        <v>175</v>
      </c>
      <c r="AN13" t="n">
        <v>30625</v>
      </c>
      <c r="AO13" t="inlineStr">
        <is>
          <t>clb</t>
        </is>
      </c>
      <c r="AP13" t="inlineStr">
        <is>
          <t>auto</t>
        </is>
      </c>
      <c r="AQ13" t="n">
        <v>-1</v>
      </c>
      <c r="AR13" t="n">
        <v>-1</v>
      </c>
      <c r="AS13" t="n">
        <v>8081060</v>
      </c>
      <c r="AT13" t="n">
        <v>2540672</v>
      </c>
      <c r="AU13" t="n">
        <v>41363092</v>
      </c>
      <c r="AV13" t="n">
        <v>11973306</v>
      </c>
      <c r="AW13" t="n">
        <v>28795392</v>
      </c>
      <c r="AX13" t="n">
        <v>594394</v>
      </c>
      <c r="AY13" t="inlineStr">
        <is>
          <t>6274.1 MiB</t>
        </is>
      </c>
      <c r="AZ13" t="n">
        <v>5440.12</v>
      </c>
      <c r="BA13" t="n">
        <v>65.81</v>
      </c>
      <c r="BB13" t="n">
        <v>25.0371</v>
      </c>
      <c r="BC13" t="n">
        <v>6.21332</v>
      </c>
      <c r="BD13" t="n">
        <v>-371994</v>
      </c>
      <c r="BE13" t="n">
        <v>-6.21332</v>
      </c>
      <c r="BF13" t="n">
        <v>6.21332</v>
      </c>
      <c r="BG13" t="n">
        <v>181.91</v>
      </c>
      <c r="BH13" t="n">
        <v>0.8864030000000001</v>
      </c>
      <c r="BI13" t="n">
        <v>0.734121</v>
      </c>
      <c r="BJ13" t="n">
        <v>90.26049999999999</v>
      </c>
      <c r="BK13" t="n">
        <v>75.64449999999999</v>
      </c>
      <c r="BL13" t="inlineStr">
        <is>
          <t>6274.1 MiB</t>
        </is>
      </c>
      <c r="BM13" t="n">
        <v>5440.12</v>
      </c>
      <c r="BN13" t="inlineStr">
        <is>
          <t>5480.5 MiB</t>
        </is>
      </c>
      <c r="BO13" t="n">
        <v>2902.27</v>
      </c>
      <c r="BP13" t="n">
        <v>4331941</v>
      </c>
      <c r="BQ13" t="n">
        <v>19.041</v>
      </c>
      <c r="BR13" t="n">
        <v>982017</v>
      </c>
      <c r="BS13" t="n">
        <v>4.31644</v>
      </c>
      <c r="BT13" t="n">
        <v>743116</v>
      </c>
      <c r="BU13" t="n">
        <v>2289465</v>
      </c>
      <c r="BV13" t="n">
        <v>510646645</v>
      </c>
      <c r="BW13" t="n">
        <v>194982752</v>
      </c>
      <c r="BX13" t="n">
        <v>1375640000</v>
      </c>
      <c r="BY13" t="n">
        <v>805180000</v>
      </c>
      <c r="BZ13" t="n">
        <v>571879000</v>
      </c>
      <c r="CA13" t="n">
        <v>18673.6</v>
      </c>
      <c r="CB13" t="n">
        <v>18</v>
      </c>
      <c r="CC13" t="n">
        <v>7867536</v>
      </c>
      <c r="CD13" t="n">
        <v>112668133</v>
      </c>
      <c r="CE13" t="n">
        <v>-1</v>
      </c>
      <c r="CF13" t="n">
        <v>7.8282</v>
      </c>
      <c r="CG13" t="n">
        <v>7.8282</v>
      </c>
      <c r="CH13" t="n">
        <v>-446791</v>
      </c>
      <c r="CI13" t="n">
        <v>-7.8282</v>
      </c>
      <c r="CJ13" t="n">
        <v>0</v>
      </c>
      <c r="CK13" t="n">
        <v>0</v>
      </c>
      <c r="CL13" t="n">
        <v>82.83</v>
      </c>
      <c r="CM13" t="n">
        <v>-1</v>
      </c>
      <c r="CN13" t="n">
        <v>-1</v>
      </c>
      <c r="CO13" t="inlineStr">
        <is>
          <t>6274.1 MiB</t>
        </is>
      </c>
      <c r="CP13" t="n">
        <v>231.59</v>
      </c>
      <c r="CQ13" t="n">
        <v>185.924</v>
      </c>
      <c r="CR13" t="n">
        <v>159.025</v>
      </c>
      <c r="CS13" t="inlineStr">
        <is>
          <t>6274.1 MiB</t>
        </is>
      </c>
      <c r="CT13" t="n">
        <v>-1</v>
      </c>
      <c r="CU13" t="n">
        <v>89.84</v>
      </c>
      <c r="CV13" t="n">
        <v/>
      </c>
    </row>
    <row r="14">
      <c r="A14" t="inlineStr">
        <is>
          <t>hecate_25d_L17_int_10um_bump_fanin_12.xml</t>
        </is>
      </c>
      <c r="B14" t="inlineStr">
        <is>
          <t>lstm.blif</t>
        </is>
      </c>
      <c r="C14" t="inlineStr">
        <is>
          <t>common</t>
        </is>
      </c>
      <c r="D14" t="n">
        <v>1027.83</v>
      </c>
      <c r="E14" t="inlineStr">
        <is>
          <t>vpr</t>
        </is>
      </c>
      <c r="F14" t="inlineStr">
        <is>
          <t>1.90 GiB</t>
        </is>
      </c>
      <c r="G14" t="n">
        <v/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6232</v>
      </c>
      <c r="T14" t="n">
        <v>2642</v>
      </c>
      <c r="U14" t="n">
        <v>303</v>
      </c>
      <c r="V14" t="n">
        <v>-1</v>
      </c>
      <c r="W14" t="inlineStr">
        <is>
          <t>success</t>
        </is>
      </c>
      <c r="X14" t="inlineStr">
        <is>
          <t>v8.0.0-16070-ga8427fcd2f</t>
        </is>
      </c>
      <c r="Y14" t="inlineStr">
        <is>
          <t>release IPO VTR_ASSERT_LEVEL=2</t>
        </is>
      </c>
      <c r="Z14" t="inlineStr">
        <is>
          <t>GNU 13.3.0 on Linux-6.8.0-100-generic x86_64</t>
        </is>
      </c>
      <c r="AA14" t="inlineStr">
        <is>
          <t>2026-06-03T21:18:33</t>
        </is>
      </c>
      <c r="AB14" t="inlineStr">
        <is>
          <t>betzgrp-wintermute</t>
        </is>
      </c>
      <c r="AC14" t="inlineStr">
        <is>
          <t>/home/singera8/fpga-analytical-placement/testing/test_suites</t>
        </is>
      </c>
      <c r="AD14" t="n">
        <v>1994776</v>
      </c>
      <c r="AE14" t="n">
        <v>2642</v>
      </c>
      <c r="AF14" t="n">
        <v>19</v>
      </c>
      <c r="AG14" t="n">
        <v>145014</v>
      </c>
      <c r="AH14" t="n">
        <v>135863</v>
      </c>
      <c r="AI14" t="n">
        <v>1</v>
      </c>
      <c r="AJ14" t="n">
        <v>94659</v>
      </c>
      <c r="AK14" t="n">
        <v>9530</v>
      </c>
      <c r="AL14" t="n">
        <v>87</v>
      </c>
      <c r="AM14" t="n">
        <v>87</v>
      </c>
      <c r="AN14" t="n">
        <v>7569</v>
      </c>
      <c r="AO14" t="inlineStr">
        <is>
          <t>clb</t>
        </is>
      </c>
      <c r="AP14" t="inlineStr">
        <is>
          <t>auto</t>
        </is>
      </c>
      <c r="AQ14" t="n">
        <v>-1</v>
      </c>
      <c r="AR14" t="n">
        <v>-1</v>
      </c>
      <c r="AS14" t="n">
        <v>1316430</v>
      </c>
      <c r="AT14" t="n">
        <v>823266</v>
      </c>
      <c r="AU14" t="n">
        <v>8189963</v>
      </c>
      <c r="AV14" t="n">
        <v>2029314</v>
      </c>
      <c r="AW14" t="n">
        <v>6082292</v>
      </c>
      <c r="AX14" t="n">
        <v>78357</v>
      </c>
      <c r="AY14" t="inlineStr">
        <is>
          <t>1948.0 MiB</t>
        </is>
      </c>
      <c r="AZ14" t="n">
        <v>855.13</v>
      </c>
      <c r="BA14" t="n">
        <v>2.34</v>
      </c>
      <c r="BB14" t="n">
        <v>10.2146</v>
      </c>
      <c r="BC14" t="n">
        <v>6.06425</v>
      </c>
      <c r="BD14" t="n">
        <v>-213349</v>
      </c>
      <c r="BE14" t="n">
        <v>-6.06425</v>
      </c>
      <c r="BF14" t="n">
        <v>6.06425</v>
      </c>
      <c r="BG14" t="n">
        <v>18.46</v>
      </c>
      <c r="BH14" t="n">
        <v>0.287847</v>
      </c>
      <c r="BI14" t="n">
        <v>0.257041</v>
      </c>
      <c r="BJ14" t="n">
        <v>26.1169</v>
      </c>
      <c r="BK14" t="n">
        <v>22.9096</v>
      </c>
      <c r="BL14" t="inlineStr">
        <is>
          <t>1948.0 MiB</t>
        </is>
      </c>
      <c r="BM14" t="n">
        <v>855.13</v>
      </c>
      <c r="BN14" t="inlineStr">
        <is>
          <t>1948.0 MiB</t>
        </is>
      </c>
      <c r="BO14" t="n">
        <v>470.96</v>
      </c>
      <c r="BP14" t="n">
        <v>1693352</v>
      </c>
      <c r="BQ14" t="n">
        <v>17.8905</v>
      </c>
      <c r="BR14" t="n">
        <v>405414</v>
      </c>
      <c r="BS14" t="n">
        <v>4.28325</v>
      </c>
      <c r="BT14" t="n">
        <v>342694</v>
      </c>
      <c r="BU14" t="n">
        <v>671731</v>
      </c>
      <c r="BV14" t="n">
        <v>436915475</v>
      </c>
      <c r="BW14" t="n">
        <v>164586979</v>
      </c>
      <c r="BX14" t="n">
        <v>334383000</v>
      </c>
      <c r="BY14" t="n">
        <v>300373000</v>
      </c>
      <c r="BZ14" t="n">
        <v>140369000</v>
      </c>
      <c r="CA14" t="n">
        <v>18545.2</v>
      </c>
      <c r="CB14" t="n">
        <v>18</v>
      </c>
      <c r="CC14" t="n">
        <v>1944528</v>
      </c>
      <c r="CD14" t="n">
        <v>27486814</v>
      </c>
      <c r="CE14" t="n">
        <v>-1</v>
      </c>
      <c r="CF14" t="n">
        <v>8.36496</v>
      </c>
      <c r="CG14" t="n">
        <v>8.36496</v>
      </c>
      <c r="CH14" t="n">
        <v>-299761</v>
      </c>
      <c r="CI14" t="n">
        <v>-8.36496</v>
      </c>
      <c r="CJ14" t="n">
        <v>0</v>
      </c>
      <c r="CK14" t="n">
        <v>0</v>
      </c>
      <c r="CL14" t="n">
        <v>19.28</v>
      </c>
      <c r="CM14" t="n">
        <v>-1</v>
      </c>
      <c r="CN14" t="n">
        <v>-1</v>
      </c>
      <c r="CO14" t="inlineStr">
        <is>
          <t>1948.0 MiB</t>
        </is>
      </c>
      <c r="CP14" t="n">
        <v>156.18</v>
      </c>
      <c r="CQ14" t="n">
        <v>64.7345</v>
      </c>
      <c r="CR14" t="n">
        <v>57.425</v>
      </c>
      <c r="CS14" t="inlineStr">
        <is>
          <t>1948.0 MiB</t>
        </is>
      </c>
      <c r="CT14" t="n">
        <v>-1</v>
      </c>
      <c r="CU14" t="n">
        <v>17.83</v>
      </c>
      <c r="CV14" t="n">
        <v/>
      </c>
    </row>
    <row r="15">
      <c r="A15" t="inlineStr">
        <is>
          <t>hecate_25d_L17_int_10um_bump_fanin_12.xml</t>
        </is>
      </c>
      <c r="B15" t="inlineStr">
        <is>
          <t>proxy.5.blif</t>
        </is>
      </c>
      <c r="C15" t="inlineStr">
        <is>
          <t>common</t>
        </is>
      </c>
      <c r="D15" t="n">
        <v>1214.26</v>
      </c>
      <c r="E15" t="inlineStr">
        <is>
          <t>vpr</t>
        </is>
      </c>
      <c r="F15" t="inlineStr">
        <is>
          <t>1.57 GiB</t>
        </is>
      </c>
      <c r="G15" t="n">
        <v/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5463</v>
      </c>
      <c r="T15" t="n">
        <v>459</v>
      </c>
      <c r="U15" t="n">
        <v>176</v>
      </c>
      <c r="V15" t="n">
        <v>-1</v>
      </c>
      <c r="W15" t="inlineStr">
        <is>
          <t>success</t>
        </is>
      </c>
      <c r="X15" t="inlineStr">
        <is>
          <t>v8.0.0-16070-ga8427fcd2f</t>
        </is>
      </c>
      <c r="Y15" t="inlineStr">
        <is>
          <t>release IPO VTR_ASSERT_LEVEL=2</t>
        </is>
      </c>
      <c r="Z15" t="inlineStr">
        <is>
          <t>GNU 13.3.0 on Linux-6.8.0-100-generic x86_64</t>
        </is>
      </c>
      <c r="AA15" t="inlineStr">
        <is>
          <t>2026-06-03T21:18:33</t>
        </is>
      </c>
      <c r="AB15" t="inlineStr">
        <is>
          <t>betzgrp-wintermute</t>
        </is>
      </c>
      <c r="AC15" t="inlineStr">
        <is>
          <t>/home/singera8/fpga-analytical-placement/testing/test_suites</t>
        </is>
      </c>
      <c r="AD15" t="n">
        <v>1641848</v>
      </c>
      <c r="AE15" t="n">
        <v>459</v>
      </c>
      <c r="AF15" t="n">
        <v>320</v>
      </c>
      <c r="AG15" t="n">
        <v>114765</v>
      </c>
      <c r="AH15" t="n">
        <v>105021</v>
      </c>
      <c r="AI15" t="n">
        <v>1</v>
      </c>
      <c r="AJ15" t="n">
        <v>67156</v>
      </c>
      <c r="AK15" t="n">
        <v>6727</v>
      </c>
      <c r="AL15" t="n">
        <v>82</v>
      </c>
      <c r="AM15" t="n">
        <v>82</v>
      </c>
      <c r="AN15" t="n">
        <v>6724</v>
      </c>
      <c r="AO15" t="inlineStr">
        <is>
          <t>clb</t>
        </is>
      </c>
      <c r="AP15" t="inlineStr">
        <is>
          <t>auto</t>
        </is>
      </c>
      <c r="AQ15" t="n">
        <v>-1</v>
      </c>
      <c r="AR15" t="n">
        <v>-1</v>
      </c>
      <c r="AS15" t="n">
        <v>1139320</v>
      </c>
      <c r="AT15" t="n">
        <v>609766</v>
      </c>
      <c r="AU15" t="n">
        <v>5275152</v>
      </c>
      <c r="AV15" t="n">
        <v>1389323</v>
      </c>
      <c r="AW15" t="n">
        <v>3849878</v>
      </c>
      <c r="AX15" t="n">
        <v>35951</v>
      </c>
      <c r="AY15" t="inlineStr">
        <is>
          <t>1603.4 MiB</t>
        </is>
      </c>
      <c r="AZ15" t="n">
        <v>1117.47</v>
      </c>
      <c r="BA15" t="n">
        <v>1.58</v>
      </c>
      <c r="BB15" t="n">
        <v>10.342</v>
      </c>
      <c r="BC15" t="n">
        <v>5.83042</v>
      </c>
      <c r="BD15" t="n">
        <v>-141738</v>
      </c>
      <c r="BE15" t="n">
        <v>-5.83042</v>
      </c>
      <c r="BF15" t="n">
        <v>5.83042</v>
      </c>
      <c r="BG15" t="n">
        <v>17.81</v>
      </c>
      <c r="BH15" t="n">
        <v>0.194998</v>
      </c>
      <c r="BI15" t="n">
        <v>0.173203</v>
      </c>
      <c r="BJ15" t="n">
        <v>18.6163</v>
      </c>
      <c r="BK15" t="n">
        <v>16.1629</v>
      </c>
      <c r="BL15" t="inlineStr">
        <is>
          <t>1603.4 MiB</t>
        </is>
      </c>
      <c r="BM15" t="n">
        <v>1117.47</v>
      </c>
      <c r="BN15" t="inlineStr">
        <is>
          <t>1603.4 MiB</t>
        </is>
      </c>
      <c r="BO15" t="n">
        <v>823.15</v>
      </c>
      <c r="BP15" t="n">
        <v>1163873</v>
      </c>
      <c r="BQ15" t="n">
        <v>17.3314</v>
      </c>
      <c r="BR15" t="n">
        <v>279381</v>
      </c>
      <c r="BS15" t="n">
        <v>4.1603</v>
      </c>
      <c r="BT15" t="n">
        <v>227290</v>
      </c>
      <c r="BU15" t="n">
        <v>514872</v>
      </c>
      <c r="BV15" t="n">
        <v>219159780</v>
      </c>
      <c r="BW15" t="n">
        <v>83909938</v>
      </c>
      <c r="BX15" t="n">
        <v>303551000</v>
      </c>
      <c r="BY15" t="n">
        <v>255087000</v>
      </c>
      <c r="BZ15" t="n">
        <v>124989000</v>
      </c>
      <c r="CA15" t="n">
        <v>18588.5</v>
      </c>
      <c r="CB15" t="n">
        <v>16</v>
      </c>
      <c r="CC15" t="n">
        <v>1741808</v>
      </c>
      <c r="CD15" t="n">
        <v>24477117</v>
      </c>
      <c r="CE15" t="n">
        <v>-1</v>
      </c>
      <c r="CF15" t="n">
        <v>6.37255</v>
      </c>
      <c r="CG15" t="n">
        <v>6.37255</v>
      </c>
      <c r="CH15" t="n">
        <v>-169193</v>
      </c>
      <c r="CI15" t="n">
        <v>-6.37255</v>
      </c>
      <c r="CJ15" t="n">
        <v>0</v>
      </c>
      <c r="CK15" t="n">
        <v>0</v>
      </c>
      <c r="CL15" t="n">
        <v>18.02</v>
      </c>
      <c r="CM15" t="n">
        <v>-1</v>
      </c>
      <c r="CN15" t="n">
        <v>-1</v>
      </c>
      <c r="CO15" t="inlineStr">
        <is>
          <t>1603.4 MiB</t>
        </is>
      </c>
      <c r="CP15" t="n">
        <v>84.06999999999999</v>
      </c>
      <c r="CQ15" t="n">
        <v>47.2123</v>
      </c>
      <c r="CR15" t="n">
        <v>41.9257</v>
      </c>
      <c r="CS15" t="inlineStr">
        <is>
          <t>1603.4 MiB</t>
        </is>
      </c>
      <c r="CT15" t="n">
        <v>-1</v>
      </c>
      <c r="CU15" t="n">
        <v>17.18</v>
      </c>
      <c r="CV15" t="n">
        <v/>
      </c>
    </row>
    <row r="16">
      <c r="A16" t="inlineStr">
        <is>
          <t>hecate_25d_L17_int_10um_bump_fanin_12.xml</t>
        </is>
      </c>
      <c r="B16" t="inlineStr">
        <is>
          <t>proxy.7.blif</t>
        </is>
      </c>
      <c r="C16" t="inlineStr">
        <is>
          <t>common</t>
        </is>
      </c>
      <c r="D16" t="n">
        <v>3345.91</v>
      </c>
      <c r="E16" t="inlineStr">
        <is>
          <t>vpr</t>
        </is>
      </c>
      <c r="F16" t="inlineStr">
        <is>
          <t>4.15 GiB</t>
        </is>
      </c>
      <c r="G16" t="n">
        <v/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15915</v>
      </c>
      <c r="T16" t="n">
        <v>354</v>
      </c>
      <c r="U16" t="n">
        <v>492</v>
      </c>
      <c r="V16" t="n">
        <v>-1</v>
      </c>
      <c r="W16" t="inlineStr">
        <is>
          <t>success</t>
        </is>
      </c>
      <c r="X16" t="inlineStr">
        <is>
          <t>v8.0.0-16070-ga8427fcd2f</t>
        </is>
      </c>
      <c r="Y16" t="inlineStr">
        <is>
          <t>release IPO VTR_ASSERT_LEVEL=2</t>
        </is>
      </c>
      <c r="Z16" t="inlineStr">
        <is>
          <t>GNU 13.3.0 on Linux-6.8.0-100-generic x86_64</t>
        </is>
      </c>
      <c r="AA16" t="inlineStr">
        <is>
          <t>2026-06-03T21:18:33</t>
        </is>
      </c>
      <c r="AB16" t="inlineStr">
        <is>
          <t>betzgrp-wintermute</t>
        </is>
      </c>
      <c r="AC16" t="inlineStr">
        <is>
          <t>/home/singera8/fpga-analytical-placement/testing/test_suites</t>
        </is>
      </c>
      <c r="AD16" t="n">
        <v>4354824</v>
      </c>
      <c r="AE16" t="n">
        <v>354</v>
      </c>
      <c r="AF16" t="n">
        <v>144</v>
      </c>
      <c r="AG16" t="n">
        <v>289881</v>
      </c>
      <c r="AH16" t="n">
        <v>277953</v>
      </c>
      <c r="AI16" t="n">
        <v>1</v>
      </c>
      <c r="AJ16" t="n">
        <v>171572</v>
      </c>
      <c r="AK16" t="n">
        <v>17332</v>
      </c>
      <c r="AL16" t="n">
        <v>137</v>
      </c>
      <c r="AM16" t="n">
        <v>137</v>
      </c>
      <c r="AN16" t="n">
        <v>18769</v>
      </c>
      <c r="AO16" t="inlineStr">
        <is>
          <t>clb</t>
        </is>
      </c>
      <c r="AP16" t="inlineStr">
        <is>
          <t>auto</t>
        </is>
      </c>
      <c r="AQ16" t="n">
        <v>-1</v>
      </c>
      <c r="AR16" t="n">
        <v>-1</v>
      </c>
      <c r="AS16" t="n">
        <v>4519590</v>
      </c>
      <c r="AT16" t="n">
        <v>1754774</v>
      </c>
      <c r="AU16" t="n">
        <v>20867467</v>
      </c>
      <c r="AV16" t="n">
        <v>6016727</v>
      </c>
      <c r="AW16" t="n">
        <v>14772949</v>
      </c>
      <c r="AX16" t="n">
        <v>77791</v>
      </c>
      <c r="AY16" t="inlineStr">
        <is>
          <t>4252.8 MiB</t>
        </is>
      </c>
      <c r="AZ16" t="n">
        <v>3118.47</v>
      </c>
      <c r="BA16" t="n">
        <v>8.18</v>
      </c>
      <c r="BB16" t="n">
        <v>14.4054</v>
      </c>
      <c r="BC16" t="n">
        <v>5.77443</v>
      </c>
      <c r="BD16" t="n">
        <v>-341333</v>
      </c>
      <c r="BE16" t="n">
        <v>-5.77443</v>
      </c>
      <c r="BF16" t="n">
        <v>5.77443</v>
      </c>
      <c r="BG16" t="n">
        <v>113.23</v>
      </c>
      <c r="BH16" t="n">
        <v>0.608088</v>
      </c>
      <c r="BI16" t="n">
        <v>0.541512</v>
      </c>
      <c r="BJ16" t="n">
        <v>63.1727</v>
      </c>
      <c r="BK16" t="n">
        <v>54.5123</v>
      </c>
      <c r="BL16" t="inlineStr">
        <is>
          <t>4252.8 MiB</t>
        </is>
      </c>
      <c r="BM16" t="n">
        <v>3118.47</v>
      </c>
      <c r="BN16" t="inlineStr">
        <is>
          <t>3942.7 MiB</t>
        </is>
      </c>
      <c r="BO16" t="n">
        <v>1766.63</v>
      </c>
      <c r="BP16" t="n">
        <v>3168249</v>
      </c>
      <c r="BQ16" t="n">
        <v>18.4663</v>
      </c>
      <c r="BR16" t="n">
        <v>741431</v>
      </c>
      <c r="BS16" t="n">
        <v>4.32147</v>
      </c>
      <c r="BT16" t="n">
        <v>548421</v>
      </c>
      <c r="BU16" t="n">
        <v>1492382</v>
      </c>
      <c r="BV16" t="n">
        <v>454482353</v>
      </c>
      <c r="BW16" t="n">
        <v>171581622</v>
      </c>
      <c r="BX16" t="n">
        <v>839684000</v>
      </c>
      <c r="BY16" t="n">
        <v>620187000</v>
      </c>
      <c r="BZ16" t="n">
        <v>351073000</v>
      </c>
      <c r="CA16" t="n">
        <v>18704.9</v>
      </c>
      <c r="CB16" t="n">
        <v>20</v>
      </c>
      <c r="CC16" t="n">
        <v>4810836</v>
      </c>
      <c r="CD16" t="n">
        <v>68807631</v>
      </c>
      <c r="CE16" t="n">
        <v>-1</v>
      </c>
      <c r="CF16" t="n">
        <v>6.52827</v>
      </c>
      <c r="CG16" t="n">
        <v>6.52827</v>
      </c>
      <c r="CH16" t="n">
        <v>-413118</v>
      </c>
      <c r="CI16" t="n">
        <v>-6.52827</v>
      </c>
      <c r="CJ16" t="n">
        <v>0</v>
      </c>
      <c r="CK16" t="n">
        <v>0</v>
      </c>
      <c r="CL16" t="n">
        <v>50.49</v>
      </c>
      <c r="CM16" t="n">
        <v>-1</v>
      </c>
      <c r="CN16" t="n">
        <v>-1</v>
      </c>
      <c r="CO16" t="inlineStr">
        <is>
          <t>4252.8 MiB</t>
        </is>
      </c>
      <c r="CP16" t="n">
        <v>190.17</v>
      </c>
      <c r="CQ16" t="n">
        <v>134.77</v>
      </c>
      <c r="CR16" t="n">
        <v>117.779</v>
      </c>
      <c r="CS16" t="inlineStr">
        <is>
          <t>4252.8 MiB</t>
        </is>
      </c>
      <c r="CT16" t="n">
        <v>-1</v>
      </c>
      <c r="CU16" t="n">
        <v>57.18</v>
      </c>
      <c r="CV16" t="n">
        <v/>
      </c>
    </row>
    <row r="17">
      <c r="A17" t="inlineStr">
        <is>
          <t>hecate_25d_L17_int_10um_bump_fanin_12.xml</t>
        </is>
      </c>
      <c r="B17" t="inlineStr">
        <is>
          <t>tdarknet_like.large.blif</t>
        </is>
      </c>
      <c r="C17" t="inlineStr">
        <is>
          <t>common</t>
        </is>
      </c>
      <c r="D17" t="n">
        <v>198.56</v>
      </c>
      <c r="E17" t="inlineStr">
        <is>
          <t>vpr</t>
        </is>
      </c>
      <c r="F17" t="inlineStr">
        <is>
          <t>1.07 GiB</t>
        </is>
      </c>
      <c r="G17" t="n">
        <v/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1192</v>
      </c>
      <c r="T17" t="n">
        <v>21</v>
      </c>
      <c r="U17" t="n">
        <v>518</v>
      </c>
      <c r="V17" t="n">
        <v>-1</v>
      </c>
      <c r="W17" t="inlineStr">
        <is>
          <t>success</t>
        </is>
      </c>
      <c r="X17" t="inlineStr">
        <is>
          <t>v8.0.0-16070-ga8427fcd2f</t>
        </is>
      </c>
      <c r="Y17" t="inlineStr">
        <is>
          <t>release IPO VTR_ASSERT_LEVEL=2</t>
        </is>
      </c>
      <c r="Z17" t="inlineStr">
        <is>
          <t>GNU 13.3.0 on Linux-6.8.0-100-generic x86_64</t>
        </is>
      </c>
      <c r="AA17" t="inlineStr">
        <is>
          <t>2026-06-03T21:18:33</t>
        </is>
      </c>
      <c r="AB17" t="inlineStr">
        <is>
          <t>betzgrp-wintermute</t>
        </is>
      </c>
      <c r="AC17" t="inlineStr">
        <is>
          <t>/home/singera8/fpga-analytical-placement/testing/test_suites</t>
        </is>
      </c>
      <c r="AD17" t="n">
        <v>1119472</v>
      </c>
      <c r="AE17" t="n">
        <v>21</v>
      </c>
      <c r="AF17" t="n">
        <v>26</v>
      </c>
      <c r="AG17" t="n">
        <v>23610</v>
      </c>
      <c r="AH17" t="n">
        <v>23361</v>
      </c>
      <c r="AI17" t="n">
        <v>1</v>
      </c>
      <c r="AJ17" t="n">
        <v>14322</v>
      </c>
      <c r="AK17" t="n">
        <v>1761</v>
      </c>
      <c r="AL17" t="n">
        <v>89</v>
      </c>
      <c r="AM17" t="n">
        <v>89</v>
      </c>
      <c r="AN17" t="n">
        <v>7921</v>
      </c>
      <c r="AO17" t="inlineStr">
        <is>
          <t>memory</t>
        </is>
      </c>
      <c r="AP17" t="inlineStr">
        <is>
          <t>auto</t>
        </is>
      </c>
      <c r="AQ17" t="n">
        <v>-1</v>
      </c>
      <c r="AR17" t="n">
        <v>-1</v>
      </c>
      <c r="AS17" t="n">
        <v>207394</v>
      </c>
      <c r="AT17" t="n">
        <v>161816</v>
      </c>
      <c r="AU17" t="n">
        <v>841531</v>
      </c>
      <c r="AV17" t="n">
        <v>206400</v>
      </c>
      <c r="AW17" t="n">
        <v>613273</v>
      </c>
      <c r="AX17" t="n">
        <v>21858</v>
      </c>
      <c r="AY17" t="inlineStr">
        <is>
          <t>1093.2 MiB</t>
        </is>
      </c>
      <c r="AZ17" t="n">
        <v>170.16</v>
      </c>
      <c r="BA17" t="n">
        <v>0.24</v>
      </c>
      <c r="BB17" t="n">
        <v>8.157439999999999</v>
      </c>
      <c r="BC17" t="n">
        <v>6.83549</v>
      </c>
      <c r="BD17" t="n">
        <v>-242442</v>
      </c>
      <c r="BE17" t="n">
        <v>-6.83549</v>
      </c>
      <c r="BF17" t="n">
        <v>6.83549</v>
      </c>
      <c r="BG17" t="n">
        <v>0.93</v>
      </c>
      <c r="BH17" t="n">
        <v>0.102497</v>
      </c>
      <c r="BI17" t="n">
        <v>0.0876019</v>
      </c>
      <c r="BJ17" t="n">
        <v>9.0382</v>
      </c>
      <c r="BK17" t="n">
        <v>7.53883</v>
      </c>
      <c r="BL17" t="inlineStr">
        <is>
          <t>1093.2 MiB</t>
        </is>
      </c>
      <c r="BM17" t="n">
        <v>170.16</v>
      </c>
      <c r="BN17" t="inlineStr">
        <is>
          <t>1093.2 MiB</t>
        </is>
      </c>
      <c r="BO17" t="n">
        <v>87.23</v>
      </c>
      <c r="BP17" t="n">
        <v>351990</v>
      </c>
      <c r="BQ17" t="n">
        <v>24.9497</v>
      </c>
      <c r="BR17" t="n">
        <v>83741</v>
      </c>
      <c r="BS17" t="n">
        <v>5.93571</v>
      </c>
      <c r="BT17" t="n">
        <v>40318</v>
      </c>
      <c r="BU17" t="n">
        <v>117278</v>
      </c>
      <c r="BV17" t="n">
        <v>52677663</v>
      </c>
      <c r="BW17" t="n">
        <v>20115008</v>
      </c>
      <c r="BX17" t="n">
        <v>347106000</v>
      </c>
      <c r="BY17" t="n">
        <v>105589000</v>
      </c>
      <c r="BZ17" t="n">
        <v>146766000</v>
      </c>
      <c r="CA17" t="n">
        <v>18528.8</v>
      </c>
      <c r="CB17" t="n">
        <v>18</v>
      </c>
      <c r="CC17" t="n">
        <v>2028708</v>
      </c>
      <c r="CD17" t="n">
        <v>28738997</v>
      </c>
      <c r="CE17" t="n">
        <v>-1</v>
      </c>
      <c r="CF17" t="n">
        <v>7.61768</v>
      </c>
      <c r="CG17" t="n">
        <v>7.61768</v>
      </c>
      <c r="CH17" t="n">
        <v>-311755</v>
      </c>
      <c r="CI17" t="n">
        <v>-7.61768</v>
      </c>
      <c r="CJ17" t="n">
        <v>0</v>
      </c>
      <c r="CK17" t="n">
        <v>0</v>
      </c>
      <c r="CL17" t="n">
        <v>20.75</v>
      </c>
      <c r="CM17" t="n">
        <v>-1</v>
      </c>
      <c r="CN17" t="n">
        <v>-1</v>
      </c>
      <c r="CO17" t="inlineStr">
        <is>
          <t>1093.2 MiB</t>
        </is>
      </c>
      <c r="CP17" t="n">
        <v>23.71</v>
      </c>
      <c r="CQ17" t="n">
        <v>21.2535</v>
      </c>
      <c r="CR17" t="n">
        <v>17.7949</v>
      </c>
      <c r="CS17" t="inlineStr">
        <is>
          <t>1093.2 MiB</t>
        </is>
      </c>
      <c r="CT17" t="n">
        <v>-1</v>
      </c>
      <c r="CU17" t="n">
        <v>20.62</v>
      </c>
      <c r="CV17" t="n">
        <v/>
      </c>
    </row>
    <row r="18">
      <c r="A18" t="inlineStr">
        <is>
          <t>hecate_25d_L17_int_10um_bump_fanin_12.xml</t>
        </is>
      </c>
      <c r="B18" t="inlineStr">
        <is>
          <t>tdarknet_like.small.blif</t>
        </is>
      </c>
      <c r="C18" t="inlineStr">
        <is>
          <t>common</t>
        </is>
      </c>
      <c r="D18" t="n">
        <v>1239.86</v>
      </c>
      <c r="E18" t="inlineStr">
        <is>
          <t>vpr</t>
        </is>
      </c>
      <c r="F18" t="inlineStr">
        <is>
          <t>5.48 GiB</t>
        </is>
      </c>
      <c r="G18" t="n">
        <v/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5897</v>
      </c>
      <c r="T18" t="n">
        <v>21</v>
      </c>
      <c r="U18" t="n">
        <v>3056</v>
      </c>
      <c r="V18" t="n">
        <v>-1</v>
      </c>
      <c r="W18" t="inlineStr">
        <is>
          <t>success</t>
        </is>
      </c>
      <c r="X18" t="inlineStr">
        <is>
          <t>v8.0.0-16070-ga8427fcd2f</t>
        </is>
      </c>
      <c r="Y18" t="inlineStr">
        <is>
          <t>release IPO VTR_ASSERT_LEVEL=2</t>
        </is>
      </c>
      <c r="Z18" t="inlineStr">
        <is>
          <t>GNU 13.3.0 on Linux-6.8.0-100-generic x86_64</t>
        </is>
      </c>
      <c r="AA18" t="inlineStr">
        <is>
          <t>2026-06-03T21:18:33</t>
        </is>
      </c>
      <c r="AB18" t="inlineStr">
        <is>
          <t>betzgrp-wintermute</t>
        </is>
      </c>
      <c r="AC18" t="inlineStr">
        <is>
          <t>/home/singera8/fpga-analytical-placement/testing/test_suites</t>
        </is>
      </c>
      <c r="AD18" t="n">
        <v>5747352</v>
      </c>
      <c r="AE18" t="n">
        <v>21</v>
      </c>
      <c r="AF18" t="n">
        <v>26</v>
      </c>
      <c r="AG18" t="n">
        <v>106170</v>
      </c>
      <c r="AH18" t="n">
        <v>105400</v>
      </c>
      <c r="AI18" t="n">
        <v>1</v>
      </c>
      <c r="AJ18" t="n">
        <v>71693</v>
      </c>
      <c r="AK18" t="n">
        <v>9017</v>
      </c>
      <c r="AL18" t="n">
        <v>206</v>
      </c>
      <c r="AM18" t="n">
        <v>206</v>
      </c>
      <c r="AN18" t="n">
        <v>42436</v>
      </c>
      <c r="AO18" t="inlineStr">
        <is>
          <t>memory</t>
        </is>
      </c>
      <c r="AP18" t="inlineStr">
        <is>
          <t>auto</t>
        </is>
      </c>
      <c r="AQ18" t="n">
        <v>-1</v>
      </c>
      <c r="AR18" t="n">
        <v>-1</v>
      </c>
      <c r="AS18" t="n">
        <v>1682940</v>
      </c>
      <c r="AT18" t="n">
        <v>974304</v>
      </c>
      <c r="AU18" t="n">
        <v>12485880</v>
      </c>
      <c r="AV18" t="n">
        <v>3710443</v>
      </c>
      <c r="AW18" t="n">
        <v>8385650</v>
      </c>
      <c r="AX18" t="n">
        <v>389787</v>
      </c>
      <c r="AY18" t="inlineStr">
        <is>
          <t>5612.6 MiB</t>
        </is>
      </c>
      <c r="AZ18" t="n">
        <v>1127.5</v>
      </c>
      <c r="BA18" t="n">
        <v>2.39</v>
      </c>
      <c r="BB18" t="n">
        <v>7.23211</v>
      </c>
      <c r="BC18" t="n">
        <v>6.51476</v>
      </c>
      <c r="BD18" t="n">
        <v>-542018</v>
      </c>
      <c r="BE18" t="n">
        <v>-6.51476</v>
      </c>
      <c r="BF18" t="n">
        <v>6.51476</v>
      </c>
      <c r="BG18" t="n">
        <v>3.67</v>
      </c>
      <c r="BH18" t="n">
        <v>0.534597</v>
      </c>
      <c r="BI18" t="n">
        <v>0.451217</v>
      </c>
      <c r="BJ18" t="n">
        <v>75.96550000000001</v>
      </c>
      <c r="BK18" t="n">
        <v>61.574</v>
      </c>
      <c r="BL18" t="inlineStr">
        <is>
          <t>5612.6 MiB</t>
        </is>
      </c>
      <c r="BM18" t="n">
        <v>1127.5</v>
      </c>
      <c r="BN18" t="inlineStr">
        <is>
          <t>5612.6 MiB</t>
        </is>
      </c>
      <c r="BO18" t="n">
        <v>407.51</v>
      </c>
      <c r="BP18" t="n">
        <v>1697747</v>
      </c>
      <c r="BQ18" t="n">
        <v>24.3074</v>
      </c>
      <c r="BR18" t="n">
        <v>393053</v>
      </c>
      <c r="BS18" t="n">
        <v>5.6275</v>
      </c>
      <c r="BT18" t="n">
        <v>160949</v>
      </c>
      <c r="BU18" t="n">
        <v>442031</v>
      </c>
      <c r="BV18" t="n">
        <v>181830495</v>
      </c>
      <c r="BW18" t="n">
        <v>67076276</v>
      </c>
      <c r="BX18" t="n">
        <v>1958030000</v>
      </c>
      <c r="BY18" t="n">
        <v>589567000</v>
      </c>
      <c r="BZ18" t="n">
        <v>794823000</v>
      </c>
      <c r="CA18" t="n">
        <v>18729.9</v>
      </c>
      <c r="CB18" t="n">
        <v>18</v>
      </c>
      <c r="CC18" t="n">
        <v>10996716</v>
      </c>
      <c r="CD18" t="n">
        <v>157061998</v>
      </c>
      <c r="CE18" t="n">
        <v>-1</v>
      </c>
      <c r="CF18" t="n">
        <v>7.82876</v>
      </c>
      <c r="CG18" t="n">
        <v>7.82876</v>
      </c>
      <c r="CH18" t="n">
        <v>-798863</v>
      </c>
      <c r="CI18" t="n">
        <v>-7.82876</v>
      </c>
      <c r="CJ18" t="n">
        <v>0</v>
      </c>
      <c r="CK18" t="n">
        <v>0</v>
      </c>
      <c r="CL18" t="n">
        <v>122.27</v>
      </c>
      <c r="CM18" t="n">
        <v>-1</v>
      </c>
      <c r="CN18" t="n">
        <v>-1</v>
      </c>
      <c r="CO18" t="inlineStr">
        <is>
          <t>5612.6 MiB</t>
        </is>
      </c>
      <c r="CP18" t="n">
        <v>88.31999999999999</v>
      </c>
      <c r="CQ18" t="n">
        <v>138.369</v>
      </c>
      <c r="CR18" t="n">
        <v>113.959</v>
      </c>
      <c r="CS18" t="inlineStr">
        <is>
          <t>5612.6 MiB</t>
        </is>
      </c>
      <c r="CT18" t="n">
        <v>-1</v>
      </c>
      <c r="CU18" t="n">
        <v>134.71</v>
      </c>
      <c r="CV18" t="n">
        <v/>
      </c>
    </row>
    <row r="19">
      <c r="A19" t="inlineStr">
        <is>
          <t>hecate_25d_L17_int_10um_bump_fanin_12.xml</t>
        </is>
      </c>
      <c r="B19" t="inlineStr">
        <is>
          <t>tpu_like.large.os.blif</t>
        </is>
      </c>
      <c r="C19" t="inlineStr">
        <is>
          <t>common</t>
        </is>
      </c>
      <c r="D19" t="n">
        <v>1570.91</v>
      </c>
      <c r="E19" t="inlineStr">
        <is>
          <t>vpr</t>
        </is>
      </c>
      <c r="F19" t="inlineStr">
        <is>
          <t>3.65 GiB</t>
        </is>
      </c>
      <c r="G19" t="n">
        <v/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7395</v>
      </c>
      <c r="T19" t="n">
        <v>643</v>
      </c>
      <c r="U19" t="n">
        <v>64</v>
      </c>
      <c r="V19" t="n">
        <v>-1</v>
      </c>
      <c r="W19" t="inlineStr">
        <is>
          <t>success</t>
        </is>
      </c>
      <c r="X19" t="inlineStr">
        <is>
          <t>v8.0.0-16070-ga8427fcd2f</t>
        </is>
      </c>
      <c r="Y19" t="inlineStr">
        <is>
          <t>release IPO VTR_ASSERT_LEVEL=2</t>
        </is>
      </c>
      <c r="Z19" t="inlineStr">
        <is>
          <t>GNU 13.3.0 on Linux-6.8.0-100-generic x86_64</t>
        </is>
      </c>
      <c r="AA19" t="inlineStr">
        <is>
          <t>2026-06-03T21:18:33</t>
        </is>
      </c>
      <c r="AB19" t="inlineStr">
        <is>
          <t>betzgrp-wintermute</t>
        </is>
      </c>
      <c r="AC19" t="inlineStr">
        <is>
          <t>/home/singera8/fpga-analytical-placement/testing/test_suites</t>
        </is>
      </c>
      <c r="AD19" t="n">
        <v>3823356</v>
      </c>
      <c r="AE19" t="n">
        <v>643</v>
      </c>
      <c r="AF19" t="n">
        <v>545</v>
      </c>
      <c r="AG19" t="n">
        <v>168120</v>
      </c>
      <c r="AH19" t="n">
        <v>152345</v>
      </c>
      <c r="AI19" t="n">
        <v>2</v>
      </c>
      <c r="AJ19" t="n">
        <v>98482</v>
      </c>
      <c r="AK19" t="n">
        <v>9713</v>
      </c>
      <c r="AL19" t="n">
        <v>155</v>
      </c>
      <c r="AM19" t="n">
        <v>155</v>
      </c>
      <c r="AN19" t="n">
        <v>24025</v>
      </c>
      <c r="AO19" t="inlineStr">
        <is>
          <t>dsp_top</t>
        </is>
      </c>
      <c r="AP19" t="inlineStr">
        <is>
          <t>auto</t>
        </is>
      </c>
      <c r="AQ19" t="n">
        <v>-1</v>
      </c>
      <c r="AR19" t="n">
        <v>-1</v>
      </c>
      <c r="AS19" t="n">
        <v>2246890</v>
      </c>
      <c r="AT19" t="n">
        <v>1178399</v>
      </c>
      <c r="AU19" t="n">
        <v>8918195</v>
      </c>
      <c r="AV19" t="n">
        <v>2496759</v>
      </c>
      <c r="AW19" t="n">
        <v>6373131</v>
      </c>
      <c r="AX19" t="n">
        <v>48305</v>
      </c>
      <c r="AY19" t="inlineStr">
        <is>
          <t>3733.7 MiB</t>
        </is>
      </c>
      <c r="AZ19" t="n">
        <v>1467.41</v>
      </c>
      <c r="BA19" t="n">
        <v>2.63</v>
      </c>
      <c r="BB19" t="n">
        <v>8.99377</v>
      </c>
      <c r="BC19" t="n">
        <v>5.01841</v>
      </c>
      <c r="BD19" t="n">
        <v>-268665</v>
      </c>
      <c r="BE19" t="n">
        <v>-5.01841</v>
      </c>
      <c r="BF19" t="n">
        <v>1.28883</v>
      </c>
      <c r="BG19" t="n">
        <v>144.37</v>
      </c>
      <c r="BH19" t="n">
        <v>0.2683</v>
      </c>
      <c r="BI19" t="n">
        <v>0.225126</v>
      </c>
      <c r="BJ19" t="n">
        <v>24.911</v>
      </c>
      <c r="BK19" t="n">
        <v>21.1455</v>
      </c>
      <c r="BL19" t="inlineStr">
        <is>
          <t>3733.7 MiB</t>
        </is>
      </c>
      <c r="BM19" t="n">
        <v>1467.41</v>
      </c>
      <c r="BN19" t="inlineStr">
        <is>
          <t>2164.8 MiB</t>
        </is>
      </c>
      <c r="BO19" t="n">
        <v>903.47</v>
      </c>
      <c r="BP19" t="n">
        <v>1796337</v>
      </c>
      <c r="BQ19" t="n">
        <v>18.2408</v>
      </c>
      <c r="BR19" t="n">
        <v>393317</v>
      </c>
      <c r="BS19" t="n">
        <v>3.99392</v>
      </c>
      <c r="BT19" t="n">
        <v>258639</v>
      </c>
      <c r="BU19" t="n">
        <v>462581</v>
      </c>
      <c r="BV19" t="n">
        <v>204724661</v>
      </c>
      <c r="BW19" t="n">
        <v>81055979</v>
      </c>
      <c r="BX19" t="n">
        <v>1079840000</v>
      </c>
      <c r="BY19" t="n">
        <v>485688000</v>
      </c>
      <c r="BZ19" t="n">
        <v>449129000</v>
      </c>
      <c r="CA19" t="n">
        <v>18694.2</v>
      </c>
      <c r="CB19" t="n">
        <v>16</v>
      </c>
      <c r="CC19" t="n">
        <v>6171322</v>
      </c>
      <c r="CD19" t="n">
        <v>88279496</v>
      </c>
      <c r="CE19" t="n">
        <v>-1</v>
      </c>
      <c r="CF19" t="n">
        <v>5.52256</v>
      </c>
      <c r="CG19" t="n">
        <v>1.35202</v>
      </c>
      <c r="CH19" t="n">
        <v>-307013</v>
      </c>
      <c r="CI19" t="n">
        <v>-5.52256</v>
      </c>
      <c r="CJ19" t="n">
        <v>0</v>
      </c>
      <c r="CK19" t="n">
        <v>0</v>
      </c>
      <c r="CL19" t="n">
        <v>65.93000000000001</v>
      </c>
      <c r="CM19" t="n">
        <v>-1</v>
      </c>
      <c r="CN19" t="n">
        <v>-1</v>
      </c>
      <c r="CO19" t="inlineStr">
        <is>
          <t>3733.7 MiB</t>
        </is>
      </c>
      <c r="CP19" t="n">
        <v>85.23</v>
      </c>
      <c r="CQ19" t="n">
        <v>58.0323</v>
      </c>
      <c r="CR19" t="n">
        <v>50.1683</v>
      </c>
      <c r="CS19" t="inlineStr">
        <is>
          <t>3733.7 MiB</t>
        </is>
      </c>
      <c r="CT19" t="n">
        <v>-1</v>
      </c>
      <c r="CU19" t="n">
        <v>71.26000000000001</v>
      </c>
      <c r="CV19" t="n">
        <v/>
      </c>
    </row>
    <row r="20">
      <c r="A20" t="inlineStr">
        <is>
          <t>hecate_25d_L17_int_10um_bump_fanin_12.xml</t>
        </is>
      </c>
      <c r="B20" t="inlineStr">
        <is>
          <t>tpu_like.large.ws.blif</t>
        </is>
      </c>
      <c r="C20" t="inlineStr">
        <is>
          <t>common</t>
        </is>
      </c>
      <c r="D20" t="n">
        <v>1788.93</v>
      </c>
      <c r="E20" t="inlineStr">
        <is>
          <t>vpr</t>
        </is>
      </c>
      <c r="F20" t="inlineStr">
        <is>
          <t>3.76 GiB</t>
        </is>
      </c>
      <c r="G20" t="n">
        <v/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9134</v>
      </c>
      <c r="T20" t="n">
        <v>645</v>
      </c>
      <c r="U20" t="n">
        <v>116</v>
      </c>
      <c r="V20" t="n">
        <v>-1</v>
      </c>
      <c r="W20" t="inlineStr">
        <is>
          <t>success</t>
        </is>
      </c>
      <c r="X20" t="inlineStr">
        <is>
          <t>v8.0.0-16070-ga8427fcd2f</t>
        </is>
      </c>
      <c r="Y20" t="inlineStr">
        <is>
          <t>release IPO VTR_ASSERT_LEVEL=2</t>
        </is>
      </c>
      <c r="Z20" t="inlineStr">
        <is>
          <t>GNU 13.3.0 on Linux-6.8.0-100-generic x86_64</t>
        </is>
      </c>
      <c r="AA20" t="inlineStr">
        <is>
          <t>2026-06-03T21:18:33</t>
        </is>
      </c>
      <c r="AB20" t="inlineStr">
        <is>
          <t>betzgrp-wintermute</t>
        </is>
      </c>
      <c r="AC20" t="inlineStr">
        <is>
          <t>/home/singera8/fpga-analytical-placement/testing/test_suites</t>
        </is>
      </c>
      <c r="AD20" t="n">
        <v>3939396</v>
      </c>
      <c r="AE20" t="n">
        <v>645</v>
      </c>
      <c r="AF20" t="n">
        <v>545</v>
      </c>
      <c r="AG20" t="n">
        <v>179138</v>
      </c>
      <c r="AH20" t="n">
        <v>163346</v>
      </c>
      <c r="AI20" t="n">
        <v>2</v>
      </c>
      <c r="AJ20" t="n">
        <v>93631</v>
      </c>
      <c r="AK20" t="n">
        <v>11500</v>
      </c>
      <c r="AL20" t="n">
        <v>154</v>
      </c>
      <c r="AM20" t="n">
        <v>154</v>
      </c>
      <c r="AN20" t="n">
        <v>23716</v>
      </c>
      <c r="AO20" t="inlineStr">
        <is>
          <t>dsp_top</t>
        </is>
      </c>
      <c r="AP20" t="inlineStr">
        <is>
          <t>auto</t>
        </is>
      </c>
      <c r="AQ20" t="n">
        <v>-1</v>
      </c>
      <c r="AR20" t="n">
        <v>-1</v>
      </c>
      <c r="AS20" t="n">
        <v>2771870</v>
      </c>
      <c r="AT20" t="n">
        <v>1361701</v>
      </c>
      <c r="AU20" t="n">
        <v>10391260</v>
      </c>
      <c r="AV20" t="n">
        <v>2759583</v>
      </c>
      <c r="AW20" t="n">
        <v>7542023</v>
      </c>
      <c r="AX20" t="n">
        <v>89654</v>
      </c>
      <c r="AY20" t="inlineStr">
        <is>
          <t>3847.1 MiB</t>
        </is>
      </c>
      <c r="AZ20" t="n">
        <v>1644.12</v>
      </c>
      <c r="BA20" t="n">
        <v>3.6</v>
      </c>
      <c r="BB20" t="n">
        <v>11.7672</v>
      </c>
      <c r="BC20" t="n">
        <v>7.68326</v>
      </c>
      <c r="BD20" t="n">
        <v>-370494</v>
      </c>
      <c r="BE20" t="n">
        <v>-7.68326</v>
      </c>
      <c r="BF20" t="n">
        <v>1.59473</v>
      </c>
      <c r="BG20" t="n">
        <v>137.84</v>
      </c>
      <c r="BH20" t="n">
        <v>0.34026</v>
      </c>
      <c r="BI20" t="n">
        <v>0.295298</v>
      </c>
      <c r="BJ20" t="n">
        <v>31.4734</v>
      </c>
      <c r="BK20" t="n">
        <v>26.5822</v>
      </c>
      <c r="BL20" t="inlineStr">
        <is>
          <t>3847.1 MiB</t>
        </is>
      </c>
      <c r="BM20" t="n">
        <v>1644.12</v>
      </c>
      <c r="BN20" t="inlineStr">
        <is>
          <t>2381.0 MiB</t>
        </is>
      </c>
      <c r="BO20" t="n">
        <v>1007.37</v>
      </c>
      <c r="BP20" t="n">
        <v>2053241</v>
      </c>
      <c r="BQ20" t="n">
        <v>21.9298</v>
      </c>
      <c r="BR20" t="n">
        <v>452935</v>
      </c>
      <c r="BS20" t="n">
        <v>4.8376</v>
      </c>
      <c r="BT20" t="n">
        <v>272312</v>
      </c>
      <c r="BU20" t="n">
        <v>709794</v>
      </c>
      <c r="BV20" t="n">
        <v>287630249</v>
      </c>
      <c r="BW20" t="n">
        <v>113531944</v>
      </c>
      <c r="BX20" t="n">
        <v>1068540000</v>
      </c>
      <c r="BY20" t="n">
        <v>539849000</v>
      </c>
      <c r="BZ20" t="n">
        <v>443498000</v>
      </c>
      <c r="CA20" t="n">
        <v>18700.4</v>
      </c>
      <c r="CB20" t="n">
        <v>23</v>
      </c>
      <c r="CC20" t="n">
        <v>6097384</v>
      </c>
      <c r="CD20" t="n">
        <v>87172327</v>
      </c>
      <c r="CE20" t="n">
        <v>-1</v>
      </c>
      <c r="CF20" t="n">
        <v>8.353859999999999</v>
      </c>
      <c r="CG20" t="n">
        <v>1.66287</v>
      </c>
      <c r="CH20" t="n">
        <v>-430777</v>
      </c>
      <c r="CI20" t="n">
        <v>-8.353859999999999</v>
      </c>
      <c r="CJ20" t="n">
        <v>0</v>
      </c>
      <c r="CK20" t="n">
        <v>0</v>
      </c>
      <c r="CL20" t="n">
        <v>63.02</v>
      </c>
      <c r="CM20" t="n">
        <v>-1</v>
      </c>
      <c r="CN20" t="n">
        <v>-1</v>
      </c>
      <c r="CO20" t="inlineStr">
        <is>
          <t>3847.1 MiB</t>
        </is>
      </c>
      <c r="CP20" t="n">
        <v>123.93</v>
      </c>
      <c r="CQ20" t="n">
        <v>74.73520000000001</v>
      </c>
      <c r="CR20" t="n">
        <v>63.7956</v>
      </c>
      <c r="CS20" t="inlineStr">
        <is>
          <t>3847.1 MiB</t>
        </is>
      </c>
      <c r="CT20" t="n">
        <v>-1</v>
      </c>
      <c r="CU20" t="n">
        <v>68.11</v>
      </c>
      <c r="CV2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2026-06-04T04:06:13Z</dcterms:created>
  <dcterms:modified xmlns:dcterms="http://purl.org/dc/terms/" xmlns:xsi="http://www.w3.org/2001/XMLSchema-instance" xsi:type="dcterms:W3CDTF">2026-06-04T04:06:13Z</dcterms:modified>
</cp:coreProperties>
</file>