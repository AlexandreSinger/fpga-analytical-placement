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hecate_ap" sheetId="3" state="visible" r:id="rId3"/>
    <sheet xmlns:r="http://schemas.openxmlformats.org/officeDocument/2006/relationships" name="hecate_no_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total_wirelength</t>
        </is>
      </c>
      <c r="C1" t="inlineStr">
        <is>
          <t>crit_path_delay</t>
        </is>
      </c>
      <c r="D1" t="inlineStr">
        <is>
          <t>total_runtime</t>
        </is>
      </c>
      <c r="E1" t="inlineStr">
        <is>
          <t>Baseline Unroutes</t>
        </is>
      </c>
    </row>
    <row r="2">
      <c r="A2" t="inlineStr">
        <is>
          <t>hecate</t>
        </is>
      </c>
      <c r="B2">
        <f>'ratios'!F21</f>
        <v/>
      </c>
      <c r="C2">
        <f>'ratios'!I21</f>
        <v/>
      </c>
      <c r="D2">
        <f>'ratios'!K21</f>
        <v/>
      </c>
      <c r="E2">
        <f>'ratios'!D22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arch</t>
        </is>
      </c>
      <c r="C1" t="inlineStr">
        <is>
          <t>circuit</t>
        </is>
      </c>
      <c r="D1" t="inlineStr">
        <is>
          <t>post_fl_hpwl</t>
        </is>
      </c>
      <c r="E1" t="inlineStr">
        <is>
          <t>post_dp_hpwl</t>
        </is>
      </c>
      <c r="F1" t="inlineStr">
        <is>
          <t>total_wirelength</t>
        </is>
      </c>
      <c r="G1" t="inlineStr">
        <is>
          <t>post_fl_cpd</t>
        </is>
      </c>
      <c r="H1" t="inlineStr">
        <is>
          <t>post_dp_cpd</t>
        </is>
      </c>
      <c r="I1" t="inlineStr">
        <is>
          <t>crit_path_delay</t>
        </is>
      </c>
      <c r="J1" t="inlineStr">
        <is>
          <t>route_runtime</t>
        </is>
      </c>
      <c r="K1" t="inlineStr">
        <is>
          <t>total_runtime</t>
        </is>
      </c>
    </row>
    <row r="2">
      <c r="A2" t="inlineStr">
        <is>
          <t>hecate</t>
        </is>
      </c>
      <c r="B2" t="inlineStr">
        <is>
          <t>hecate_25d_L17_int_10um_bump_fanin_12.xml</t>
        </is>
      </c>
      <c r="C2" t="inlineStr">
        <is>
          <t>attention_layer.blif</t>
        </is>
      </c>
      <c r="D2">
        <f>IF(OR('hecate_ap'!H2=-1, 'hecate_no_ap'!H2=-1), "", 'hecate_ap'!F2/'hecate_no_ap'!F2)</f>
        <v/>
      </c>
      <c r="E2">
        <f>IF(OR('hecate_ap'!H2=-1, 'hecate_no_ap'!H2=-1), "", 'hecate_ap'!G2/'hecate_no_ap'!G2)</f>
        <v/>
      </c>
      <c r="F2">
        <f>IF(OR('hecate_ap'!H2=-1, 'hecate_no_ap'!H2=-1), "", 'hecate_ap'!H2/'hecate_no_ap'!H2)</f>
        <v/>
      </c>
      <c r="G2">
        <f>IF(OR('hecate_ap'!H2=-1, 'hecate_no_ap'!H2=-1), "", 'hecate_ap'!J2/'hecate_no_ap'!J2)</f>
        <v/>
      </c>
      <c r="H2">
        <f>IF(OR('hecate_ap'!H2=-1, 'hecate_no_ap'!H2=-1), "", 'hecate_ap'!K2/'hecate_no_ap'!K2)</f>
        <v/>
      </c>
      <c r="I2">
        <f>IF(OR('hecate_ap'!H2=-1, 'hecate_no_ap'!H2=-1), "", 'hecate_ap'!L2/'hecate_no_ap'!L2)</f>
        <v/>
      </c>
      <c r="J2">
        <f>IF(OR('hecate_ap'!H2=-1, 'hecate_no_ap'!H2=-1), "", 'hecate_ap'!AC2/'hecate_no_ap'!AC2)</f>
        <v/>
      </c>
      <c r="K2">
        <f>IF(OR('hecate_ap'!H2=-1, 'hecate_no_ap'!H2=-1), "", 'hecate_ap'!AD2/'hecate_no_ap'!AD2)</f>
        <v/>
      </c>
    </row>
    <row r="3">
      <c r="A3" t="inlineStr">
        <is>
          <t>hecate</t>
        </is>
      </c>
      <c r="B3" t="inlineStr">
        <is>
          <t>hecate_25d_L17_int_10um_bump_fanin_12.xml</t>
        </is>
      </c>
      <c r="C3" t="inlineStr">
        <is>
          <t>bnn.blif</t>
        </is>
      </c>
      <c r="D3">
        <f>IF(OR('hecate_ap'!H3=-1, 'hecate_no_ap'!H3=-1), "", 'hecate_ap'!F3/'hecate_no_ap'!F3)</f>
        <v/>
      </c>
      <c r="E3">
        <f>IF(OR('hecate_ap'!H3=-1, 'hecate_no_ap'!H3=-1), "", 'hecate_ap'!G3/'hecate_no_ap'!G3)</f>
        <v/>
      </c>
      <c r="F3">
        <f>IF(OR('hecate_ap'!H3=-1, 'hecate_no_ap'!H3=-1), "", 'hecate_ap'!H3/'hecate_no_ap'!H3)</f>
        <v/>
      </c>
      <c r="G3">
        <f>IF(OR('hecate_ap'!H3=-1, 'hecate_no_ap'!H3=-1), "", 'hecate_ap'!J3/'hecate_no_ap'!J3)</f>
        <v/>
      </c>
      <c r="H3">
        <f>IF(OR('hecate_ap'!H3=-1, 'hecate_no_ap'!H3=-1), "", 'hecate_ap'!K3/'hecate_no_ap'!K3)</f>
        <v/>
      </c>
      <c r="I3">
        <f>IF(OR('hecate_ap'!H3=-1, 'hecate_no_ap'!H3=-1), "", 'hecate_ap'!L3/'hecate_no_ap'!L3)</f>
        <v/>
      </c>
      <c r="J3">
        <f>IF(OR('hecate_ap'!H3=-1, 'hecate_no_ap'!H3=-1), "", 'hecate_ap'!AC3/'hecate_no_ap'!AC3)</f>
        <v/>
      </c>
      <c r="K3">
        <f>IF(OR('hecate_ap'!H3=-1, 'hecate_no_ap'!H3=-1), "", 'hecate_ap'!AD3/'hecate_no_ap'!AD3)</f>
        <v/>
      </c>
    </row>
    <row r="4">
      <c r="A4" t="inlineStr">
        <is>
          <t>hecate</t>
        </is>
      </c>
      <c r="B4" t="inlineStr">
        <is>
          <t>hecate_25d_L17_int_10um_bump_fanin_12.xml</t>
        </is>
      </c>
      <c r="C4" t="inlineStr">
        <is>
          <t>bwave_like.fixed.small.blif</t>
        </is>
      </c>
      <c r="D4">
        <f>IF(OR('hecate_ap'!H4=-1, 'hecate_no_ap'!H4=-1), "", 'hecate_ap'!F4/'hecate_no_ap'!F4)</f>
        <v/>
      </c>
      <c r="E4">
        <f>IF(OR('hecate_ap'!H4=-1, 'hecate_no_ap'!H4=-1), "", 'hecate_ap'!G4/'hecate_no_ap'!G4)</f>
        <v/>
      </c>
      <c r="F4">
        <f>IF(OR('hecate_ap'!H4=-1, 'hecate_no_ap'!H4=-1), "", 'hecate_ap'!H4/'hecate_no_ap'!H4)</f>
        <v/>
      </c>
      <c r="G4">
        <f>IF(OR('hecate_ap'!H4=-1, 'hecate_no_ap'!H4=-1), "", 'hecate_ap'!J4/'hecate_no_ap'!J4)</f>
        <v/>
      </c>
      <c r="H4">
        <f>IF(OR('hecate_ap'!H4=-1, 'hecate_no_ap'!H4=-1), "", 'hecate_ap'!K4/'hecate_no_ap'!K4)</f>
        <v/>
      </c>
      <c r="I4">
        <f>IF(OR('hecate_ap'!H4=-1, 'hecate_no_ap'!H4=-1), "", 'hecate_ap'!L4/'hecate_no_ap'!L4)</f>
        <v/>
      </c>
      <c r="J4">
        <f>IF(OR('hecate_ap'!H4=-1, 'hecate_no_ap'!H4=-1), "", 'hecate_ap'!AC4/'hecate_no_ap'!AC4)</f>
        <v/>
      </c>
      <c r="K4">
        <f>IF(OR('hecate_ap'!H4=-1, 'hecate_no_ap'!H4=-1), "", 'hecate_ap'!AD4/'hecate_no_ap'!AD4)</f>
        <v/>
      </c>
    </row>
    <row r="5">
      <c r="A5" t="inlineStr">
        <is>
          <t>hecate</t>
        </is>
      </c>
      <c r="B5" t="inlineStr">
        <is>
          <t>hecate_25d_L17_int_10um_bump_fanin_12.xml</t>
        </is>
      </c>
      <c r="C5" t="inlineStr">
        <is>
          <t>bwave_like.fixed.large.blif</t>
        </is>
      </c>
      <c r="D5">
        <f>IF(OR('hecate_ap'!H5=-1, 'hecate_no_ap'!H5=-1), "", 'hecate_ap'!F5/'hecate_no_ap'!F5)</f>
        <v/>
      </c>
      <c r="E5">
        <f>IF(OR('hecate_ap'!H5=-1, 'hecate_no_ap'!H5=-1), "", 'hecate_ap'!G5/'hecate_no_ap'!G5)</f>
        <v/>
      </c>
      <c r="F5">
        <f>IF(OR('hecate_ap'!H5=-1, 'hecate_no_ap'!H5=-1), "", 'hecate_ap'!H5/'hecate_no_ap'!H5)</f>
        <v/>
      </c>
      <c r="G5">
        <f>IF(OR('hecate_ap'!H5=-1, 'hecate_no_ap'!H5=-1), "", 'hecate_ap'!J5/'hecate_no_ap'!J5)</f>
        <v/>
      </c>
      <c r="H5">
        <f>IF(OR('hecate_ap'!H5=-1, 'hecate_no_ap'!H5=-1), "", 'hecate_ap'!K5/'hecate_no_ap'!K5)</f>
        <v/>
      </c>
      <c r="I5">
        <f>IF(OR('hecate_ap'!H5=-1, 'hecate_no_ap'!H5=-1), "", 'hecate_ap'!L5/'hecate_no_ap'!L5)</f>
        <v/>
      </c>
      <c r="J5">
        <f>IF(OR('hecate_ap'!H5=-1, 'hecate_no_ap'!H5=-1), "", 'hecate_ap'!AC5/'hecate_no_ap'!AC5)</f>
        <v/>
      </c>
      <c r="K5">
        <f>IF(OR('hecate_ap'!H5=-1, 'hecate_no_ap'!H5=-1), "", 'hecate_ap'!AD5/'hecate_no_ap'!AD5)</f>
        <v/>
      </c>
    </row>
    <row r="6">
      <c r="A6" t="inlineStr">
        <is>
          <t>hecate</t>
        </is>
      </c>
      <c r="B6" t="inlineStr">
        <is>
          <t>hecate_25d_L17_int_10um_bump_fanin_12.xml</t>
        </is>
      </c>
      <c r="C6" t="inlineStr">
        <is>
          <t>clstm_like.large.blif</t>
        </is>
      </c>
      <c r="D6">
        <f>IF(OR('hecate_ap'!H6=-1, 'hecate_no_ap'!H6=-1), "", 'hecate_ap'!F6/'hecate_no_ap'!F6)</f>
        <v/>
      </c>
      <c r="E6">
        <f>IF(OR('hecate_ap'!H6=-1, 'hecate_no_ap'!H6=-1), "", 'hecate_ap'!G6/'hecate_no_ap'!G6)</f>
        <v/>
      </c>
      <c r="F6">
        <f>IF(OR('hecate_ap'!H6=-1, 'hecate_no_ap'!H6=-1), "", 'hecate_ap'!H6/'hecate_no_ap'!H6)</f>
        <v/>
      </c>
      <c r="G6">
        <f>IF(OR('hecate_ap'!H6=-1, 'hecate_no_ap'!H6=-1), "", 'hecate_ap'!J6/'hecate_no_ap'!J6)</f>
        <v/>
      </c>
      <c r="H6">
        <f>IF(OR('hecate_ap'!H6=-1, 'hecate_no_ap'!H6=-1), "", 'hecate_ap'!K6/'hecate_no_ap'!K6)</f>
        <v/>
      </c>
      <c r="I6">
        <f>IF(OR('hecate_ap'!H6=-1, 'hecate_no_ap'!H6=-1), "", 'hecate_ap'!L6/'hecate_no_ap'!L6)</f>
        <v/>
      </c>
      <c r="J6">
        <f>IF(OR('hecate_ap'!H6=-1, 'hecate_no_ap'!H6=-1), "", 'hecate_ap'!AC6/'hecate_no_ap'!AC6)</f>
        <v/>
      </c>
      <c r="K6">
        <f>IF(OR('hecate_ap'!H6=-1, 'hecate_no_ap'!H6=-1), "", 'hecate_ap'!AD6/'hecate_no_ap'!AD6)</f>
        <v/>
      </c>
    </row>
    <row r="7">
      <c r="A7" t="inlineStr">
        <is>
          <t>hecate</t>
        </is>
      </c>
      <c r="B7" t="inlineStr">
        <is>
          <t>hecate_25d_L17_int_10um_bump_fanin_12.xml</t>
        </is>
      </c>
      <c r="C7" t="inlineStr">
        <is>
          <t>clstm_like.medium.blif</t>
        </is>
      </c>
      <c r="D7">
        <f>IF(OR('hecate_ap'!H7=-1, 'hecate_no_ap'!H7=-1), "", 'hecate_ap'!F7/'hecate_no_ap'!F7)</f>
        <v/>
      </c>
      <c r="E7">
        <f>IF(OR('hecate_ap'!H7=-1, 'hecate_no_ap'!H7=-1), "", 'hecate_ap'!G7/'hecate_no_ap'!G7)</f>
        <v/>
      </c>
      <c r="F7">
        <f>IF(OR('hecate_ap'!H7=-1, 'hecate_no_ap'!H7=-1), "", 'hecate_ap'!H7/'hecate_no_ap'!H7)</f>
        <v/>
      </c>
      <c r="G7">
        <f>IF(OR('hecate_ap'!H7=-1, 'hecate_no_ap'!H7=-1), "", 'hecate_ap'!J7/'hecate_no_ap'!J7)</f>
        <v/>
      </c>
      <c r="H7">
        <f>IF(OR('hecate_ap'!H7=-1, 'hecate_no_ap'!H7=-1), "", 'hecate_ap'!K7/'hecate_no_ap'!K7)</f>
        <v/>
      </c>
      <c r="I7">
        <f>IF(OR('hecate_ap'!H7=-1, 'hecate_no_ap'!H7=-1), "", 'hecate_ap'!L7/'hecate_no_ap'!L7)</f>
        <v/>
      </c>
      <c r="J7">
        <f>IF(OR('hecate_ap'!H7=-1, 'hecate_no_ap'!H7=-1), "", 'hecate_ap'!AC7/'hecate_no_ap'!AC7)</f>
        <v/>
      </c>
      <c r="K7">
        <f>IF(OR('hecate_ap'!H7=-1, 'hecate_no_ap'!H7=-1), "", 'hecate_ap'!AD7/'hecate_no_ap'!AD7)</f>
        <v/>
      </c>
    </row>
    <row r="8">
      <c r="A8" t="inlineStr">
        <is>
          <t>hecate</t>
        </is>
      </c>
      <c r="B8" t="inlineStr">
        <is>
          <t>hecate_25d_L17_int_10um_bump_fanin_12.xml</t>
        </is>
      </c>
      <c r="C8" t="inlineStr">
        <is>
          <t>clstm_like.small.blif</t>
        </is>
      </c>
      <c r="D8">
        <f>IF(OR('hecate_ap'!H8=-1, 'hecate_no_ap'!H8=-1), "", 'hecate_ap'!F8/'hecate_no_ap'!F8)</f>
        <v/>
      </c>
      <c r="E8">
        <f>IF(OR('hecate_ap'!H8=-1, 'hecate_no_ap'!H8=-1), "", 'hecate_ap'!G8/'hecate_no_ap'!G8)</f>
        <v/>
      </c>
      <c r="F8">
        <f>IF(OR('hecate_ap'!H8=-1, 'hecate_no_ap'!H8=-1), "", 'hecate_ap'!H8/'hecate_no_ap'!H8)</f>
        <v/>
      </c>
      <c r="G8">
        <f>IF(OR('hecate_ap'!H8=-1, 'hecate_no_ap'!H8=-1), "", 'hecate_ap'!J8/'hecate_no_ap'!J8)</f>
        <v/>
      </c>
      <c r="H8">
        <f>IF(OR('hecate_ap'!H8=-1, 'hecate_no_ap'!H8=-1), "", 'hecate_ap'!K8/'hecate_no_ap'!K8)</f>
        <v/>
      </c>
      <c r="I8">
        <f>IF(OR('hecate_ap'!H8=-1, 'hecate_no_ap'!H8=-1), "", 'hecate_ap'!L8/'hecate_no_ap'!L8)</f>
        <v/>
      </c>
      <c r="J8">
        <f>IF(OR('hecate_ap'!H8=-1, 'hecate_no_ap'!H8=-1), "", 'hecate_ap'!AC8/'hecate_no_ap'!AC8)</f>
        <v/>
      </c>
      <c r="K8">
        <f>IF(OR('hecate_ap'!H8=-1, 'hecate_no_ap'!H8=-1), "", 'hecate_ap'!AD8/'hecate_no_ap'!AD8)</f>
        <v/>
      </c>
    </row>
    <row r="9">
      <c r="A9" t="inlineStr">
        <is>
          <t>hecate</t>
        </is>
      </c>
      <c r="B9" t="inlineStr">
        <is>
          <t>hecate_25d_L17_int_10um_bump_fanin_12.xml</t>
        </is>
      </c>
      <c r="C9" t="inlineStr">
        <is>
          <t>conv_layer_hls.blif</t>
        </is>
      </c>
      <c r="D9">
        <f>IF(OR('hecate_ap'!H9=-1, 'hecate_no_ap'!H9=-1), "", 'hecate_ap'!F9/'hecate_no_ap'!F9)</f>
        <v/>
      </c>
      <c r="E9">
        <f>IF(OR('hecate_ap'!H9=-1, 'hecate_no_ap'!H9=-1), "", 'hecate_ap'!G9/'hecate_no_ap'!G9)</f>
        <v/>
      </c>
      <c r="F9">
        <f>IF(OR('hecate_ap'!H9=-1, 'hecate_no_ap'!H9=-1), "", 'hecate_ap'!H9/'hecate_no_ap'!H9)</f>
        <v/>
      </c>
      <c r="G9">
        <f>IF(OR('hecate_ap'!H9=-1, 'hecate_no_ap'!H9=-1), "", 'hecate_ap'!J9/'hecate_no_ap'!J9)</f>
        <v/>
      </c>
      <c r="H9">
        <f>IF(OR('hecate_ap'!H9=-1, 'hecate_no_ap'!H9=-1), "", 'hecate_ap'!K9/'hecate_no_ap'!K9)</f>
        <v/>
      </c>
      <c r="I9">
        <f>IF(OR('hecate_ap'!H9=-1, 'hecate_no_ap'!H9=-1), "", 'hecate_ap'!L9/'hecate_no_ap'!L9)</f>
        <v/>
      </c>
      <c r="J9">
        <f>IF(OR('hecate_ap'!H9=-1, 'hecate_no_ap'!H9=-1), "", 'hecate_ap'!AC9/'hecate_no_ap'!AC9)</f>
        <v/>
      </c>
      <c r="K9">
        <f>IF(OR('hecate_ap'!H9=-1, 'hecate_no_ap'!H9=-1), "", 'hecate_ap'!AD9/'hecate_no_ap'!AD9)</f>
        <v/>
      </c>
    </row>
    <row r="10">
      <c r="A10" t="inlineStr">
        <is>
          <t>hecate</t>
        </is>
      </c>
      <c r="B10" t="inlineStr">
        <is>
          <t>hecate_25d_L17_int_10um_bump_fanin_12.xml</t>
        </is>
      </c>
      <c r="C10" t="inlineStr">
        <is>
          <t>dla_like.medium.blif</t>
        </is>
      </c>
      <c r="D10">
        <f>IF(OR('hecate_ap'!H10=-1, 'hecate_no_ap'!H10=-1), "", 'hecate_ap'!F10/'hecate_no_ap'!F10)</f>
        <v/>
      </c>
      <c r="E10">
        <f>IF(OR('hecate_ap'!H10=-1, 'hecate_no_ap'!H10=-1), "", 'hecate_ap'!G10/'hecate_no_ap'!G10)</f>
        <v/>
      </c>
      <c r="F10">
        <f>IF(OR('hecate_ap'!H10=-1, 'hecate_no_ap'!H10=-1), "", 'hecate_ap'!H10/'hecate_no_ap'!H10)</f>
        <v/>
      </c>
      <c r="G10">
        <f>IF(OR('hecate_ap'!H10=-1, 'hecate_no_ap'!H10=-1), "", 'hecate_ap'!J10/'hecate_no_ap'!J10)</f>
        <v/>
      </c>
      <c r="H10">
        <f>IF(OR('hecate_ap'!H10=-1, 'hecate_no_ap'!H10=-1), "", 'hecate_ap'!K10/'hecate_no_ap'!K10)</f>
        <v/>
      </c>
      <c r="I10">
        <f>IF(OR('hecate_ap'!H10=-1, 'hecate_no_ap'!H10=-1), "", 'hecate_ap'!L10/'hecate_no_ap'!L10)</f>
        <v/>
      </c>
      <c r="J10">
        <f>IF(OR('hecate_ap'!H10=-1, 'hecate_no_ap'!H10=-1), "", 'hecate_ap'!AC10/'hecate_no_ap'!AC10)</f>
        <v/>
      </c>
      <c r="K10">
        <f>IF(OR('hecate_ap'!H10=-1, 'hecate_no_ap'!H10=-1), "", 'hecate_ap'!AD10/'hecate_no_ap'!AD10)</f>
        <v/>
      </c>
    </row>
    <row r="11">
      <c r="A11" t="inlineStr">
        <is>
          <t>hecate</t>
        </is>
      </c>
      <c r="B11" t="inlineStr">
        <is>
          <t>hecate_25d_L17_int_10um_bump_fanin_12.xml</t>
        </is>
      </c>
      <c r="C11" t="inlineStr">
        <is>
          <t>dla_like.small.blif</t>
        </is>
      </c>
      <c r="D11">
        <f>IF(OR('hecate_ap'!H11=-1, 'hecate_no_ap'!H11=-1), "", 'hecate_ap'!F11/'hecate_no_ap'!F11)</f>
        <v/>
      </c>
      <c r="E11">
        <f>IF(OR('hecate_ap'!H11=-1, 'hecate_no_ap'!H11=-1), "", 'hecate_ap'!G11/'hecate_no_ap'!G11)</f>
        <v/>
      </c>
      <c r="F11">
        <f>IF(OR('hecate_ap'!H11=-1, 'hecate_no_ap'!H11=-1), "", 'hecate_ap'!H11/'hecate_no_ap'!H11)</f>
        <v/>
      </c>
      <c r="G11">
        <f>IF(OR('hecate_ap'!H11=-1, 'hecate_no_ap'!H11=-1), "", 'hecate_ap'!J11/'hecate_no_ap'!J11)</f>
        <v/>
      </c>
      <c r="H11">
        <f>IF(OR('hecate_ap'!H11=-1, 'hecate_no_ap'!H11=-1), "", 'hecate_ap'!K11/'hecate_no_ap'!K11)</f>
        <v/>
      </c>
      <c r="I11">
        <f>IF(OR('hecate_ap'!H11=-1, 'hecate_no_ap'!H11=-1), "", 'hecate_ap'!L11/'hecate_no_ap'!L11)</f>
        <v/>
      </c>
      <c r="J11">
        <f>IF(OR('hecate_ap'!H11=-1, 'hecate_no_ap'!H11=-1), "", 'hecate_ap'!AC11/'hecate_no_ap'!AC11)</f>
        <v/>
      </c>
      <c r="K11">
        <f>IF(OR('hecate_ap'!H11=-1, 'hecate_no_ap'!H11=-1), "", 'hecate_ap'!AD11/'hecate_no_ap'!AD11)</f>
        <v/>
      </c>
    </row>
    <row r="12">
      <c r="A12" t="inlineStr">
        <is>
          <t>hecate</t>
        </is>
      </c>
      <c r="B12" t="inlineStr">
        <is>
          <t>hecate_25d_L17_int_10um_bump_fanin_12.xml</t>
        </is>
      </c>
      <c r="C12" t="inlineStr">
        <is>
          <t>dnnweaver.blif</t>
        </is>
      </c>
      <c r="D12">
        <f>IF(OR('hecate_ap'!H12=-1, 'hecate_no_ap'!H12=-1), "", 'hecate_ap'!F12/'hecate_no_ap'!F12)</f>
        <v/>
      </c>
      <c r="E12">
        <f>IF(OR('hecate_ap'!H12=-1, 'hecate_no_ap'!H12=-1), "", 'hecate_ap'!G12/'hecate_no_ap'!G12)</f>
        <v/>
      </c>
      <c r="F12">
        <f>IF(OR('hecate_ap'!H12=-1, 'hecate_no_ap'!H12=-1), "", 'hecate_ap'!H12/'hecate_no_ap'!H12)</f>
        <v/>
      </c>
      <c r="G12">
        <f>IF(OR('hecate_ap'!H12=-1, 'hecate_no_ap'!H12=-1), "", 'hecate_ap'!J12/'hecate_no_ap'!J12)</f>
        <v/>
      </c>
      <c r="H12">
        <f>IF(OR('hecate_ap'!H12=-1, 'hecate_no_ap'!H12=-1), "", 'hecate_ap'!K12/'hecate_no_ap'!K12)</f>
        <v/>
      </c>
      <c r="I12">
        <f>IF(OR('hecate_ap'!H12=-1, 'hecate_no_ap'!H12=-1), "", 'hecate_ap'!L12/'hecate_no_ap'!L12)</f>
        <v/>
      </c>
      <c r="J12">
        <f>IF(OR('hecate_ap'!H12=-1, 'hecate_no_ap'!H12=-1), "", 'hecate_ap'!AC12/'hecate_no_ap'!AC12)</f>
        <v/>
      </c>
      <c r="K12">
        <f>IF(OR('hecate_ap'!H12=-1, 'hecate_no_ap'!H12=-1), "", 'hecate_ap'!AD12/'hecate_no_ap'!AD12)</f>
        <v/>
      </c>
    </row>
    <row r="13">
      <c r="A13" t="inlineStr">
        <is>
          <t>hecate</t>
        </is>
      </c>
      <c r="B13" t="inlineStr">
        <is>
          <t>hecate_25d_L17_int_10um_bump_fanin_12.xml</t>
        </is>
      </c>
      <c r="C13" t="inlineStr">
        <is>
          <t>gemm_layer.blif</t>
        </is>
      </c>
      <c r="D13">
        <f>IF(OR('hecate_ap'!H13=-1, 'hecate_no_ap'!H13=-1), "", 'hecate_ap'!F13/'hecate_no_ap'!F13)</f>
        <v/>
      </c>
      <c r="E13">
        <f>IF(OR('hecate_ap'!H13=-1, 'hecate_no_ap'!H13=-1), "", 'hecate_ap'!G13/'hecate_no_ap'!G13)</f>
        <v/>
      </c>
      <c r="F13">
        <f>IF(OR('hecate_ap'!H13=-1, 'hecate_no_ap'!H13=-1), "", 'hecate_ap'!H13/'hecate_no_ap'!H13)</f>
        <v/>
      </c>
      <c r="G13">
        <f>IF(OR('hecate_ap'!H13=-1, 'hecate_no_ap'!H13=-1), "", 'hecate_ap'!J13/'hecate_no_ap'!J13)</f>
        <v/>
      </c>
      <c r="H13">
        <f>IF(OR('hecate_ap'!H13=-1, 'hecate_no_ap'!H13=-1), "", 'hecate_ap'!K13/'hecate_no_ap'!K13)</f>
        <v/>
      </c>
      <c r="I13">
        <f>IF(OR('hecate_ap'!H13=-1, 'hecate_no_ap'!H13=-1), "", 'hecate_ap'!L13/'hecate_no_ap'!L13)</f>
        <v/>
      </c>
      <c r="J13">
        <f>IF(OR('hecate_ap'!H13=-1, 'hecate_no_ap'!H13=-1), "", 'hecate_ap'!AC13/'hecate_no_ap'!AC13)</f>
        <v/>
      </c>
      <c r="K13">
        <f>IF(OR('hecate_ap'!H13=-1, 'hecate_no_ap'!H13=-1), "", 'hecate_ap'!AD13/'hecate_no_ap'!AD13)</f>
        <v/>
      </c>
    </row>
    <row r="14">
      <c r="A14" t="inlineStr">
        <is>
          <t>hecate</t>
        </is>
      </c>
      <c r="B14" t="inlineStr">
        <is>
          <t>hecate_25d_L17_int_10um_bump_fanin_12.xml</t>
        </is>
      </c>
      <c r="C14" t="inlineStr">
        <is>
          <t>lstm.blif</t>
        </is>
      </c>
      <c r="D14">
        <f>IF(OR('hecate_ap'!H14=-1, 'hecate_no_ap'!H14=-1), "", 'hecate_ap'!F14/'hecate_no_ap'!F14)</f>
        <v/>
      </c>
      <c r="E14">
        <f>IF(OR('hecate_ap'!H14=-1, 'hecate_no_ap'!H14=-1), "", 'hecate_ap'!G14/'hecate_no_ap'!G14)</f>
        <v/>
      </c>
      <c r="F14">
        <f>IF(OR('hecate_ap'!H14=-1, 'hecate_no_ap'!H14=-1), "", 'hecate_ap'!H14/'hecate_no_ap'!H14)</f>
        <v/>
      </c>
      <c r="G14">
        <f>IF(OR('hecate_ap'!H14=-1, 'hecate_no_ap'!H14=-1), "", 'hecate_ap'!J14/'hecate_no_ap'!J14)</f>
        <v/>
      </c>
      <c r="H14">
        <f>IF(OR('hecate_ap'!H14=-1, 'hecate_no_ap'!H14=-1), "", 'hecate_ap'!K14/'hecate_no_ap'!K14)</f>
        <v/>
      </c>
      <c r="I14">
        <f>IF(OR('hecate_ap'!H14=-1, 'hecate_no_ap'!H14=-1), "", 'hecate_ap'!L14/'hecate_no_ap'!L14)</f>
        <v/>
      </c>
      <c r="J14">
        <f>IF(OR('hecate_ap'!H14=-1, 'hecate_no_ap'!H14=-1), "", 'hecate_ap'!AC14/'hecate_no_ap'!AC14)</f>
        <v/>
      </c>
      <c r="K14">
        <f>IF(OR('hecate_ap'!H14=-1, 'hecate_no_ap'!H14=-1), "", 'hecate_ap'!AD14/'hecate_no_ap'!AD14)</f>
        <v/>
      </c>
    </row>
    <row r="15">
      <c r="A15" t="inlineStr">
        <is>
          <t>hecate</t>
        </is>
      </c>
      <c r="B15" t="inlineStr">
        <is>
          <t>hecate_25d_L17_int_10um_bump_fanin_12.xml</t>
        </is>
      </c>
      <c r="C15" t="inlineStr">
        <is>
          <t>proxy.5.blif</t>
        </is>
      </c>
      <c r="D15">
        <f>IF(OR('hecate_ap'!H15=-1, 'hecate_no_ap'!H15=-1), "", 'hecate_ap'!F15/'hecate_no_ap'!F15)</f>
        <v/>
      </c>
      <c r="E15">
        <f>IF(OR('hecate_ap'!H15=-1, 'hecate_no_ap'!H15=-1), "", 'hecate_ap'!G15/'hecate_no_ap'!G15)</f>
        <v/>
      </c>
      <c r="F15">
        <f>IF(OR('hecate_ap'!H15=-1, 'hecate_no_ap'!H15=-1), "", 'hecate_ap'!H15/'hecate_no_ap'!H15)</f>
        <v/>
      </c>
      <c r="G15">
        <f>IF(OR('hecate_ap'!H15=-1, 'hecate_no_ap'!H15=-1), "", 'hecate_ap'!J15/'hecate_no_ap'!J15)</f>
        <v/>
      </c>
      <c r="H15">
        <f>IF(OR('hecate_ap'!H15=-1, 'hecate_no_ap'!H15=-1), "", 'hecate_ap'!K15/'hecate_no_ap'!K15)</f>
        <v/>
      </c>
      <c r="I15">
        <f>IF(OR('hecate_ap'!H15=-1, 'hecate_no_ap'!H15=-1), "", 'hecate_ap'!L15/'hecate_no_ap'!L15)</f>
        <v/>
      </c>
      <c r="J15">
        <f>IF(OR('hecate_ap'!H15=-1, 'hecate_no_ap'!H15=-1), "", 'hecate_ap'!AC15/'hecate_no_ap'!AC15)</f>
        <v/>
      </c>
      <c r="K15">
        <f>IF(OR('hecate_ap'!H15=-1, 'hecate_no_ap'!H15=-1), "", 'hecate_ap'!AD15/'hecate_no_ap'!AD15)</f>
        <v/>
      </c>
    </row>
    <row r="16">
      <c r="A16" t="inlineStr">
        <is>
          <t>hecate</t>
        </is>
      </c>
      <c r="B16" t="inlineStr">
        <is>
          <t>hecate_25d_L17_int_10um_bump_fanin_12.xml</t>
        </is>
      </c>
      <c r="C16" t="inlineStr">
        <is>
          <t>proxy.7.blif</t>
        </is>
      </c>
      <c r="D16">
        <f>IF(OR('hecate_ap'!H16=-1, 'hecate_no_ap'!H16=-1), "", 'hecate_ap'!F16/'hecate_no_ap'!F16)</f>
        <v/>
      </c>
      <c r="E16">
        <f>IF(OR('hecate_ap'!H16=-1, 'hecate_no_ap'!H16=-1), "", 'hecate_ap'!G16/'hecate_no_ap'!G16)</f>
        <v/>
      </c>
      <c r="F16">
        <f>IF(OR('hecate_ap'!H16=-1, 'hecate_no_ap'!H16=-1), "", 'hecate_ap'!H16/'hecate_no_ap'!H16)</f>
        <v/>
      </c>
      <c r="G16">
        <f>IF(OR('hecate_ap'!H16=-1, 'hecate_no_ap'!H16=-1), "", 'hecate_ap'!J16/'hecate_no_ap'!J16)</f>
        <v/>
      </c>
      <c r="H16">
        <f>IF(OR('hecate_ap'!H16=-1, 'hecate_no_ap'!H16=-1), "", 'hecate_ap'!K16/'hecate_no_ap'!K16)</f>
        <v/>
      </c>
      <c r="I16">
        <f>IF(OR('hecate_ap'!H16=-1, 'hecate_no_ap'!H16=-1), "", 'hecate_ap'!L16/'hecate_no_ap'!L16)</f>
        <v/>
      </c>
      <c r="J16">
        <f>IF(OR('hecate_ap'!H16=-1, 'hecate_no_ap'!H16=-1), "", 'hecate_ap'!AC16/'hecate_no_ap'!AC16)</f>
        <v/>
      </c>
      <c r="K16">
        <f>IF(OR('hecate_ap'!H16=-1, 'hecate_no_ap'!H16=-1), "", 'hecate_ap'!AD16/'hecate_no_ap'!AD16)</f>
        <v/>
      </c>
    </row>
    <row r="17">
      <c r="A17" t="inlineStr">
        <is>
          <t>hecate</t>
        </is>
      </c>
      <c r="B17" t="inlineStr">
        <is>
          <t>hecate_25d_L17_int_10um_bump_fanin_12.xml</t>
        </is>
      </c>
      <c r="C17" t="inlineStr">
        <is>
          <t>tdarknet_like.large.blif</t>
        </is>
      </c>
      <c r="D17">
        <f>IF(OR('hecate_ap'!H17=-1, 'hecate_no_ap'!H17=-1), "", 'hecate_ap'!F17/'hecate_no_ap'!F17)</f>
        <v/>
      </c>
      <c r="E17">
        <f>IF(OR('hecate_ap'!H17=-1, 'hecate_no_ap'!H17=-1), "", 'hecate_ap'!G17/'hecate_no_ap'!G17)</f>
        <v/>
      </c>
      <c r="F17">
        <f>IF(OR('hecate_ap'!H17=-1, 'hecate_no_ap'!H17=-1), "", 'hecate_ap'!H17/'hecate_no_ap'!H17)</f>
        <v/>
      </c>
      <c r="G17">
        <f>IF(OR('hecate_ap'!H17=-1, 'hecate_no_ap'!H17=-1), "", 'hecate_ap'!J17/'hecate_no_ap'!J17)</f>
        <v/>
      </c>
      <c r="H17">
        <f>IF(OR('hecate_ap'!H17=-1, 'hecate_no_ap'!H17=-1), "", 'hecate_ap'!K17/'hecate_no_ap'!K17)</f>
        <v/>
      </c>
      <c r="I17">
        <f>IF(OR('hecate_ap'!H17=-1, 'hecate_no_ap'!H17=-1), "", 'hecate_ap'!L17/'hecate_no_ap'!L17)</f>
        <v/>
      </c>
      <c r="J17">
        <f>IF(OR('hecate_ap'!H17=-1, 'hecate_no_ap'!H17=-1), "", 'hecate_ap'!AC17/'hecate_no_ap'!AC17)</f>
        <v/>
      </c>
      <c r="K17">
        <f>IF(OR('hecate_ap'!H17=-1, 'hecate_no_ap'!H17=-1), "", 'hecate_ap'!AD17/'hecate_no_ap'!AD17)</f>
        <v/>
      </c>
    </row>
    <row r="18">
      <c r="A18" t="inlineStr">
        <is>
          <t>hecate</t>
        </is>
      </c>
      <c r="B18" t="inlineStr">
        <is>
          <t>hecate_25d_L17_int_10um_bump_fanin_12.xml</t>
        </is>
      </c>
      <c r="C18" t="inlineStr">
        <is>
          <t>tdarknet_like.small.blif</t>
        </is>
      </c>
      <c r="D18">
        <f>IF(OR('hecate_ap'!H18=-1, 'hecate_no_ap'!H18=-1), "", 'hecate_ap'!F18/'hecate_no_ap'!F18)</f>
        <v/>
      </c>
      <c r="E18">
        <f>IF(OR('hecate_ap'!H18=-1, 'hecate_no_ap'!H18=-1), "", 'hecate_ap'!G18/'hecate_no_ap'!G18)</f>
        <v/>
      </c>
      <c r="F18">
        <f>IF(OR('hecate_ap'!H18=-1, 'hecate_no_ap'!H18=-1), "", 'hecate_ap'!H18/'hecate_no_ap'!H18)</f>
        <v/>
      </c>
      <c r="G18">
        <f>IF(OR('hecate_ap'!H18=-1, 'hecate_no_ap'!H18=-1), "", 'hecate_ap'!J18/'hecate_no_ap'!J18)</f>
        <v/>
      </c>
      <c r="H18">
        <f>IF(OR('hecate_ap'!H18=-1, 'hecate_no_ap'!H18=-1), "", 'hecate_ap'!K18/'hecate_no_ap'!K18)</f>
        <v/>
      </c>
      <c r="I18">
        <f>IF(OR('hecate_ap'!H18=-1, 'hecate_no_ap'!H18=-1), "", 'hecate_ap'!L18/'hecate_no_ap'!L18)</f>
        <v/>
      </c>
      <c r="J18">
        <f>IF(OR('hecate_ap'!H18=-1, 'hecate_no_ap'!H18=-1), "", 'hecate_ap'!AC18/'hecate_no_ap'!AC18)</f>
        <v/>
      </c>
      <c r="K18">
        <f>IF(OR('hecate_ap'!H18=-1, 'hecate_no_ap'!H18=-1), "", 'hecate_ap'!AD18/'hecate_no_ap'!AD18)</f>
        <v/>
      </c>
    </row>
    <row r="19">
      <c r="A19" t="inlineStr">
        <is>
          <t>hecate</t>
        </is>
      </c>
      <c r="B19" t="inlineStr">
        <is>
          <t>hecate_25d_L17_int_10um_bump_fanin_12.xml</t>
        </is>
      </c>
      <c r="C19" t="inlineStr">
        <is>
          <t>tpu_like.large.os.blif</t>
        </is>
      </c>
      <c r="D19">
        <f>IF(OR('hecate_ap'!H19=-1, 'hecate_no_ap'!H19=-1), "", 'hecate_ap'!F19/'hecate_no_ap'!F19)</f>
        <v/>
      </c>
      <c r="E19">
        <f>IF(OR('hecate_ap'!H19=-1, 'hecate_no_ap'!H19=-1), "", 'hecate_ap'!G19/'hecate_no_ap'!G19)</f>
        <v/>
      </c>
      <c r="F19">
        <f>IF(OR('hecate_ap'!H19=-1, 'hecate_no_ap'!H19=-1), "", 'hecate_ap'!H19/'hecate_no_ap'!H19)</f>
        <v/>
      </c>
      <c r="G19">
        <f>IF(OR('hecate_ap'!H19=-1, 'hecate_no_ap'!H19=-1), "", 'hecate_ap'!J19/'hecate_no_ap'!J19)</f>
        <v/>
      </c>
      <c r="H19">
        <f>IF(OR('hecate_ap'!H19=-1, 'hecate_no_ap'!H19=-1), "", 'hecate_ap'!K19/'hecate_no_ap'!K19)</f>
        <v/>
      </c>
      <c r="I19">
        <f>IF(OR('hecate_ap'!H19=-1, 'hecate_no_ap'!H19=-1), "", 'hecate_ap'!L19/'hecate_no_ap'!L19)</f>
        <v/>
      </c>
      <c r="J19">
        <f>IF(OR('hecate_ap'!H19=-1, 'hecate_no_ap'!H19=-1), "", 'hecate_ap'!AC19/'hecate_no_ap'!AC19)</f>
        <v/>
      </c>
      <c r="K19">
        <f>IF(OR('hecate_ap'!H19=-1, 'hecate_no_ap'!H19=-1), "", 'hecate_ap'!AD19/'hecate_no_ap'!AD19)</f>
        <v/>
      </c>
    </row>
    <row r="20">
      <c r="A20" t="inlineStr">
        <is>
          <t>hecate</t>
        </is>
      </c>
      <c r="B20" t="inlineStr">
        <is>
          <t>hecate_25d_L17_int_10um_bump_fanin_12.xml</t>
        </is>
      </c>
      <c r="C20" t="inlineStr">
        <is>
          <t>tpu_like.large.ws.blif</t>
        </is>
      </c>
      <c r="D20">
        <f>IF(OR('hecate_ap'!H20=-1, 'hecate_no_ap'!H20=-1), "", 'hecate_ap'!F20/'hecate_no_ap'!F20)</f>
        <v/>
      </c>
      <c r="E20">
        <f>IF(OR('hecate_ap'!H20=-1, 'hecate_no_ap'!H20=-1), "", 'hecate_ap'!G20/'hecate_no_ap'!G20)</f>
        <v/>
      </c>
      <c r="F20">
        <f>IF(OR('hecate_ap'!H20=-1, 'hecate_no_ap'!H20=-1), "", 'hecate_ap'!H20/'hecate_no_ap'!H20)</f>
        <v/>
      </c>
      <c r="G20">
        <f>IF(OR('hecate_ap'!H20=-1, 'hecate_no_ap'!H20=-1), "", 'hecate_ap'!J20/'hecate_no_ap'!J20)</f>
        <v/>
      </c>
      <c r="H20">
        <f>IF(OR('hecate_ap'!H20=-1, 'hecate_no_ap'!H20=-1), "", 'hecate_ap'!K20/'hecate_no_ap'!K20)</f>
        <v/>
      </c>
      <c r="I20">
        <f>IF(OR('hecate_ap'!H20=-1, 'hecate_no_ap'!H20=-1), "", 'hecate_ap'!L20/'hecate_no_ap'!L20)</f>
        <v/>
      </c>
      <c r="J20">
        <f>IF(OR('hecate_ap'!H20=-1, 'hecate_no_ap'!H20=-1), "", 'hecate_ap'!AC20/'hecate_no_ap'!AC20)</f>
        <v/>
      </c>
      <c r="K20">
        <f>IF(OR('hecate_ap'!H20=-1, 'hecate_no_ap'!H20=-1), "", 'hecate_ap'!AD20/'hecate_no_ap'!AD20)</f>
        <v/>
      </c>
    </row>
    <row r="21">
      <c r="A21" t="inlineStr">
        <is>
          <t>hecate</t>
        </is>
      </c>
      <c r="B21" t="inlineStr"/>
      <c r="C21" t="inlineStr">
        <is>
          <t>GEOMEAN</t>
        </is>
      </c>
      <c r="D21">
        <f>GEOMEAN(D2:D20)</f>
        <v/>
      </c>
      <c r="E21">
        <f>GEOMEAN(E2:E20)</f>
        <v/>
      </c>
      <c r="F21">
        <f>GEOMEAN(F2:F20)</f>
        <v/>
      </c>
      <c r="G21">
        <f>GEOMEAN(G2:G20)</f>
        <v/>
      </c>
      <c r="H21">
        <f>GEOMEAN(H2:H20)</f>
        <v/>
      </c>
      <c r="I21">
        <f>GEOMEAN(I2:I20)</f>
        <v/>
      </c>
      <c r="J21">
        <f>GEOMEAN(J2:J20)</f>
        <v/>
      </c>
      <c r="K21">
        <f>GEOMEAN(K2:K20)</f>
        <v/>
      </c>
    </row>
    <row r="22">
      <c r="A22" t="inlineStr">
        <is>
          <t>hecate</t>
        </is>
      </c>
      <c r="B22" t="inlineStr"/>
      <c r="C22" t="inlineStr">
        <is>
          <t>UNROUTES</t>
        </is>
      </c>
      <c r="D22">
        <f>19 - COUNT(F2:F20)</f>
        <v/>
      </c>
    </row>
    <row r="23">
      <c r="A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hecate_25d_L17_int_10um_bump_fanin_12.xml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success</t>
        </is>
      </c>
      <c r="E2" t="n">
        <v>333221</v>
      </c>
      <c r="F2" t="n">
        <v>258937</v>
      </c>
      <c r="G2" t="n">
        <v>191687</v>
      </c>
      <c r="H2" t="n">
        <v>409153</v>
      </c>
      <c r="I2" t="n">
        <v>4.981574</v>
      </c>
      <c r="J2" t="n">
        <v>6.29311</v>
      </c>
      <c r="K2" t="n">
        <v>5.54758</v>
      </c>
      <c r="L2" t="n">
        <v>7.52702</v>
      </c>
      <c r="M2" t="n">
        <v>-24903.019531</v>
      </c>
      <c r="N2" t="n">
        <v>-57767.8</v>
      </c>
      <c r="O2" t="n">
        <v>-49660.4</v>
      </c>
      <c r="P2" t="n">
        <v>-72714.8</v>
      </c>
      <c r="Q2" t="n">
        <v>4</v>
      </c>
      <c r="R2" t="n">
        <v>5149.5</v>
      </c>
      <c r="S2" t="n">
        <v>0</v>
      </c>
      <c r="T2" t="n">
        <v>46.071953</v>
      </c>
      <c r="U2" t="n">
        <v>36.194233</v>
      </c>
      <c r="V2" t="n">
        <v>23138.986328</v>
      </c>
      <c r="W2" t="n">
        <v>0.837247</v>
      </c>
      <c r="X2" t="n">
        <v>32.342499</v>
      </c>
      <c r="Y2" t="n">
        <v>178.87</v>
      </c>
      <c r="Z2" t="n">
        <v>18.67</v>
      </c>
      <c r="AA2" t="n">
        <v>116</v>
      </c>
      <c r="AB2" t="n">
        <v>25.5</v>
      </c>
      <c r="AC2" t="n">
        <v>40.53</v>
      </c>
      <c r="AD2" t="n">
        <v>223.39</v>
      </c>
      <c r="AE2" t="n">
        <v>1347</v>
      </c>
      <c r="AF2" t="n">
        <v>-1</v>
      </c>
      <c r="AG2" t="n">
        <v>27637</v>
      </c>
      <c r="AH2" t="n">
        <v/>
      </c>
    </row>
    <row r="3">
      <c r="A3" t="inlineStr">
        <is>
          <t>hecate_25d_L17_int_10um_bump_fanin_12.xml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990259</v>
      </c>
      <c r="F3" t="n">
        <v>2332820</v>
      </c>
      <c r="G3" t="n">
        <v>1010079</v>
      </c>
      <c r="H3" t="n">
        <v>1780831</v>
      </c>
      <c r="I3" t="n">
        <v>5.767283</v>
      </c>
      <c r="J3" t="n">
        <v>20.9514</v>
      </c>
      <c r="K3" t="n">
        <v>6.12993</v>
      </c>
      <c r="L3" t="n">
        <v>9.545439999999999</v>
      </c>
      <c r="M3" t="n">
        <v>-79009.515625</v>
      </c>
      <c r="N3" t="n">
        <v>-138826</v>
      </c>
      <c r="O3" t="n">
        <v>-113350</v>
      </c>
      <c r="P3" t="n">
        <v>-135031</v>
      </c>
      <c r="Q3" t="n">
        <v>269</v>
      </c>
      <c r="R3" t="n">
        <v>663.327148</v>
      </c>
      <c r="S3" t="n">
        <v>0</v>
      </c>
      <c r="T3" t="n">
        <v>81.31353799999999</v>
      </c>
      <c r="U3" t="n">
        <v>62.967537</v>
      </c>
      <c r="V3" t="n">
        <v>1652731</v>
      </c>
      <c r="W3" t="n">
        <v>10.976059</v>
      </c>
      <c r="X3" t="n">
        <v>132.93985</v>
      </c>
      <c r="Y3" t="n">
        <v>881.9299999999999</v>
      </c>
      <c r="Z3" t="n">
        <v>125.77</v>
      </c>
      <c r="AA3" t="n">
        <v>402.51</v>
      </c>
      <c r="AB3" t="n">
        <v>274.9</v>
      </c>
      <c r="AC3" t="n">
        <v>84.27</v>
      </c>
      <c r="AD3" t="n">
        <v>985.54</v>
      </c>
      <c r="AE3" t="n">
        <v>9566</v>
      </c>
      <c r="AF3" t="n">
        <v>-1</v>
      </c>
      <c r="AG3" t="n">
        <v>150576</v>
      </c>
      <c r="AH3" t="n">
        <v/>
      </c>
    </row>
    <row r="4">
      <c r="A4" t="inlineStr">
        <is>
          <t>hecate_25d_L17_int_10um_bump_fanin_12.xml</t>
        </is>
      </c>
      <c r="B4" t="inlineStr">
        <is>
          <t>bwave_like.fixed.small.blif</t>
        </is>
      </c>
      <c r="C4" t="inlineStr">
        <is>
          <t>common</t>
        </is>
      </c>
      <c r="D4" t="inlineStr">
        <is>
          <t>success</t>
        </is>
      </c>
      <c r="E4" t="n">
        <v>338152</v>
      </c>
      <c r="F4" t="n">
        <v>305426</v>
      </c>
      <c r="G4" t="n">
        <v>221564</v>
      </c>
      <c r="H4" t="n">
        <v>438679</v>
      </c>
      <c r="I4" t="n">
        <v>5.222437</v>
      </c>
      <c r="J4" t="n">
        <v>6.26512</v>
      </c>
      <c r="K4" t="n">
        <v>5.39329</v>
      </c>
      <c r="L4" t="n">
        <v>6.14365</v>
      </c>
      <c r="M4" t="n">
        <v>-41332.289062</v>
      </c>
      <c r="N4" t="n">
        <v>-63181.9</v>
      </c>
      <c r="O4" t="n">
        <v>-58260.5</v>
      </c>
      <c r="P4" t="n">
        <v>-83074.3</v>
      </c>
      <c r="Q4" t="n">
        <v>26</v>
      </c>
      <c r="R4" t="n">
        <v>2237.307617</v>
      </c>
      <c r="S4" t="n">
        <v>0</v>
      </c>
      <c r="T4" t="n">
        <v>66.201645</v>
      </c>
      <c r="U4" t="n">
        <v>45.889854</v>
      </c>
      <c r="V4" t="n">
        <v>25768.171875</v>
      </c>
      <c r="W4" t="n">
        <v>1.235114</v>
      </c>
      <c r="X4" t="n">
        <v>60.27972</v>
      </c>
      <c r="Y4" t="n">
        <v>103.26</v>
      </c>
      <c r="Z4" t="n">
        <v>17</v>
      </c>
      <c r="AA4" t="n">
        <v>46.56</v>
      </c>
      <c r="AB4" t="n">
        <v>16.71</v>
      </c>
      <c r="AC4" t="n">
        <v>42.7</v>
      </c>
      <c r="AD4" t="n">
        <v>149.23</v>
      </c>
      <c r="AE4" t="n">
        <v>1046</v>
      </c>
      <c r="AF4" t="n">
        <v>-1</v>
      </c>
      <c r="AG4" t="n">
        <v>20863</v>
      </c>
      <c r="AH4" t="n">
        <v/>
      </c>
    </row>
    <row r="5">
      <c r="A5" t="inlineStr">
        <is>
          <t>hecate_25d_L17_int_10um_bump_fanin_12.xml</t>
        </is>
      </c>
      <c r="B5" t="inlineStr">
        <is>
          <t>bwave_like.fixed.large.blif</t>
        </is>
      </c>
      <c r="C5" t="inlineStr">
        <is>
          <t>common</t>
        </is>
      </c>
      <c r="D5" t="inlineStr">
        <is>
          <t>success</t>
        </is>
      </c>
      <c r="E5" t="n">
        <v>1839500</v>
      </c>
      <c r="F5" t="n">
        <v>1452850</v>
      </c>
      <c r="G5" t="n">
        <v>1133496</v>
      </c>
      <c r="H5" t="n">
        <v>1915973</v>
      </c>
      <c r="I5" t="n">
        <v>6.408436</v>
      </c>
      <c r="J5" t="n">
        <v>8.74034</v>
      </c>
      <c r="K5" t="n">
        <v>6.72017</v>
      </c>
      <c r="L5" t="n">
        <v>7.84809</v>
      </c>
      <c r="M5" t="n">
        <v>-175384.21875</v>
      </c>
      <c r="N5" t="n">
        <v>-265701</v>
      </c>
      <c r="O5" t="n">
        <v>-256721</v>
      </c>
      <c r="P5" t="n">
        <v>-403700</v>
      </c>
      <c r="Q5" t="n">
        <v>87</v>
      </c>
      <c r="R5" t="n">
        <v>896.172424</v>
      </c>
      <c r="S5" t="n">
        <v>0</v>
      </c>
      <c r="T5" t="n">
        <v>74.860123</v>
      </c>
      <c r="U5" t="n">
        <v>45.061779</v>
      </c>
      <c r="V5" t="n">
        <v>87190.773438</v>
      </c>
      <c r="W5" t="n">
        <v>1.189084</v>
      </c>
      <c r="X5" t="n">
        <v>82.000198</v>
      </c>
      <c r="Y5" t="n">
        <v>525.47</v>
      </c>
      <c r="Z5" t="n">
        <v>59.41</v>
      </c>
      <c r="AA5" t="n">
        <v>183.23</v>
      </c>
      <c r="AB5" t="n">
        <v>122.16</v>
      </c>
      <c r="AC5" t="n">
        <v>234.7</v>
      </c>
      <c r="AD5" t="n">
        <v>773.21</v>
      </c>
      <c r="AE5" t="n">
        <v>3743</v>
      </c>
      <c r="AF5" t="n">
        <v>-1</v>
      </c>
      <c r="AG5" t="n">
        <v>73326</v>
      </c>
      <c r="AH5" t="n">
        <v/>
      </c>
    </row>
    <row r="6">
      <c r="A6" t="inlineStr">
        <is>
          <t>hecate_25d_L17_int_10um_bump_fanin_12.xml</t>
        </is>
      </c>
      <c r="B6" t="inlineStr">
        <is>
          <t>clstm_like.large.blif</t>
        </is>
      </c>
      <c r="C6" t="inlineStr">
        <is>
          <t>common</t>
        </is>
      </c>
      <c r="D6" t="inlineStr">
        <is>
          <t>success</t>
        </is>
      </c>
      <c r="E6" t="n">
        <v>10741200</v>
      </c>
      <c r="F6" t="n">
        <v>12377300</v>
      </c>
      <c r="G6" t="n">
        <v>5123051</v>
      </c>
      <c r="H6" t="n">
        <v>5667248</v>
      </c>
      <c r="I6" t="n">
        <v>8.739388999999999</v>
      </c>
      <c r="J6" t="n">
        <v>22.0908</v>
      </c>
      <c r="K6" t="n">
        <v>7.53294</v>
      </c>
      <c r="L6" t="n">
        <v>8.19388</v>
      </c>
      <c r="M6" t="n">
        <v>-506303.84375</v>
      </c>
      <c r="N6" t="n">
        <v>-1463420</v>
      </c>
      <c r="O6" t="n">
        <v>-1253930</v>
      </c>
      <c r="P6" t="n">
        <v>-1555130</v>
      </c>
      <c r="Q6" t="n">
        <v>3440</v>
      </c>
      <c r="R6" t="n">
        <v>113.827034</v>
      </c>
      <c r="S6" t="n">
        <v>0</v>
      </c>
      <c r="T6" t="n">
        <v>73.672966</v>
      </c>
      <c r="U6" t="n">
        <v>60.501163</v>
      </c>
      <c r="V6" t="n">
        <v>18883538</v>
      </c>
      <c r="W6" t="n">
        <v>24.881004</v>
      </c>
      <c r="X6" t="n">
        <v>331.170746</v>
      </c>
      <c r="Y6" t="n">
        <v>6256.43</v>
      </c>
      <c r="Z6" t="n">
        <v>623.79</v>
      </c>
      <c r="AA6" t="n">
        <v>2047.03</v>
      </c>
      <c r="AB6" t="n">
        <v>2946.53</v>
      </c>
      <c r="AC6" t="n">
        <v>356.53</v>
      </c>
      <c r="AD6" t="n">
        <v>6687.8</v>
      </c>
      <c r="AE6" t="n">
        <v>44838</v>
      </c>
      <c r="AF6" t="n">
        <v>-1</v>
      </c>
      <c r="AG6" t="n">
        <v>758954</v>
      </c>
      <c r="AH6" t="n">
        <v/>
      </c>
    </row>
    <row r="7">
      <c r="A7" t="inlineStr">
        <is>
          <t>hecate_25d_L17_int_10um_bump_fanin_12.xml</t>
        </is>
      </c>
      <c r="B7" t="inlineStr">
        <is>
          <t>clstm_like.medium.blif</t>
        </is>
      </c>
      <c r="C7" t="inlineStr">
        <is>
          <t>common</t>
        </is>
      </c>
      <c r="D7" t="inlineStr">
        <is>
          <t>success</t>
        </is>
      </c>
      <c r="E7" t="n">
        <v>6114450</v>
      </c>
      <c r="F7" t="n">
        <v>5477720</v>
      </c>
      <c r="G7" t="n">
        <v>2761807</v>
      </c>
      <c r="H7" t="n">
        <v>3424055</v>
      </c>
      <c r="I7" t="n">
        <v>6.953044</v>
      </c>
      <c r="J7" t="n">
        <v>14.2075</v>
      </c>
      <c r="K7" t="n">
        <v>6.5928</v>
      </c>
      <c r="L7" t="n">
        <v>7.29598</v>
      </c>
      <c r="M7" t="n">
        <v>-359315</v>
      </c>
      <c r="N7" t="n">
        <v>-835455</v>
      </c>
      <c r="O7" t="n">
        <v>-725135</v>
      </c>
      <c r="P7" t="n">
        <v>-900723</v>
      </c>
      <c r="Q7" t="n">
        <v>2289</v>
      </c>
      <c r="R7" t="n">
        <v>116.764961</v>
      </c>
      <c r="S7" t="n">
        <v>0</v>
      </c>
      <c r="T7" t="n">
        <v>77.625618</v>
      </c>
      <c r="U7" t="n">
        <v>60.051048</v>
      </c>
      <c r="V7" t="n">
        <v>6375735</v>
      </c>
      <c r="W7" t="n">
        <v>12.528168</v>
      </c>
      <c r="X7" t="n">
        <v>230.661896</v>
      </c>
      <c r="Y7" t="n">
        <v>3093.66</v>
      </c>
      <c r="Z7" t="n">
        <v>397.17</v>
      </c>
      <c r="AA7" t="n">
        <v>1390.54</v>
      </c>
      <c r="AB7" t="n">
        <v>1084.02</v>
      </c>
      <c r="AC7" t="n">
        <v>237.52</v>
      </c>
      <c r="AD7" t="n">
        <v>3379.19</v>
      </c>
      <c r="AE7" t="n">
        <v>26775</v>
      </c>
      <c r="AF7" t="n">
        <v>-1</v>
      </c>
      <c r="AG7" t="n">
        <v>508912</v>
      </c>
      <c r="AH7" t="n">
        <v/>
      </c>
    </row>
    <row r="8">
      <c r="A8" t="inlineStr">
        <is>
          <t>hecate_25d_L17_int_10um_bump_fanin_12.xml</t>
        </is>
      </c>
      <c r="B8" t="inlineStr">
        <is>
          <t>clstm_like.small.blif</t>
        </is>
      </c>
      <c r="C8" t="inlineStr">
        <is>
          <t>common</t>
        </is>
      </c>
      <c r="D8" t="inlineStr">
        <is>
          <t>success</t>
        </is>
      </c>
      <c r="E8" t="n">
        <v>2500360</v>
      </c>
      <c r="F8" t="n">
        <v>1996410</v>
      </c>
      <c r="G8" t="n">
        <v>1118443</v>
      </c>
      <c r="H8" t="n">
        <v>1588924</v>
      </c>
      <c r="I8" t="n">
        <v>6.07292</v>
      </c>
      <c r="J8" t="n">
        <v>10.664</v>
      </c>
      <c r="K8" t="n">
        <v>5.24917</v>
      </c>
      <c r="L8" t="n">
        <v>5.93915</v>
      </c>
      <c r="M8" t="n">
        <v>-194297.046875</v>
      </c>
      <c r="N8" t="n">
        <v>-329906</v>
      </c>
      <c r="O8" t="n">
        <v>-297207</v>
      </c>
      <c r="P8" t="n">
        <v>-373578</v>
      </c>
      <c r="Q8" t="n">
        <v>1264</v>
      </c>
      <c r="R8" t="n">
        <v>99.336235</v>
      </c>
      <c r="S8" t="n">
        <v>0</v>
      </c>
      <c r="T8" t="n">
        <v>78.779877</v>
      </c>
      <c r="U8" t="n">
        <v>62.799671</v>
      </c>
      <c r="V8" t="n">
        <v>1864256.625</v>
      </c>
      <c r="W8" t="n">
        <v>7.201628</v>
      </c>
      <c r="X8" t="n">
        <v>208.000198</v>
      </c>
      <c r="Y8" t="n">
        <v>1499.11</v>
      </c>
      <c r="Z8" t="n">
        <v>166.06</v>
      </c>
      <c r="AA8" t="n">
        <v>736.1799999999999</v>
      </c>
      <c r="AB8" t="n">
        <v>406.04</v>
      </c>
      <c r="AC8" t="n">
        <v>119.46</v>
      </c>
      <c r="AD8" t="n">
        <v>1642.45</v>
      </c>
      <c r="AE8" t="n">
        <v>12602</v>
      </c>
      <c r="AF8" t="n">
        <v>-1</v>
      </c>
      <c r="AG8" t="n">
        <v>258866</v>
      </c>
      <c r="AH8" t="n">
        <v/>
      </c>
    </row>
    <row r="9">
      <c r="A9" t="inlineStr">
        <is>
          <t>hecate_25d_L17_int_10um_bump_fanin_12.xml</t>
        </is>
      </c>
      <c r="B9" t="inlineStr">
        <is>
          <t>conv_layer_hls.blif</t>
        </is>
      </c>
      <c r="C9" t="inlineStr">
        <is>
          <t>common</t>
        </is>
      </c>
      <c r="D9" t="inlineStr">
        <is>
          <t>success</t>
        </is>
      </c>
      <c r="E9" t="n">
        <v>62844.1</v>
      </c>
      <c r="F9" t="n">
        <v>64559.3</v>
      </c>
      <c r="G9" t="n">
        <v>50877</v>
      </c>
      <c r="H9" t="n">
        <v>94268</v>
      </c>
      <c r="I9" t="n">
        <v>4.699383</v>
      </c>
      <c r="J9" t="n">
        <v>6.49366</v>
      </c>
      <c r="K9" t="n">
        <v>6.37561</v>
      </c>
      <c r="L9" t="n">
        <v>7.06024</v>
      </c>
      <c r="M9" t="n">
        <v>-8636.552734000001</v>
      </c>
      <c r="N9" t="n">
        <v>-10449.4</v>
      </c>
      <c r="O9" t="n">
        <v>-9379.25</v>
      </c>
      <c r="P9" t="n">
        <v>-11419.5</v>
      </c>
      <c r="Q9" t="n">
        <v>1</v>
      </c>
      <c r="R9" t="n">
        <v>1</v>
      </c>
      <c r="S9" t="n">
        <v>0</v>
      </c>
      <c r="T9" t="n">
        <v>7.344009</v>
      </c>
      <c r="U9" t="n">
        <v>33.551941</v>
      </c>
      <c r="V9" t="n">
        <v>12446.829102</v>
      </c>
      <c r="W9" t="n">
        <v>1.007759</v>
      </c>
      <c r="X9" t="n">
        <v>24</v>
      </c>
      <c r="Y9" t="n">
        <v>116.84</v>
      </c>
      <c r="Z9" t="n">
        <v>8.550000000000001</v>
      </c>
      <c r="AA9" t="n">
        <v>26.42</v>
      </c>
      <c r="AB9" t="n">
        <v>17.23</v>
      </c>
      <c r="AC9" t="n">
        <v>8.27</v>
      </c>
      <c r="AD9" t="n">
        <v>127.11</v>
      </c>
      <c r="AE9" t="n">
        <v>2126</v>
      </c>
      <c r="AF9" t="n">
        <v>-1</v>
      </c>
      <c r="AG9" t="n">
        <v>12351</v>
      </c>
      <c r="AH9" t="n">
        <v/>
      </c>
    </row>
    <row r="10">
      <c r="A10" t="inlineStr">
        <is>
          <t>hecate_25d_L17_int_10um_bump_fanin_12.xml</t>
        </is>
      </c>
      <c r="B10" t="inlineStr">
        <is>
          <t>dla_like.medium.blif</t>
        </is>
      </c>
      <c r="C10" t="inlineStr">
        <is>
          <t>common</t>
        </is>
      </c>
      <c r="D10" t="inlineStr">
        <is>
          <t>success</t>
        </is>
      </c>
      <c r="E10" t="n">
        <v>2677490</v>
      </c>
      <c r="F10" t="n">
        <v>4080610</v>
      </c>
      <c r="G10" t="n">
        <v>1813813</v>
      </c>
      <c r="H10" t="n">
        <v>3282545</v>
      </c>
      <c r="I10" t="n">
        <v>7.652261</v>
      </c>
      <c r="J10" t="n">
        <v>20.4875</v>
      </c>
      <c r="K10" t="n">
        <v>7.06371</v>
      </c>
      <c r="L10" t="n">
        <v>10.2762</v>
      </c>
      <c r="M10" t="n">
        <v>-398342.96875</v>
      </c>
      <c r="N10" t="n">
        <v>-451988</v>
      </c>
      <c r="O10" t="n">
        <v>-335911</v>
      </c>
      <c r="P10" t="n">
        <v>-419257</v>
      </c>
      <c r="Q10" t="n">
        <v>487</v>
      </c>
      <c r="R10" t="n">
        <v>215.82341</v>
      </c>
      <c r="S10" t="n">
        <v>0</v>
      </c>
      <c r="T10" t="n">
        <v>81.349861</v>
      </c>
      <c r="U10" t="n">
        <v>57.130402</v>
      </c>
      <c r="V10" t="n">
        <v>2930117.75</v>
      </c>
      <c r="W10" t="n">
        <v>7.811752</v>
      </c>
      <c r="X10" t="n">
        <v>216.058044</v>
      </c>
      <c r="Y10" t="n">
        <v>4470.06</v>
      </c>
      <c r="Z10" t="n">
        <v>275.84</v>
      </c>
      <c r="AA10" t="n">
        <v>2979.25</v>
      </c>
      <c r="AB10" t="n">
        <v>929.85</v>
      </c>
      <c r="AC10" t="n">
        <v>171.52</v>
      </c>
      <c r="AD10" t="n">
        <v>4678.91</v>
      </c>
      <c r="AE10" t="n">
        <v>19907</v>
      </c>
      <c r="AF10" t="n">
        <v>-1</v>
      </c>
      <c r="AG10" t="n">
        <v>375091</v>
      </c>
      <c r="AH10" t="n">
        <v/>
      </c>
    </row>
    <row r="11">
      <c r="A11" t="inlineStr">
        <is>
          <t>hecate_25d_L17_int_10um_bump_fanin_12.xml</t>
        </is>
      </c>
      <c r="B11" t="inlineStr">
        <is>
          <t>dla_like.small.blif</t>
        </is>
      </c>
      <c r="C11" t="inlineStr">
        <is>
          <t>common</t>
        </is>
      </c>
      <c r="D11" t="inlineStr">
        <is>
          <t>success</t>
        </is>
      </c>
      <c r="E11" t="n">
        <v>968219</v>
      </c>
      <c r="F11" t="n">
        <v>1391640</v>
      </c>
      <c r="G11" t="n">
        <v>673788</v>
      </c>
      <c r="H11" t="n">
        <v>1297292</v>
      </c>
      <c r="I11" t="n">
        <v>6.977028</v>
      </c>
      <c r="J11" t="n">
        <v>11.2916</v>
      </c>
      <c r="K11" t="n">
        <v>6.60656</v>
      </c>
      <c r="L11" t="n">
        <v>7.3264</v>
      </c>
      <c r="M11" t="n">
        <v>-153834.875</v>
      </c>
      <c r="N11" t="n">
        <v>-169469</v>
      </c>
      <c r="O11" t="n">
        <v>-142024</v>
      </c>
      <c r="P11" t="n">
        <v>-166760</v>
      </c>
      <c r="Q11" t="n">
        <v>135</v>
      </c>
      <c r="R11" t="n">
        <v>276.229645</v>
      </c>
      <c r="S11" t="n">
        <v>0</v>
      </c>
      <c r="T11" t="n">
        <v>81.733597</v>
      </c>
      <c r="U11" t="n">
        <v>53.187885</v>
      </c>
      <c r="V11" t="n">
        <v>744555.3125</v>
      </c>
      <c r="W11" t="n">
        <v>5.104974</v>
      </c>
      <c r="X11" t="n">
        <v>156.000198</v>
      </c>
      <c r="Y11" t="n">
        <v>1598.31</v>
      </c>
      <c r="Z11" t="n">
        <v>104.85</v>
      </c>
      <c r="AA11" t="n">
        <v>1179.24</v>
      </c>
      <c r="AB11" t="n">
        <v>201.57</v>
      </c>
      <c r="AC11" t="n">
        <v>82.16</v>
      </c>
      <c r="AD11" t="n">
        <v>1695.27</v>
      </c>
      <c r="AE11" t="n">
        <v>7652</v>
      </c>
      <c r="AF11" t="n">
        <v>-1</v>
      </c>
      <c r="AG11" t="n">
        <v>145849</v>
      </c>
      <c r="AH11" t="n">
        <v/>
      </c>
    </row>
    <row r="12">
      <c r="A12" t="inlineStr">
        <is>
          <t>hecate_25d_L17_int_10um_bump_fanin_12.xml</t>
        </is>
      </c>
      <c r="B12" t="inlineStr">
        <is>
          <t>dnnweaver.blif</t>
        </is>
      </c>
      <c r="C12" t="inlineStr">
        <is>
          <t>common</t>
        </is>
      </c>
      <c r="D12" t="inlineStr">
        <is>
          <t>success</t>
        </is>
      </c>
      <c r="E12" t="n">
        <v>3745960</v>
      </c>
      <c r="F12" t="n">
        <v>2634190</v>
      </c>
      <c r="G12" t="n">
        <v>1547356</v>
      </c>
      <c r="H12" t="n">
        <v>2726723</v>
      </c>
      <c r="I12" t="n">
        <v>8.287056</v>
      </c>
      <c r="J12" t="n">
        <v>9.68878</v>
      </c>
      <c r="K12" t="n">
        <v>8.060890000000001</v>
      </c>
      <c r="L12" t="n">
        <v>10.6951</v>
      </c>
      <c r="M12" t="n">
        <v>-939157.3125</v>
      </c>
      <c r="N12" t="n">
        <v>-1047290</v>
      </c>
      <c r="O12" t="n">
        <v>-880445</v>
      </c>
      <c r="P12" t="n">
        <v>-1154580</v>
      </c>
      <c r="Q12" t="n">
        <v>120</v>
      </c>
      <c r="R12" t="n">
        <v>2385</v>
      </c>
      <c r="S12" t="n">
        <v>0</v>
      </c>
      <c r="T12" t="n">
        <v>49.796852</v>
      </c>
      <c r="U12" t="n">
        <v>44.648571</v>
      </c>
      <c r="V12" t="n">
        <v>180626.8125</v>
      </c>
      <c r="W12" t="n">
        <v>1.307999</v>
      </c>
      <c r="X12" t="n">
        <v>151.891678</v>
      </c>
      <c r="Y12" t="n">
        <v>1649.65</v>
      </c>
      <c r="Z12" t="n">
        <v>113.88</v>
      </c>
      <c r="AA12" t="n">
        <v>936.5</v>
      </c>
      <c r="AB12" t="n">
        <v>498.16</v>
      </c>
      <c r="AC12" t="n">
        <v>246.55</v>
      </c>
      <c r="AD12" t="n">
        <v>1917.83</v>
      </c>
      <c r="AE12" t="n">
        <v>8305</v>
      </c>
      <c r="AF12" t="n">
        <v>-1</v>
      </c>
      <c r="AG12" t="n">
        <v>138094</v>
      </c>
      <c r="AH12" t="n">
        <v/>
      </c>
    </row>
    <row r="13">
      <c r="A13" t="inlineStr">
        <is>
          <t>hecate_25d_L17_int_10um_bump_fanin_12.xml</t>
        </is>
      </c>
      <c r="B13" t="inlineStr">
        <is>
          <t>gemm_layer.blif</t>
        </is>
      </c>
      <c r="C13" t="inlineStr">
        <is>
          <t>common</t>
        </is>
      </c>
      <c r="D13" t="inlineStr">
        <is>
          <t>success</t>
        </is>
      </c>
      <c r="E13" t="n">
        <v>2496750</v>
      </c>
      <c r="F13" t="n">
        <v>7863760</v>
      </c>
      <c r="G13" t="n">
        <v>2549338</v>
      </c>
      <c r="H13" t="n">
        <v>4372946</v>
      </c>
      <c r="I13" t="n">
        <v>6.576307</v>
      </c>
      <c r="J13" t="n">
        <v>22.5292</v>
      </c>
      <c r="K13" t="n">
        <v>6.40929</v>
      </c>
      <c r="L13" t="n">
        <v>7.2472</v>
      </c>
      <c r="M13" t="n">
        <v>-177660.6875</v>
      </c>
      <c r="N13" t="n">
        <v>-494696</v>
      </c>
      <c r="O13" t="n">
        <v>-356179</v>
      </c>
      <c r="P13" t="n">
        <v>-418198</v>
      </c>
      <c r="Q13" t="n">
        <v>1057</v>
      </c>
      <c r="R13" t="n">
        <v>408.704834</v>
      </c>
      <c r="S13" t="n">
        <v>0</v>
      </c>
      <c r="T13" t="n">
        <v>76.009064</v>
      </c>
      <c r="U13" t="n">
        <v>59.555172</v>
      </c>
      <c r="V13" t="n">
        <v>8085294.5</v>
      </c>
      <c r="W13" t="n">
        <v>21.017853</v>
      </c>
      <c r="X13" t="n">
        <v>194.489807</v>
      </c>
      <c r="Y13" t="n">
        <v>5243.52</v>
      </c>
      <c r="Z13" t="n">
        <v>327.44</v>
      </c>
      <c r="AA13" t="n">
        <v>2954.67</v>
      </c>
      <c r="AB13" t="n">
        <v>1600.73</v>
      </c>
      <c r="AC13" t="n">
        <v>204.24</v>
      </c>
      <c r="AD13" t="n">
        <v>5493.92</v>
      </c>
      <c r="AE13" t="n">
        <v>25781</v>
      </c>
      <c r="AF13" t="n">
        <v>-1</v>
      </c>
      <c r="AG13" t="n">
        <v>384687</v>
      </c>
      <c r="AH13" t="n">
        <v/>
      </c>
    </row>
    <row r="14">
      <c r="A14" t="inlineStr">
        <is>
          <t>hecate_25d_L17_int_10um_bump_fanin_12.xml</t>
        </is>
      </c>
      <c r="B14" t="inlineStr">
        <is>
          <t>lstm.blif</t>
        </is>
      </c>
      <c r="C14" t="inlineStr">
        <is>
          <t>common</t>
        </is>
      </c>
      <c r="D14" t="inlineStr">
        <is>
          <t>success</t>
        </is>
      </c>
      <c r="E14" t="n">
        <v>1253610</v>
      </c>
      <c r="F14" t="n">
        <v>1299010</v>
      </c>
      <c r="G14" t="n">
        <v>806467</v>
      </c>
      <c r="H14" t="n">
        <v>1672840</v>
      </c>
      <c r="I14" t="n">
        <v>5.045804</v>
      </c>
      <c r="J14" t="n">
        <v>9.939539999999999</v>
      </c>
      <c r="K14" t="n">
        <v>5.97074</v>
      </c>
      <c r="L14" t="n">
        <v>7.37828</v>
      </c>
      <c r="M14" t="n">
        <v>-114116.171875</v>
      </c>
      <c r="N14" t="n">
        <v>-212702</v>
      </c>
      <c r="O14" t="n">
        <v>-195742</v>
      </c>
      <c r="P14" t="n">
        <v>-272670</v>
      </c>
      <c r="Q14" t="n">
        <v>353</v>
      </c>
      <c r="R14" t="n">
        <v>149.201126</v>
      </c>
      <c r="S14" t="n">
        <v>0</v>
      </c>
      <c r="T14" t="n">
        <v>60.966385</v>
      </c>
      <c r="U14" t="n">
        <v>44.39325</v>
      </c>
      <c r="V14" t="n">
        <v>550076.5625</v>
      </c>
      <c r="W14" t="n">
        <v>4.048759</v>
      </c>
      <c r="X14" t="n">
        <v>128.000198</v>
      </c>
      <c r="Y14" t="n">
        <v>916.02</v>
      </c>
      <c r="Z14" t="n">
        <v>113.15</v>
      </c>
      <c r="AA14" t="n">
        <v>477.06</v>
      </c>
      <c r="AB14" t="n">
        <v>229.22</v>
      </c>
      <c r="AC14" t="n">
        <v>149.58</v>
      </c>
      <c r="AD14" t="n">
        <v>1081.12</v>
      </c>
      <c r="AE14" t="n">
        <v>6228</v>
      </c>
      <c r="AF14" t="n">
        <v>-1</v>
      </c>
      <c r="AG14" t="n">
        <v>135863</v>
      </c>
      <c r="AH14" t="n">
        <v/>
      </c>
    </row>
    <row r="15">
      <c r="A15" t="inlineStr">
        <is>
          <t>hecate_25d_L17_int_10um_bump_fanin_12.xml</t>
        </is>
      </c>
      <c r="B15" t="inlineStr">
        <is>
          <t>proxy.5.blif</t>
        </is>
      </c>
      <c r="C15" t="inlineStr">
        <is>
          <t>common</t>
        </is>
      </c>
      <c r="D15" t="inlineStr">
        <is>
          <t>success</t>
        </is>
      </c>
      <c r="E15" t="n">
        <v>792912</v>
      </c>
      <c r="F15" t="n">
        <v>1066200</v>
      </c>
      <c r="G15" t="n">
        <v>649281</v>
      </c>
      <c r="H15" t="n">
        <v>1224558</v>
      </c>
      <c r="I15" t="n">
        <v>4.658494</v>
      </c>
      <c r="J15" t="n">
        <v>10.0802</v>
      </c>
      <c r="K15" t="n">
        <v>5.57078</v>
      </c>
      <c r="L15" t="n">
        <v>6.29287</v>
      </c>
      <c r="M15" t="n">
        <v>-111962.015625</v>
      </c>
      <c r="N15" t="n">
        <v>-156150</v>
      </c>
      <c r="O15" t="n">
        <v>-142288</v>
      </c>
      <c r="P15" t="n">
        <v>-173491</v>
      </c>
      <c r="Q15" t="n">
        <v>356</v>
      </c>
      <c r="R15" t="n">
        <v>308.70224</v>
      </c>
      <c r="S15" t="n">
        <v>0</v>
      </c>
      <c r="T15" t="n">
        <v>71.23988300000001</v>
      </c>
      <c r="U15" t="n">
        <v>53.957779</v>
      </c>
      <c r="V15" t="n">
        <v>460223.78125</v>
      </c>
      <c r="W15" t="n">
        <v>4.382207</v>
      </c>
      <c r="X15" t="n">
        <v>68.702499</v>
      </c>
      <c r="Y15" t="n">
        <v>1053.77</v>
      </c>
      <c r="Z15" t="n">
        <v>79.90000000000001</v>
      </c>
      <c r="AA15" t="n">
        <v>798.26</v>
      </c>
      <c r="AB15" t="n">
        <v>128.95</v>
      </c>
      <c r="AC15" t="n">
        <v>82.40000000000001</v>
      </c>
      <c r="AD15" t="n">
        <v>1147.88</v>
      </c>
      <c r="AE15" t="n">
        <v>5783</v>
      </c>
      <c r="AF15" t="n">
        <v>-1</v>
      </c>
      <c r="AG15" t="n">
        <v>105021</v>
      </c>
      <c r="AH15" t="n">
        <v/>
      </c>
    </row>
    <row r="16">
      <c r="A16" t="inlineStr">
        <is>
          <t>hecate_25d_L17_int_10um_bump_fanin_12.xml</t>
        </is>
      </c>
      <c r="B16" t="inlineStr">
        <is>
          <t>proxy.7.blif</t>
        </is>
      </c>
      <c r="C16" t="inlineStr">
        <is>
          <t>common</t>
        </is>
      </c>
      <c r="D16" t="inlineStr">
        <is>
          <t>success</t>
        </is>
      </c>
      <c r="E16" t="n">
        <v>2381080</v>
      </c>
      <c r="F16" t="n">
        <v>4210430</v>
      </c>
      <c r="G16" t="n">
        <v>1691216</v>
      </c>
      <c r="H16" t="n">
        <v>3114187</v>
      </c>
      <c r="I16" t="n">
        <v>4.783587</v>
      </c>
      <c r="J16" t="n">
        <v>14.1927</v>
      </c>
      <c r="K16" t="n">
        <v>5.71547</v>
      </c>
      <c r="L16" t="n">
        <v>6.4918</v>
      </c>
      <c r="M16" t="n">
        <v>-262452.21875</v>
      </c>
      <c r="N16" t="n">
        <v>-444759</v>
      </c>
      <c r="O16" t="n">
        <v>-354316</v>
      </c>
      <c r="P16" t="n">
        <v>-429240</v>
      </c>
      <c r="Q16" t="n">
        <v>1203</v>
      </c>
      <c r="R16" t="n">
        <v>148.086456</v>
      </c>
      <c r="S16" t="n">
        <v>0</v>
      </c>
      <c r="T16" t="n">
        <v>81.23947099999999</v>
      </c>
      <c r="U16" t="n">
        <v>57.518719</v>
      </c>
      <c r="V16" t="n">
        <v>3117763.25</v>
      </c>
      <c r="W16" t="n">
        <v>11.216872</v>
      </c>
      <c r="X16" t="n">
        <v>173.718201</v>
      </c>
      <c r="Y16" t="n">
        <v>3045.69</v>
      </c>
      <c r="Z16" t="n">
        <v>228.04</v>
      </c>
      <c r="AA16" t="n">
        <v>1841.76</v>
      </c>
      <c r="AB16" t="n">
        <v>848.64</v>
      </c>
      <c r="AC16" t="n">
        <v>195.68</v>
      </c>
      <c r="AD16" t="n">
        <v>3275.94</v>
      </c>
      <c r="AE16" t="n">
        <v>15786</v>
      </c>
      <c r="AF16" t="n">
        <v>-1</v>
      </c>
      <c r="AG16" t="n">
        <v>277953</v>
      </c>
      <c r="AH16" t="n">
        <v/>
      </c>
    </row>
    <row r="17">
      <c r="A17" t="inlineStr">
        <is>
          <t>hecate_25d_L17_int_10um_bump_fanin_12.xml</t>
        </is>
      </c>
      <c r="B17" t="inlineStr">
        <is>
          <t>tdarknet_like.large.blif</t>
        </is>
      </c>
      <c r="C17" t="inlineStr">
        <is>
          <t>common</t>
        </is>
      </c>
      <c r="D17" t="inlineStr">
        <is>
          <t>success</t>
        </is>
      </c>
      <c r="E17" t="n">
        <v>509776</v>
      </c>
      <c r="F17" t="n">
        <v>210343</v>
      </c>
      <c r="G17" t="n">
        <v>160667</v>
      </c>
      <c r="H17" t="n">
        <v>345323</v>
      </c>
      <c r="I17" t="n">
        <v>5.600625</v>
      </c>
      <c r="J17" t="n">
        <v>7.6017</v>
      </c>
      <c r="K17" t="n">
        <v>6.93717</v>
      </c>
      <c r="L17" t="n">
        <v>7.44517</v>
      </c>
      <c r="M17" t="n">
        <v>-210702.1875</v>
      </c>
      <c r="N17" t="n">
        <v>-261946</v>
      </c>
      <c r="O17" t="n">
        <v>-243938</v>
      </c>
      <c r="P17" t="n">
        <v>-307180</v>
      </c>
      <c r="Q17" t="n">
        <v>13</v>
      </c>
      <c r="R17" t="n">
        <v>5356.307617</v>
      </c>
      <c r="S17" t="n">
        <v>0</v>
      </c>
      <c r="T17" t="n">
        <v>56.002232</v>
      </c>
      <c r="U17" t="n">
        <v>37.776638</v>
      </c>
      <c r="V17" t="n">
        <v>31643.314453</v>
      </c>
      <c r="W17" t="n">
        <v>1.354536</v>
      </c>
      <c r="X17" t="n">
        <v>145.000198</v>
      </c>
      <c r="Y17" t="n">
        <v>165.63</v>
      </c>
      <c r="Z17" t="n">
        <v>16.85</v>
      </c>
      <c r="AA17" t="n">
        <v>81.05</v>
      </c>
      <c r="AB17" t="n">
        <v>20.15</v>
      </c>
      <c r="AC17" t="n">
        <v>28.03</v>
      </c>
      <c r="AD17" t="n">
        <v>197.75</v>
      </c>
      <c r="AE17" t="n">
        <v>1222</v>
      </c>
      <c r="AF17" t="n">
        <v>-1</v>
      </c>
      <c r="AG17" t="n">
        <v>23361</v>
      </c>
      <c r="AH17" t="n">
        <v/>
      </c>
    </row>
    <row r="18">
      <c r="A18" t="inlineStr">
        <is>
          <t>hecate_25d_L17_int_10um_bump_fanin_12.xml</t>
        </is>
      </c>
      <c r="B18" t="inlineStr">
        <is>
          <t>tdarknet_like.small.blif</t>
        </is>
      </c>
      <c r="C18" t="inlineStr">
        <is>
          <t>common</t>
        </is>
      </c>
      <c r="D18" t="inlineStr">
        <is>
          <t>success</t>
        </is>
      </c>
      <c r="E18" t="n">
        <v>6262560</v>
      </c>
      <c r="F18" t="n">
        <v>1733640</v>
      </c>
      <c r="G18" t="n">
        <v>1002651</v>
      </c>
      <c r="H18" t="n">
        <v>1734848</v>
      </c>
      <c r="I18" t="n">
        <v>7.16144</v>
      </c>
      <c r="J18" t="n">
        <v>7.79981</v>
      </c>
      <c r="K18" t="n">
        <v>6.50326</v>
      </c>
      <c r="L18" t="n">
        <v>8.431279999999999</v>
      </c>
      <c r="M18" t="n">
        <v>-515690.78125</v>
      </c>
      <c r="N18" t="n">
        <v>-715397</v>
      </c>
      <c r="O18" t="n">
        <v>-569751</v>
      </c>
      <c r="P18" t="n">
        <v>-854406</v>
      </c>
      <c r="Q18" t="n">
        <v>42</v>
      </c>
      <c r="R18" t="n">
        <v>7704.380859</v>
      </c>
      <c r="S18" t="n">
        <v>0</v>
      </c>
      <c r="T18" t="n">
        <v>48.049568</v>
      </c>
      <c r="U18" t="n">
        <v>40.448765</v>
      </c>
      <c r="V18" t="n">
        <v>172954.71875</v>
      </c>
      <c r="W18" t="n">
        <v>1.640937</v>
      </c>
      <c r="X18" t="n">
        <v>221.000214</v>
      </c>
      <c r="Y18" t="n">
        <v>1105.35</v>
      </c>
      <c r="Z18" t="n">
        <v>92.47</v>
      </c>
      <c r="AA18" t="n">
        <v>385.46</v>
      </c>
      <c r="AB18" t="n">
        <v>348.19</v>
      </c>
      <c r="AC18" t="n">
        <v>94.06999999999999</v>
      </c>
      <c r="AD18" t="n">
        <v>1220.9</v>
      </c>
      <c r="AE18" t="n">
        <v>6159</v>
      </c>
      <c r="AF18" t="n">
        <v>-1</v>
      </c>
      <c r="AG18" t="n">
        <v>105400</v>
      </c>
      <c r="AH18" t="n">
        <v/>
      </c>
    </row>
    <row r="19">
      <c r="A19" t="inlineStr">
        <is>
          <t>hecate_25d_L17_int_10um_bump_fanin_12.xml</t>
        </is>
      </c>
      <c r="B19" t="inlineStr">
        <is>
          <t>tpu_like.large.os.blif</t>
        </is>
      </c>
      <c r="C19" t="inlineStr">
        <is>
          <t>common</t>
        </is>
      </c>
      <c r="D19" t="inlineStr">
        <is>
          <t>success</t>
        </is>
      </c>
      <c r="E19" t="n">
        <v>1010320</v>
      </c>
      <c r="F19" t="n">
        <v>2462750</v>
      </c>
      <c r="G19" t="n">
        <v>1158444</v>
      </c>
      <c r="H19" t="n">
        <v>1764069</v>
      </c>
      <c r="I19" t="n">
        <v>7.027061</v>
      </c>
      <c r="J19" t="n">
        <v>9.206099999999999</v>
      </c>
      <c r="K19" t="n">
        <v>5.19185</v>
      </c>
      <c r="L19" t="n">
        <v>5.3589</v>
      </c>
      <c r="M19" t="n">
        <v>-256424.796875</v>
      </c>
      <c r="N19" t="n">
        <v>-368299</v>
      </c>
      <c r="O19" t="n">
        <v>-269644</v>
      </c>
      <c r="P19" t="n">
        <v>-309921</v>
      </c>
      <c r="Q19" t="n">
        <v>120</v>
      </c>
      <c r="R19" t="n">
        <v>184.108337</v>
      </c>
      <c r="S19" t="n">
        <v>0</v>
      </c>
      <c r="T19" t="n">
        <v>69.68177799999999</v>
      </c>
      <c r="U19" t="n">
        <v>58.065575</v>
      </c>
      <c r="V19" t="n">
        <v>340447.65625</v>
      </c>
      <c r="W19" t="n">
        <v>2.234715</v>
      </c>
      <c r="X19" t="n">
        <v>250.000183</v>
      </c>
      <c r="Y19" t="n">
        <v>1523.93</v>
      </c>
      <c r="Z19" t="n">
        <v>103.38</v>
      </c>
      <c r="AA19" t="n">
        <v>956.6900000000001</v>
      </c>
      <c r="AB19" t="n">
        <v>248.42</v>
      </c>
      <c r="AC19" t="n">
        <v>79.09999999999999</v>
      </c>
      <c r="AD19" t="n">
        <v>1620.39</v>
      </c>
      <c r="AE19" t="n">
        <v>7460</v>
      </c>
      <c r="AF19" t="n">
        <v>-1</v>
      </c>
      <c r="AG19" t="n">
        <v>152345</v>
      </c>
      <c r="AH19" t="n">
        <v/>
      </c>
    </row>
    <row r="20">
      <c r="A20" t="inlineStr">
        <is>
          <t>hecate_25d_L17_int_10um_bump_fanin_12.xml</t>
        </is>
      </c>
      <c r="B20" t="inlineStr">
        <is>
          <t>tpu_like.large.ws.blif</t>
        </is>
      </c>
      <c r="C20" t="inlineStr">
        <is>
          <t>common</t>
        </is>
      </c>
      <c r="D20" t="inlineStr">
        <is>
          <t>success</t>
        </is>
      </c>
      <c r="E20" t="n">
        <v>1627990</v>
      </c>
      <c r="F20" t="n">
        <v>2770220</v>
      </c>
      <c r="G20" t="n">
        <v>1415941</v>
      </c>
      <c r="H20" t="n">
        <v>2113647</v>
      </c>
      <c r="I20" t="n">
        <v>8.932853</v>
      </c>
      <c r="J20" t="n">
        <v>13.5082</v>
      </c>
      <c r="K20" t="n">
        <v>7.27889</v>
      </c>
      <c r="L20" t="n">
        <v>8.912599999999999</v>
      </c>
      <c r="M20" t="n">
        <v>-259935.25</v>
      </c>
      <c r="N20" t="n">
        <v>-443696</v>
      </c>
      <c r="O20" t="n">
        <v>-357292</v>
      </c>
      <c r="P20" t="n">
        <v>-418298</v>
      </c>
      <c r="Q20" t="n">
        <v>296</v>
      </c>
      <c r="R20" t="n">
        <v>490.736481</v>
      </c>
      <c r="S20" t="n">
        <v>0</v>
      </c>
      <c r="T20" t="n">
        <v>70.509865</v>
      </c>
      <c r="U20" t="n">
        <v>65.065567</v>
      </c>
      <c r="V20" t="n">
        <v>476094.1875</v>
      </c>
      <c r="W20" t="n">
        <v>2.914636</v>
      </c>
      <c r="X20" t="n">
        <v>250.58252</v>
      </c>
      <c r="Y20" t="n">
        <v>1588</v>
      </c>
      <c r="Z20" t="n">
        <v>122.92</v>
      </c>
      <c r="AA20" t="n">
        <v>977.9</v>
      </c>
      <c r="AB20" t="n">
        <v>280.23</v>
      </c>
      <c r="AC20" t="n">
        <v>101.07</v>
      </c>
      <c r="AD20" t="n">
        <v>1708.54</v>
      </c>
      <c r="AE20" t="n">
        <v>9338</v>
      </c>
      <c r="AF20" t="n">
        <v>-1</v>
      </c>
      <c r="AG20" t="n">
        <v>163346</v>
      </c>
      <c r="AH20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hecate_25d_L17_int_10um_bump_fanin_12.xml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696120</v>
      </c>
      <c r="G2" t="n">
        <v>206192</v>
      </c>
      <c r="H2" t="n">
        <v>438463</v>
      </c>
      <c r="I2" t="n">
        <v>-1</v>
      </c>
      <c r="J2" t="n">
        <v>10.2879</v>
      </c>
      <c r="K2" t="n">
        <v>5.60487</v>
      </c>
      <c r="L2" t="n">
        <v>6.63142</v>
      </c>
      <c r="M2" t="n">
        <v>-1</v>
      </c>
      <c r="N2" t="n">
        <v>-53725</v>
      </c>
      <c r="O2" t="n">
        <v>-50814.9</v>
      </c>
      <c r="P2" t="n">
        <v>-73067.10000000001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53.19</v>
      </c>
      <c r="AD2" t="n">
        <v>201.8</v>
      </c>
      <c r="AE2" t="n">
        <v>1240</v>
      </c>
      <c r="AF2" t="n">
        <v>-1</v>
      </c>
      <c r="AG2" t="n">
        <v>27637</v>
      </c>
      <c r="AH2" t="n">
        <v/>
      </c>
    </row>
    <row r="3">
      <c r="A3" t="inlineStr">
        <is>
          <t>hecate_25d_L17_int_10um_bump_fanin_12.xml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6503060</v>
      </c>
      <c r="G3" t="n">
        <v>1241230</v>
      </c>
      <c r="H3" t="n">
        <v>2111106</v>
      </c>
      <c r="I3" t="n">
        <v>-1</v>
      </c>
      <c r="J3" t="n">
        <v>19.2549</v>
      </c>
      <c r="K3" t="n">
        <v>6.73197</v>
      </c>
      <c r="L3" t="n">
        <v>8.263249999999999</v>
      </c>
      <c r="M3" t="n">
        <v>-1</v>
      </c>
      <c r="N3" t="n">
        <v>-201844</v>
      </c>
      <c r="O3" t="n">
        <v>-111332</v>
      </c>
      <c r="P3" t="n">
        <v>-132660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146.27</v>
      </c>
      <c r="AD3" t="n">
        <v>989.73</v>
      </c>
      <c r="AE3" t="n">
        <v>8139</v>
      </c>
      <c r="AF3" t="n">
        <v>-1</v>
      </c>
      <c r="AG3" t="n">
        <v>150576</v>
      </c>
      <c r="AH3" t="n">
        <v/>
      </c>
    </row>
    <row r="4">
      <c r="A4" t="inlineStr">
        <is>
          <t>hecate_25d_L17_int_10um_bump_fanin_12.xml</t>
        </is>
      </c>
      <c r="B4" t="inlineStr">
        <is>
          <t>bwave_like.fixed.small.blif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590780</v>
      </c>
      <c r="G4" t="n">
        <v>229705</v>
      </c>
      <c r="H4" t="n">
        <v>459128</v>
      </c>
      <c r="I4" t="n">
        <v>-1</v>
      </c>
      <c r="J4" t="n">
        <v>7.39306</v>
      </c>
      <c r="K4" t="n">
        <v>5.65503</v>
      </c>
      <c r="L4" t="n">
        <v>6.13928</v>
      </c>
      <c r="M4" t="n">
        <v>-1</v>
      </c>
      <c r="N4" t="n">
        <v>-67184</v>
      </c>
      <c r="O4" t="n">
        <v>-57604.1</v>
      </c>
      <c r="P4" t="n">
        <v>-83244.39999999999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62.28</v>
      </c>
      <c r="AD4" t="n">
        <v>151.14</v>
      </c>
      <c r="AE4" t="n">
        <v>948</v>
      </c>
      <c r="AF4" t="n">
        <v>-1</v>
      </c>
      <c r="AG4" t="n">
        <v>20863</v>
      </c>
      <c r="AH4" t="n">
        <v/>
      </c>
    </row>
    <row r="5">
      <c r="A5" t="inlineStr">
        <is>
          <t>hecate_25d_L17_int_10um_bump_fanin_12.xml</t>
        </is>
      </c>
      <c r="B5" t="inlineStr">
        <is>
          <t>bwave_like.fixed.large.blif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3975590</v>
      </c>
      <c r="G5" t="n">
        <v>1265215</v>
      </c>
      <c r="H5" t="n">
        <v>2112035</v>
      </c>
      <c r="I5" t="n">
        <v>-1</v>
      </c>
      <c r="J5" t="n">
        <v>15.7165</v>
      </c>
      <c r="K5" t="n">
        <v>6.08719</v>
      </c>
      <c r="L5" t="n">
        <v>6.95685</v>
      </c>
      <c r="M5" t="n">
        <v>-1</v>
      </c>
      <c r="N5" t="n">
        <v>-332012</v>
      </c>
      <c r="O5" t="n">
        <v>-261590</v>
      </c>
      <c r="P5" t="n">
        <v>-406534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386.73</v>
      </c>
      <c r="AD5" t="n">
        <v>775.73</v>
      </c>
      <c r="AE5" t="n">
        <v>3317</v>
      </c>
      <c r="AF5" t="n">
        <v>-1</v>
      </c>
      <c r="AG5" t="n">
        <v>73326</v>
      </c>
      <c r="AH5" t="n">
        <v/>
      </c>
    </row>
    <row r="6">
      <c r="A6" t="inlineStr">
        <is>
          <t>hecate_25d_L17_int_10um_bump_fanin_12.xml</t>
        </is>
      </c>
      <c r="B6" t="inlineStr">
        <is>
          <t>clstm_like.large.blif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26206700</v>
      </c>
      <c r="G6" t="n">
        <v>4461494</v>
      </c>
      <c r="H6" t="n">
        <v>5478022</v>
      </c>
      <c r="I6" t="n">
        <v>-1</v>
      </c>
      <c r="J6" t="n">
        <v>16.7935</v>
      </c>
      <c r="K6" t="n">
        <v>7.2422</v>
      </c>
      <c r="L6" t="n">
        <v>8.025090000000001</v>
      </c>
      <c r="M6" t="n">
        <v>-1</v>
      </c>
      <c r="N6" t="n">
        <v>-1332150</v>
      </c>
      <c r="O6" t="n">
        <v>-1195310</v>
      </c>
      <c r="P6" t="n">
        <v>-1495990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346.31</v>
      </c>
      <c r="AD6" t="n">
        <v>5085.55</v>
      </c>
      <c r="AE6" t="n">
        <v>27581</v>
      </c>
      <c r="AF6" t="n">
        <v>-1</v>
      </c>
      <c r="AG6" t="n">
        <v>758954</v>
      </c>
      <c r="AH6" t="n">
        <v/>
      </c>
    </row>
    <row r="7">
      <c r="A7" t="inlineStr">
        <is>
          <t>hecate_25d_L17_int_10um_bump_fanin_12.xml</t>
        </is>
      </c>
      <c r="B7" t="inlineStr">
        <is>
          <t>clstm_like.medium.blif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15127500</v>
      </c>
      <c r="G7" t="n">
        <v>2719076</v>
      </c>
      <c r="H7" t="n">
        <v>3577731</v>
      </c>
      <c r="I7" t="n">
        <v>-1</v>
      </c>
      <c r="J7" t="n">
        <v>12.8511</v>
      </c>
      <c r="K7" t="n">
        <v>6.33845</v>
      </c>
      <c r="L7" t="n">
        <v>6.70359</v>
      </c>
      <c r="M7" t="n">
        <v>-1</v>
      </c>
      <c r="N7" t="n">
        <v>-741510</v>
      </c>
      <c r="O7" t="n">
        <v>-614579</v>
      </c>
      <c r="P7" t="n">
        <v>-796219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319.93</v>
      </c>
      <c r="AD7" t="n">
        <v>2992.57</v>
      </c>
      <c r="AE7" t="n">
        <v>18527</v>
      </c>
      <c r="AF7" t="n">
        <v>-1</v>
      </c>
      <c r="AG7" t="n">
        <v>508912</v>
      </c>
      <c r="AH7" t="n">
        <v/>
      </c>
    </row>
    <row r="8">
      <c r="A8" t="inlineStr">
        <is>
          <t>hecate_25d_L17_int_10um_bump_fanin_12.xml</t>
        </is>
      </c>
      <c r="B8" t="inlineStr">
        <is>
          <t>clstm_like.small.blif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5631560</v>
      </c>
      <c r="G8" t="n">
        <v>1170324</v>
      </c>
      <c r="H8" t="n">
        <v>1710815</v>
      </c>
      <c r="I8" t="n">
        <v>-1</v>
      </c>
      <c r="J8" t="n">
        <v>10.6785</v>
      </c>
      <c r="K8" t="n">
        <v>4.98825</v>
      </c>
      <c r="L8" t="n">
        <v>5.67205</v>
      </c>
      <c r="M8" t="n">
        <v>-1</v>
      </c>
      <c r="N8" t="n">
        <v>-335528</v>
      </c>
      <c r="O8" t="n">
        <v>-278248</v>
      </c>
      <c r="P8" t="n">
        <v>-349800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157.48</v>
      </c>
      <c r="AD8" t="n">
        <v>1347.09</v>
      </c>
      <c r="AE8" t="n">
        <v>9457</v>
      </c>
      <c r="AF8" t="n">
        <v>-1</v>
      </c>
      <c r="AG8" t="n">
        <v>258866</v>
      </c>
      <c r="AH8" t="n">
        <v/>
      </c>
    </row>
    <row r="9">
      <c r="A9" t="inlineStr">
        <is>
          <t>hecate_25d_L17_int_10um_bump_fanin_12.xml</t>
        </is>
      </c>
      <c r="B9" t="inlineStr">
        <is>
          <t>conv_layer_hls.blif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271457</v>
      </c>
      <c r="G9" t="n">
        <v>54084</v>
      </c>
      <c r="H9" t="n">
        <v>101786</v>
      </c>
      <c r="I9" t="n">
        <v>-1</v>
      </c>
      <c r="J9" t="n">
        <v>14.9507</v>
      </c>
      <c r="K9" t="n">
        <v>6.21095</v>
      </c>
      <c r="L9" t="n">
        <v>6.85191</v>
      </c>
      <c r="M9" t="n">
        <v>-1</v>
      </c>
      <c r="N9" t="n">
        <v>-15450.4</v>
      </c>
      <c r="O9" t="n">
        <v>-10105.1</v>
      </c>
      <c r="P9" t="n">
        <v>-12010.5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12.13</v>
      </c>
      <c r="AD9" t="n">
        <v>131.53</v>
      </c>
      <c r="AE9" t="n">
        <v>1818</v>
      </c>
      <c r="AF9" t="n">
        <v>-1</v>
      </c>
      <c r="AG9" t="n">
        <v>12351</v>
      </c>
      <c r="AH9" t="n">
        <v/>
      </c>
    </row>
    <row r="10">
      <c r="A10" t="inlineStr">
        <is>
          <t>hecate_25d_L17_int_10um_bump_fanin_12.xml</t>
        </is>
      </c>
      <c r="B10" t="inlineStr">
        <is>
          <t>dla_like.medium.blif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17138900</v>
      </c>
      <c r="G10" t="n">
        <v>2265352</v>
      </c>
      <c r="H10" t="n">
        <v>3886778</v>
      </c>
      <c r="I10" t="n">
        <v>-1</v>
      </c>
      <c r="J10" t="n">
        <v>24.877</v>
      </c>
      <c r="K10" t="n">
        <v>7.47902</v>
      </c>
      <c r="L10" t="n">
        <v>9.406319999999999</v>
      </c>
      <c r="M10" t="n">
        <v>-1</v>
      </c>
      <c r="N10" t="n">
        <v>-598433</v>
      </c>
      <c r="O10" t="n">
        <v>-327916</v>
      </c>
      <c r="P10" t="n">
        <v>-415128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281.15</v>
      </c>
      <c r="AD10" t="n">
        <v>4766.22</v>
      </c>
      <c r="AE10" t="n">
        <v>16273</v>
      </c>
      <c r="AF10" t="n">
        <v>-1</v>
      </c>
      <c r="AG10" t="n">
        <v>375091</v>
      </c>
      <c r="AH10" t="n">
        <v/>
      </c>
    </row>
    <row r="11">
      <c r="A11" t="inlineStr">
        <is>
          <t>hecate_25d_L17_int_10um_bump_fanin_12.xml</t>
        </is>
      </c>
      <c r="B11" t="inlineStr">
        <is>
          <t>dla_like.small.blif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4630230</v>
      </c>
      <c r="G11" t="n">
        <v>787989</v>
      </c>
      <c r="H11" t="n">
        <v>1494568</v>
      </c>
      <c r="I11" t="n">
        <v>-1</v>
      </c>
      <c r="J11" t="n">
        <v>14.3948</v>
      </c>
      <c r="K11" t="n">
        <v>7.00245</v>
      </c>
      <c r="L11" t="n">
        <v>7.63055</v>
      </c>
      <c r="M11" t="n">
        <v>-1</v>
      </c>
      <c r="N11" t="n">
        <v>-199949</v>
      </c>
      <c r="O11" t="n">
        <v>-138157</v>
      </c>
      <c r="P11" t="n">
        <v>-160516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122.43</v>
      </c>
      <c r="AD11" t="n">
        <v>1827.39</v>
      </c>
      <c r="AE11" t="n">
        <v>6648</v>
      </c>
      <c r="AF11" t="n">
        <v>-1</v>
      </c>
      <c r="AG11" t="n">
        <v>145849</v>
      </c>
      <c r="AH11" t="n">
        <v/>
      </c>
    </row>
    <row r="12">
      <c r="A12" t="inlineStr">
        <is>
          <t>hecate_25d_L17_int_10um_bump_fanin_12.xml</t>
        </is>
      </c>
      <c r="B12" t="inlineStr">
        <is>
          <t>dnnweaver.blif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8354420</v>
      </c>
      <c r="G12" t="n">
        <v>1810970</v>
      </c>
      <c r="H12" t="n">
        <v>3138773</v>
      </c>
      <c r="I12" t="n">
        <v>-1</v>
      </c>
      <c r="J12" t="n">
        <v>21.109</v>
      </c>
      <c r="K12" t="n">
        <v>7.45573</v>
      </c>
      <c r="L12" t="n">
        <v>9.317920000000001</v>
      </c>
      <c r="M12" t="n">
        <v>-1</v>
      </c>
      <c r="N12" t="n">
        <v>-1166680</v>
      </c>
      <c r="O12" t="n">
        <v>-830747</v>
      </c>
      <c r="P12" t="n">
        <v>-1067110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274.48</v>
      </c>
      <c r="AD12" t="n">
        <v>1854.9</v>
      </c>
      <c r="AE12" t="n">
        <v>7651</v>
      </c>
      <c r="AF12" t="n">
        <v>-1</v>
      </c>
      <c r="AG12" t="n">
        <v>138094</v>
      </c>
      <c r="AH12" t="n">
        <v/>
      </c>
    </row>
    <row r="13">
      <c r="A13" t="inlineStr">
        <is>
          <t>hecate_25d_L17_int_10um_bump_fanin_12.xml</t>
        </is>
      </c>
      <c r="B13" t="inlineStr">
        <is>
          <t>gemm_layer.blif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25846700</v>
      </c>
      <c r="G13" t="n">
        <v>3039572</v>
      </c>
      <c r="H13" t="n">
        <v>4994342</v>
      </c>
      <c r="I13" t="n">
        <v>-1</v>
      </c>
      <c r="J13" t="n">
        <v>30.668</v>
      </c>
      <c r="K13" t="n">
        <v>6.28795</v>
      </c>
      <c r="L13" t="n">
        <v>7.94365</v>
      </c>
      <c r="M13" t="n">
        <v>-1</v>
      </c>
      <c r="N13" t="n">
        <v>-675434</v>
      </c>
      <c r="O13" t="n">
        <v>-333059</v>
      </c>
      <c r="P13" t="n">
        <v>-404473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289.15</v>
      </c>
      <c r="AD13" t="n">
        <v>5420.44</v>
      </c>
      <c r="AE13" t="n">
        <v>20778</v>
      </c>
      <c r="AF13" t="n">
        <v>-1</v>
      </c>
      <c r="AG13" t="n">
        <v>384687</v>
      </c>
      <c r="AH13" t="n">
        <v/>
      </c>
    </row>
    <row r="14">
      <c r="A14" t="inlineStr">
        <is>
          <t>hecate_25d_L17_int_10um_bump_fanin_12.xml</t>
        </is>
      </c>
      <c r="B14" t="inlineStr">
        <is>
          <t>lstm.blif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5639990</v>
      </c>
      <c r="G14" t="n">
        <v>990636</v>
      </c>
      <c r="H14" t="n">
        <v>1921124</v>
      </c>
      <c r="I14" t="n">
        <v>-1</v>
      </c>
      <c r="J14" t="n">
        <v>16.6185</v>
      </c>
      <c r="K14" t="n">
        <v>7.13029</v>
      </c>
      <c r="L14" t="n">
        <v>8.11797</v>
      </c>
      <c r="M14" t="n">
        <v>-1</v>
      </c>
      <c r="N14" t="n">
        <v>-246100</v>
      </c>
      <c r="O14" t="n">
        <v>-207905</v>
      </c>
      <c r="P14" t="n">
        <v>-308532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195.27</v>
      </c>
      <c r="AD14" t="n">
        <v>1135.19</v>
      </c>
      <c r="AE14" t="n">
        <v>6188</v>
      </c>
      <c r="AF14" t="n">
        <v>-1</v>
      </c>
      <c r="AG14" t="n">
        <v>135863</v>
      </c>
      <c r="AH14" t="n">
        <v/>
      </c>
    </row>
    <row r="15">
      <c r="A15" t="inlineStr">
        <is>
          <t>hecate_25d_L17_int_10um_bump_fanin_12.xml</t>
        </is>
      </c>
      <c r="B15" t="inlineStr">
        <is>
          <t>proxy.5.blif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3225560</v>
      </c>
      <c r="G15" t="n">
        <v>688187</v>
      </c>
      <c r="H15" t="n">
        <v>1257959</v>
      </c>
      <c r="I15" t="n">
        <v>-1</v>
      </c>
      <c r="J15" t="n">
        <v>10.4568</v>
      </c>
      <c r="K15" t="n">
        <v>4.88907</v>
      </c>
      <c r="L15" t="n">
        <v>6.45162</v>
      </c>
      <c r="M15" t="n">
        <v>-1</v>
      </c>
      <c r="N15" t="n">
        <v>-196936</v>
      </c>
      <c r="O15" t="n">
        <v>-140853</v>
      </c>
      <c r="P15" t="n">
        <v>-168125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97.33</v>
      </c>
      <c r="AD15" t="n">
        <v>1296.7</v>
      </c>
      <c r="AE15" t="n">
        <v>4734</v>
      </c>
      <c r="AF15" t="n">
        <v>-1</v>
      </c>
      <c r="AG15" t="n">
        <v>105021</v>
      </c>
      <c r="AH15" t="n">
        <v/>
      </c>
    </row>
    <row r="16">
      <c r="A16" t="inlineStr">
        <is>
          <t>hecate_25d_L17_int_10um_bump_fanin_12.xml</t>
        </is>
      </c>
      <c r="B16" t="inlineStr">
        <is>
          <t>proxy.7.blif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14880900</v>
      </c>
      <c r="G16" t="n">
        <v>1933489</v>
      </c>
      <c r="H16" t="n">
        <v>3440361</v>
      </c>
      <c r="I16" t="n">
        <v>-1</v>
      </c>
      <c r="J16" t="n">
        <v>25.1583</v>
      </c>
      <c r="K16" t="n">
        <v>5.46575</v>
      </c>
      <c r="L16" t="n">
        <v>6.38126</v>
      </c>
      <c r="M16" t="n">
        <v>-1</v>
      </c>
      <c r="N16" t="n">
        <v>-570505</v>
      </c>
      <c r="O16" t="n">
        <v>-357260</v>
      </c>
      <c r="P16" t="n">
        <v>-436663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259.83</v>
      </c>
      <c r="AD16" t="n">
        <v>3459.2</v>
      </c>
      <c r="AE16" t="n">
        <v>13481</v>
      </c>
      <c r="AF16" t="n">
        <v>-1</v>
      </c>
      <c r="AG16" t="n">
        <v>277953</v>
      </c>
      <c r="AH16" t="n">
        <v/>
      </c>
    </row>
    <row r="17">
      <c r="A17" t="inlineStr">
        <is>
          <t>hecate_25d_L17_int_10um_bump_fanin_12.xml</t>
        </is>
      </c>
      <c r="B17" t="inlineStr">
        <is>
          <t>tdarknet_like.large.blif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528857</v>
      </c>
      <c r="G17" t="n">
        <v>184929</v>
      </c>
      <c r="H17" t="n">
        <v>382744</v>
      </c>
      <c r="I17" t="n">
        <v>-1</v>
      </c>
      <c r="J17" t="n">
        <v>13.1178</v>
      </c>
      <c r="K17" t="n">
        <v>6.48765</v>
      </c>
      <c r="L17" t="n">
        <v>7.12484</v>
      </c>
      <c r="M17" t="n">
        <v>-1</v>
      </c>
      <c r="N17" t="n">
        <v>-295076</v>
      </c>
      <c r="O17" t="n">
        <v>-254734</v>
      </c>
      <c r="P17" t="n">
        <v>-339069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47.55</v>
      </c>
      <c r="AD17" t="n">
        <v>310.99</v>
      </c>
      <c r="AE17" t="n">
        <v>1131</v>
      </c>
      <c r="AF17" t="n">
        <v>-1</v>
      </c>
      <c r="AG17" t="n">
        <v>23361</v>
      </c>
      <c r="AH17" t="n">
        <v/>
      </c>
    </row>
    <row r="18">
      <c r="A18" t="inlineStr">
        <is>
          <t>hecate_25d_L17_int_10um_bump_fanin_12.xml</t>
        </is>
      </c>
      <c r="B18" t="inlineStr">
        <is>
          <t>tdarknet_like.small.blif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6671180</v>
      </c>
      <c r="G18" t="n">
        <v>1064441</v>
      </c>
      <c r="H18" t="n">
        <v>1840756</v>
      </c>
      <c r="I18" t="n">
        <v>-1</v>
      </c>
      <c r="J18" t="n">
        <v>30.3733</v>
      </c>
      <c r="K18" t="n">
        <v>6.2643</v>
      </c>
      <c r="L18" t="n">
        <v>7.21556</v>
      </c>
      <c r="M18" t="n">
        <v>-1</v>
      </c>
      <c r="N18" t="n">
        <v>-965204</v>
      </c>
      <c r="O18" t="n">
        <v>-540855</v>
      </c>
      <c r="P18" t="n">
        <v>-805301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84.63</v>
      </c>
      <c r="AD18" t="n">
        <v>1475.94</v>
      </c>
      <c r="AE18" t="n">
        <v>5394</v>
      </c>
      <c r="AF18" t="n">
        <v>-1</v>
      </c>
      <c r="AG18" t="n">
        <v>105400</v>
      </c>
      <c r="AH18" t="n">
        <v/>
      </c>
    </row>
    <row r="19">
      <c r="A19" t="inlineStr">
        <is>
          <t>hecate_25d_L17_int_10um_bump_fanin_12.xml</t>
        </is>
      </c>
      <c r="B19" t="inlineStr">
        <is>
          <t>tpu_like.large.os.blif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6706660</v>
      </c>
      <c r="G19" t="n">
        <v>1305402</v>
      </c>
      <c r="H19" t="n">
        <v>1936803</v>
      </c>
      <c r="I19" t="n">
        <v>-1</v>
      </c>
      <c r="J19" t="n">
        <v>9.13447</v>
      </c>
      <c r="K19" t="n">
        <v>4.53882</v>
      </c>
      <c r="L19" t="n">
        <v>5.71176</v>
      </c>
      <c r="M19" t="n">
        <v>-1</v>
      </c>
      <c r="N19" t="n">
        <v>-375132</v>
      </c>
      <c r="O19" t="n">
        <v>-258798</v>
      </c>
      <c r="P19" t="n">
        <v>-312397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121.06</v>
      </c>
      <c r="AD19" t="n">
        <v>1261.54</v>
      </c>
      <c r="AE19" t="n">
        <v>6834</v>
      </c>
      <c r="AF19" t="n">
        <v>-1</v>
      </c>
      <c r="AG19" t="n">
        <v>152345</v>
      </c>
      <c r="AH19" t="n">
        <v/>
      </c>
    </row>
    <row r="20">
      <c r="A20" t="inlineStr">
        <is>
          <t>hecate_25d_L17_int_10um_bump_fanin_12.xml</t>
        </is>
      </c>
      <c r="B20" t="inlineStr">
        <is>
          <t>tpu_like.large.ws.blif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8058430</v>
      </c>
      <c r="G20" t="n">
        <v>1591940</v>
      </c>
      <c r="H20" t="n">
        <v>2290732</v>
      </c>
      <c r="I20" t="n">
        <v>-1</v>
      </c>
      <c r="J20" t="n">
        <v>18.2877</v>
      </c>
      <c r="K20" t="n">
        <v>6.97632</v>
      </c>
      <c r="L20" t="n">
        <v>8.89925</v>
      </c>
      <c r="M20" t="n">
        <v>-1</v>
      </c>
      <c r="N20" t="n">
        <v>-500868</v>
      </c>
      <c r="O20" t="n">
        <v>-380281</v>
      </c>
      <c r="P20" t="n">
        <v>-457281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122.74</v>
      </c>
      <c r="AD20" t="n">
        <v>1637.67</v>
      </c>
      <c r="AE20" t="n">
        <v>7856</v>
      </c>
      <c r="AF20" t="n">
        <v>-1</v>
      </c>
      <c r="AG20" t="n">
        <v>163346</v>
      </c>
      <c r="AH2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2026-05-29T18:13:56Z</dcterms:created>
  <dcterms:modified xmlns:dcterms="http://purl.org/dc/terms/" xmlns:xsi="http://www.w3.org/2001/XMLSchema-instance" xsi:type="dcterms:W3CDTF">2026-05-29T18:13:57Z</dcterms:modified>
</cp:coreProperties>
</file>